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StockAggregation\"/>
    </mc:Choice>
  </mc:AlternateContent>
  <xr:revisionPtr revIDLastSave="0" documentId="13_ncr:1_{5D2AFAFE-162E-4D6B-983D-B9F44AEBAD3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分析" sheetId="1" r:id="rId1"/>
    <sheet name="9637_data" sheetId="8415" r:id="rId2"/>
    <sheet name="9636_data" sheetId="8414" r:id="rId3"/>
    <sheet name="9632_data" sheetId="8413" r:id="rId4"/>
    <sheet name="8842_data" sheetId="8412" r:id="rId5"/>
    <sheet name="8617_data" sheetId="8411" r:id="rId6"/>
    <sheet name="8609_data" sheetId="8410" r:id="rId7"/>
    <sheet name="8562_data" sheetId="8409" r:id="rId8"/>
    <sheet name="8142_data" sheetId="8408" r:id="rId9"/>
    <sheet name="8068_data" sheetId="8407" r:id="rId10"/>
    <sheet name="8013_data" sheetId="8406" r:id="rId11"/>
    <sheet name="7683_data" sheetId="8405" r:id="rId12"/>
    <sheet name="7674_data" sheetId="8404" r:id="rId13"/>
    <sheet name="7614_data" sheetId="8403" r:id="rId14"/>
    <sheet name="7590_data" sheetId="8402" r:id="rId15"/>
    <sheet name="6654_data" sheetId="8401" r:id="rId16"/>
    <sheet name="3921_data" sheetId="8400" r:id="rId17"/>
    <sheet name="3463_data" sheetId="8399" r:id="rId18"/>
    <sheet name="3455_data" sheetId="8398" r:id="rId19"/>
    <sheet name="3421_data" sheetId="8397" r:id="rId20"/>
    <sheet name="3418_data" sheetId="8396" r:id="rId21"/>
    <sheet name="3415_data" sheetId="8395" r:id="rId22"/>
    <sheet name="3399_data" sheetId="8394" r:id="rId23"/>
    <sheet name="3320_data" sheetId="8393" r:id="rId24"/>
    <sheet name="3278_data" sheetId="8392" r:id="rId25"/>
    <sheet name="3246_data" sheetId="8391" r:id="rId26"/>
    <sheet name="3193_data" sheetId="8390" r:id="rId27"/>
    <sheet name="3169_data" sheetId="8389" r:id="rId28"/>
    <sheet name="3071_data" sheetId="8388" r:id="rId29"/>
    <sheet name="3070_data" sheetId="8387" r:id="rId30"/>
    <sheet name="3057_data" sheetId="8386" r:id="rId31"/>
    <sheet name="2590_data" sheetId="8385" r:id="rId32"/>
    <sheet name="2353_data" sheetId="8384" r:id="rId33"/>
    <sheet name="2117_data" sheetId="8383" r:id="rId34"/>
    <sheet name="1928_data" sheetId="8382" r:id="rId35"/>
    <sheet name="1766_data" sheetId="8381" r:id="rId36"/>
    <sheet name="1444_data" sheetId="8380" r:id="rId37"/>
    <sheet name="1433_data" sheetId="8379" r:id="rId38"/>
  </sheets>
  <definedNames>
    <definedName name="_xlnm._FilterDatabase" localSheetId="0" hidden="1">分析!$F$1:$F$805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1" l="1"/>
  <c r="C2" i="1"/>
  <c r="C12" i="1"/>
  <c r="C11" i="1"/>
  <c r="C26" i="1"/>
  <c r="C25" i="1"/>
  <c r="C24" i="1"/>
  <c r="C7" i="1"/>
  <c r="C23" i="1"/>
  <c r="C3" i="1"/>
  <c r="C10" i="1"/>
  <c r="C6" i="1"/>
  <c r="C22" i="1"/>
  <c r="C38" i="1"/>
  <c r="C21" i="1"/>
  <c r="C20" i="1"/>
  <c r="C19" i="1"/>
  <c r="C18" i="1"/>
  <c r="C9" i="1"/>
  <c r="C37" i="1"/>
  <c r="C36" i="1"/>
  <c r="C5" i="1"/>
  <c r="C17" i="1"/>
  <c r="C35" i="1"/>
  <c r="C34" i="1"/>
  <c r="C13" i="1"/>
  <c r="C33" i="1"/>
  <c r="C16" i="1"/>
  <c r="C32" i="1"/>
  <c r="C15" i="1"/>
  <c r="C4" i="1"/>
  <c r="C31" i="1"/>
  <c r="C14" i="1"/>
  <c r="C30" i="1"/>
  <c r="C8" i="1"/>
  <c r="C29" i="1"/>
  <c r="C28" i="1"/>
  <c r="E27" i="1"/>
  <c r="D27" i="1"/>
  <c r="E2" i="1"/>
  <c r="D2" i="1"/>
  <c r="E12" i="1"/>
  <c r="D12" i="1"/>
  <c r="E11" i="1"/>
  <c r="D11" i="1"/>
  <c r="E26" i="1"/>
  <c r="D26" i="1"/>
  <c r="E25" i="1"/>
  <c r="D25" i="1"/>
  <c r="E24" i="1"/>
  <c r="D24" i="1"/>
  <c r="E7" i="1"/>
  <c r="D7" i="1"/>
  <c r="E23" i="1"/>
  <c r="D23" i="1"/>
  <c r="E3" i="1"/>
  <c r="D3" i="1"/>
  <c r="E10" i="1"/>
  <c r="D10" i="1"/>
  <c r="E6" i="1"/>
  <c r="D6" i="1"/>
  <c r="E22" i="1"/>
  <c r="D22" i="1"/>
  <c r="E38" i="1"/>
  <c r="D38" i="1"/>
  <c r="E21" i="1"/>
  <c r="D21" i="1"/>
  <c r="E20" i="1"/>
  <c r="D20" i="1"/>
  <c r="E19" i="1"/>
  <c r="D19" i="1"/>
  <c r="E18" i="1"/>
  <c r="D18" i="1"/>
  <c r="E9" i="1"/>
  <c r="D9" i="1"/>
  <c r="E37" i="1"/>
  <c r="D37" i="1"/>
  <c r="E36" i="1"/>
  <c r="D36" i="1"/>
  <c r="E5" i="1"/>
  <c r="D5" i="1"/>
  <c r="E17" i="1"/>
  <c r="D17" i="1"/>
  <c r="E35" i="1"/>
  <c r="D35" i="1"/>
  <c r="E34" i="1"/>
  <c r="D34" i="1"/>
  <c r="E13" i="1"/>
  <c r="D13" i="1"/>
  <c r="E33" i="1"/>
  <c r="D33" i="1"/>
  <c r="E16" i="1"/>
  <c r="D16" i="1"/>
  <c r="E32" i="1"/>
  <c r="D32" i="1"/>
  <c r="E15" i="1"/>
  <c r="D15" i="1"/>
  <c r="E4" i="1"/>
  <c r="D4" i="1"/>
  <c r="E31" i="1"/>
  <c r="D31" i="1"/>
  <c r="E14" i="1"/>
  <c r="D14" i="1"/>
  <c r="E30" i="1"/>
  <c r="D30" i="1"/>
  <c r="E8" i="1"/>
  <c r="D8" i="1"/>
  <c r="E29" i="1"/>
  <c r="D29" i="1"/>
  <c r="E28" i="1"/>
  <c r="D28" i="1"/>
  <c r="I1" i="8415"/>
  <c r="DY6" i="8415"/>
  <c r="DY5" i="8415"/>
  <c r="DY4" i="8415"/>
  <c r="DY3" i="8415"/>
  <c r="DY2" i="8415"/>
  <c r="DX6" i="8415"/>
  <c r="DX5" i="8415"/>
  <c r="DX4" i="8415"/>
  <c r="DX3" i="8415"/>
  <c r="DX2" i="8415"/>
  <c r="DP2" i="8415" a="1"/>
  <c r="DP2" i="8415" s="1"/>
  <c r="DO6" i="8415"/>
  <c r="DO5" i="8415"/>
  <c r="DO4" i="8415"/>
  <c r="DO3" i="8415"/>
  <c r="DO2" i="8415"/>
  <c r="DN6" i="8415"/>
  <c r="DN5" i="8415"/>
  <c r="DN4" i="8415"/>
  <c r="DN3" i="8415"/>
  <c r="DN2" i="8415"/>
  <c r="DF2" i="8415" a="1"/>
  <c r="DF2" i="8415" s="1"/>
  <c r="DE6" i="8415"/>
  <c r="DE5" i="8415"/>
  <c r="DE4" i="8415"/>
  <c r="DE3" i="8415"/>
  <c r="DE2" i="8415"/>
  <c r="DD6" i="8415"/>
  <c r="DD5" i="8415"/>
  <c r="DD4" i="8415"/>
  <c r="DD3" i="8415"/>
  <c r="DD2" i="8415"/>
  <c r="CV2" i="8415" a="1"/>
  <c r="CV2" i="8415" s="1"/>
  <c r="CU6" i="8415"/>
  <c r="CU5" i="8415"/>
  <c r="CU4" i="8415"/>
  <c r="CU3" i="8415"/>
  <c r="CU2" i="8415"/>
  <c r="CT6" i="8415"/>
  <c r="CT5" i="8415"/>
  <c r="CT4" i="8415"/>
  <c r="CT3" i="8415"/>
  <c r="CT2" i="8415"/>
  <c r="CL2" i="8415" a="1"/>
  <c r="CL2" i="8415" s="1"/>
  <c r="CK6" i="8415"/>
  <c r="CK5" i="8415"/>
  <c r="CK4" i="8415"/>
  <c r="CK3" i="8415"/>
  <c r="CK2" i="8415"/>
  <c r="CJ6" i="8415"/>
  <c r="CJ5" i="8415"/>
  <c r="CJ4" i="8415"/>
  <c r="CJ3" i="8415"/>
  <c r="CJ2" i="8415"/>
  <c r="CB2" i="8415" a="1"/>
  <c r="CB2" i="8415" s="1"/>
  <c r="CA6" i="8415"/>
  <c r="CA5" i="8415"/>
  <c r="CA4" i="8415"/>
  <c r="CA3" i="8415"/>
  <c r="CA2" i="8415"/>
  <c r="BZ6" i="8415"/>
  <c r="BZ5" i="8415"/>
  <c r="BZ4" i="8415"/>
  <c r="BZ3" i="8415"/>
  <c r="BZ2" i="8415"/>
  <c r="BR2" i="8415" a="1"/>
  <c r="BR2" i="8415" s="1"/>
  <c r="BQ6" i="8415"/>
  <c r="BQ5" i="8415"/>
  <c r="BQ4" i="8415"/>
  <c r="BQ3" i="8415"/>
  <c r="BQ2" i="8415"/>
  <c r="BP6" i="8415"/>
  <c r="BP5" i="8415"/>
  <c r="BP4" i="8415"/>
  <c r="BP3" i="8415"/>
  <c r="BP2" i="8415"/>
  <c r="BH2" i="8415" a="1"/>
  <c r="BH2" i="8415" s="1"/>
  <c r="BG6" i="8415"/>
  <c r="BG5" i="8415"/>
  <c r="BG4" i="8415"/>
  <c r="BG3" i="8415"/>
  <c r="BG2" i="8415"/>
  <c r="BF6" i="8415"/>
  <c r="BF5" i="8415"/>
  <c r="BF4" i="8415"/>
  <c r="BF3" i="8415"/>
  <c r="BF2" i="8415"/>
  <c r="AX2" i="8415" a="1"/>
  <c r="AX2" i="8415" s="1"/>
  <c r="AW6" i="8415"/>
  <c r="AW5" i="8415"/>
  <c r="AW4" i="8415"/>
  <c r="AW3" i="8415"/>
  <c r="AW2" i="8415"/>
  <c r="AV6" i="8415"/>
  <c r="AV5" i="8415"/>
  <c r="AV4" i="8415"/>
  <c r="AV3" i="8415"/>
  <c r="AV2" i="8415"/>
  <c r="AN2" i="8415" a="1"/>
  <c r="AN2" i="8415" s="1"/>
  <c r="AM6" i="8415"/>
  <c r="AM5" i="8415"/>
  <c r="AM4" i="8415"/>
  <c r="AM3" i="8415"/>
  <c r="AM2" i="8415"/>
  <c r="AL6" i="8415"/>
  <c r="AL5" i="8415"/>
  <c r="AL4" i="8415"/>
  <c r="AL3" i="8415"/>
  <c r="AL2" i="8415"/>
  <c r="AD2" i="8415" a="1"/>
  <c r="AD2" i="8415" s="1"/>
  <c r="AC6" i="8415"/>
  <c r="AC5" i="8415"/>
  <c r="AC4" i="8415"/>
  <c r="AC3" i="8415"/>
  <c r="AC2" i="8415"/>
  <c r="AB6" i="8415"/>
  <c r="AB5" i="8415"/>
  <c r="AB4" i="8415"/>
  <c r="AB3" i="8415"/>
  <c r="AB2" i="8415"/>
  <c r="T2" i="8415" a="1"/>
  <c r="T2" i="8415" s="1"/>
  <c r="S6" i="8415"/>
  <c r="S5" i="8415"/>
  <c r="S4" i="8415"/>
  <c r="S3" i="8415"/>
  <c r="S2" i="8415"/>
  <c r="R5" i="8415"/>
  <c r="R4" i="8415"/>
  <c r="R3" i="8415"/>
  <c r="R2" i="8415"/>
  <c r="J2" i="8415" a="1"/>
  <c r="J2" i="8415" s="1"/>
  <c r="H60" i="8415"/>
  <c r="H59" i="8415"/>
  <c r="H58" i="8415"/>
  <c r="H57" i="8415"/>
  <c r="H56" i="8415"/>
  <c r="H55" i="8415"/>
  <c r="H54" i="8415"/>
  <c r="H53" i="8415"/>
  <c r="H52" i="8415"/>
  <c r="H51" i="8415"/>
  <c r="H50" i="8415"/>
  <c r="H49" i="8415"/>
  <c r="H48" i="8415"/>
  <c r="H47" i="8415"/>
  <c r="H46" i="8415"/>
  <c r="H45" i="8415"/>
  <c r="H44" i="8415"/>
  <c r="H43" i="8415"/>
  <c r="H42" i="8415"/>
  <c r="H41" i="8415"/>
  <c r="H40" i="8415"/>
  <c r="H39" i="8415"/>
  <c r="H38" i="8415"/>
  <c r="H37" i="8415"/>
  <c r="H36" i="8415"/>
  <c r="H35" i="8415"/>
  <c r="H34" i="8415"/>
  <c r="H33" i="8415"/>
  <c r="H32" i="8415"/>
  <c r="H31" i="8415"/>
  <c r="H30" i="8415"/>
  <c r="H29" i="8415"/>
  <c r="H28" i="8415"/>
  <c r="H27" i="8415"/>
  <c r="H26" i="8415"/>
  <c r="H25" i="8415"/>
  <c r="H24" i="8415"/>
  <c r="H23" i="8415"/>
  <c r="H22" i="8415"/>
  <c r="H21" i="8415"/>
  <c r="H20" i="8415"/>
  <c r="H19" i="8415"/>
  <c r="H18" i="8415"/>
  <c r="H17" i="8415"/>
  <c r="H16" i="8415"/>
  <c r="H15" i="8415"/>
  <c r="H14" i="8415"/>
  <c r="H13" i="8415"/>
  <c r="H12" i="8415"/>
  <c r="H11" i="8415"/>
  <c r="H10" i="8415"/>
  <c r="H9" i="8415"/>
  <c r="H8" i="8415"/>
  <c r="H7" i="8415"/>
  <c r="H6" i="8415"/>
  <c r="H5" i="8415"/>
  <c r="H4" i="8415"/>
  <c r="H3" i="8415"/>
  <c r="H2" i="8415"/>
  <c r="I1" i="8414"/>
  <c r="DY6" i="8414"/>
  <c r="DY5" i="8414"/>
  <c r="DY4" i="8414"/>
  <c r="DY3" i="8414"/>
  <c r="DY2" i="8414"/>
  <c r="DX6" i="8414"/>
  <c r="DX5" i="8414"/>
  <c r="DX4" i="8414"/>
  <c r="DX3" i="8414"/>
  <c r="DX2" i="8414"/>
  <c r="DP2" i="8414" a="1"/>
  <c r="DP2" i="8414" s="1"/>
  <c r="DO6" i="8414"/>
  <c r="DO5" i="8414"/>
  <c r="DO4" i="8414"/>
  <c r="DO3" i="8414"/>
  <c r="DO2" i="8414"/>
  <c r="DN6" i="8414"/>
  <c r="DN5" i="8414"/>
  <c r="DN4" i="8414"/>
  <c r="DN3" i="8414"/>
  <c r="DN2" i="8414"/>
  <c r="DF2" i="8414" a="1"/>
  <c r="DF2" i="8414" s="1"/>
  <c r="DE6" i="8414"/>
  <c r="DE5" i="8414"/>
  <c r="DE4" i="8414"/>
  <c r="DE3" i="8414"/>
  <c r="DE2" i="8414"/>
  <c r="DD6" i="8414"/>
  <c r="DD5" i="8414"/>
  <c r="DD4" i="8414"/>
  <c r="DD3" i="8414"/>
  <c r="DD2" i="8414"/>
  <c r="CV2" i="8414" a="1"/>
  <c r="CV2" i="8414" s="1"/>
  <c r="CU6" i="8414"/>
  <c r="CU5" i="8414"/>
  <c r="CU4" i="8414"/>
  <c r="CU3" i="8414"/>
  <c r="CU2" i="8414"/>
  <c r="CT6" i="8414"/>
  <c r="CT5" i="8414"/>
  <c r="CT4" i="8414"/>
  <c r="CT3" i="8414"/>
  <c r="CT2" i="8414"/>
  <c r="CL2" i="8414" a="1"/>
  <c r="CL2" i="8414" s="1"/>
  <c r="CK6" i="8414"/>
  <c r="CK5" i="8414"/>
  <c r="CK4" i="8414"/>
  <c r="CK3" i="8414"/>
  <c r="CK2" i="8414"/>
  <c r="CJ6" i="8414"/>
  <c r="CJ5" i="8414"/>
  <c r="CJ4" i="8414"/>
  <c r="CJ3" i="8414"/>
  <c r="CJ2" i="8414"/>
  <c r="CB2" i="8414" a="1"/>
  <c r="CB2" i="8414" s="1"/>
  <c r="CA6" i="8414"/>
  <c r="CA5" i="8414"/>
  <c r="CA4" i="8414"/>
  <c r="CA3" i="8414"/>
  <c r="CA2" i="8414"/>
  <c r="BZ6" i="8414"/>
  <c r="BZ5" i="8414"/>
  <c r="BZ4" i="8414"/>
  <c r="BZ3" i="8414"/>
  <c r="BZ2" i="8414"/>
  <c r="BR2" i="8414" a="1"/>
  <c r="BR2" i="8414" s="1"/>
  <c r="BQ6" i="8414"/>
  <c r="BQ5" i="8414"/>
  <c r="BQ4" i="8414"/>
  <c r="BQ3" i="8414"/>
  <c r="BQ2" i="8414"/>
  <c r="BP6" i="8414"/>
  <c r="BP5" i="8414"/>
  <c r="BP4" i="8414"/>
  <c r="BP3" i="8414"/>
  <c r="BP2" i="8414"/>
  <c r="BH2" i="8414" a="1"/>
  <c r="BH2" i="8414" s="1"/>
  <c r="BG6" i="8414"/>
  <c r="BG5" i="8414"/>
  <c r="BG4" i="8414"/>
  <c r="BG3" i="8414"/>
  <c r="BG2" i="8414"/>
  <c r="BF6" i="8414"/>
  <c r="BF5" i="8414"/>
  <c r="BF4" i="8414"/>
  <c r="BF3" i="8414"/>
  <c r="BF2" i="8414"/>
  <c r="AX2" i="8414" a="1"/>
  <c r="AX2" i="8414" s="1"/>
  <c r="AW6" i="8414"/>
  <c r="AW5" i="8414"/>
  <c r="AW4" i="8414"/>
  <c r="AW3" i="8414"/>
  <c r="AW2" i="8414"/>
  <c r="AV6" i="8414"/>
  <c r="AV5" i="8414"/>
  <c r="AV4" i="8414"/>
  <c r="AV3" i="8414"/>
  <c r="AV2" i="8414"/>
  <c r="AN2" i="8414" a="1"/>
  <c r="AN2" i="8414" s="1"/>
  <c r="AM6" i="8414"/>
  <c r="AM5" i="8414"/>
  <c r="AM4" i="8414"/>
  <c r="AM3" i="8414"/>
  <c r="AM2" i="8414"/>
  <c r="AL6" i="8414"/>
  <c r="AL5" i="8414"/>
  <c r="AL4" i="8414"/>
  <c r="AL3" i="8414"/>
  <c r="AL2" i="8414"/>
  <c r="AD2" i="8414" a="1"/>
  <c r="AD2" i="8414" s="1"/>
  <c r="AC6" i="8414"/>
  <c r="AC5" i="8414"/>
  <c r="AC4" i="8414"/>
  <c r="AC3" i="8414"/>
  <c r="AC2" i="8414"/>
  <c r="AB6" i="8414"/>
  <c r="AB5" i="8414"/>
  <c r="AB4" i="8414"/>
  <c r="AB3" i="8414"/>
  <c r="AB2" i="8414"/>
  <c r="T2" i="8414" a="1"/>
  <c r="T2" i="8414" s="1"/>
  <c r="S6" i="8414"/>
  <c r="S5" i="8414"/>
  <c r="S4" i="8414"/>
  <c r="S3" i="8414"/>
  <c r="S2" i="8414"/>
  <c r="R5" i="8414"/>
  <c r="R4" i="8414"/>
  <c r="R3" i="8414"/>
  <c r="R2" i="8414"/>
  <c r="J2" i="8414" a="1"/>
  <c r="J2" i="8414" s="1"/>
  <c r="H60" i="8414"/>
  <c r="H59" i="8414"/>
  <c r="H58" i="8414"/>
  <c r="H57" i="8414"/>
  <c r="H56" i="8414"/>
  <c r="H55" i="8414"/>
  <c r="H54" i="8414"/>
  <c r="H53" i="8414"/>
  <c r="H52" i="8414"/>
  <c r="H51" i="8414"/>
  <c r="H50" i="8414"/>
  <c r="H49" i="8414"/>
  <c r="H48" i="8414"/>
  <c r="H47" i="8414"/>
  <c r="H46" i="8414"/>
  <c r="H45" i="8414"/>
  <c r="H44" i="8414"/>
  <c r="H43" i="8414"/>
  <c r="H42" i="8414"/>
  <c r="H41" i="8414"/>
  <c r="H40" i="8414"/>
  <c r="H39" i="8414"/>
  <c r="H38" i="8414"/>
  <c r="H37" i="8414"/>
  <c r="H36" i="8414"/>
  <c r="H35" i="8414"/>
  <c r="H34" i="8414"/>
  <c r="H33" i="8414"/>
  <c r="H32" i="8414"/>
  <c r="H31" i="8414"/>
  <c r="H30" i="8414"/>
  <c r="H29" i="8414"/>
  <c r="H28" i="8414"/>
  <c r="H27" i="8414"/>
  <c r="H26" i="8414"/>
  <c r="H25" i="8414"/>
  <c r="H24" i="8414"/>
  <c r="H23" i="8414"/>
  <c r="H22" i="8414"/>
  <c r="H21" i="8414"/>
  <c r="H20" i="8414"/>
  <c r="H19" i="8414"/>
  <c r="H18" i="8414"/>
  <c r="H17" i="8414"/>
  <c r="H16" i="8414"/>
  <c r="H15" i="8414"/>
  <c r="H14" i="8414"/>
  <c r="H13" i="8414"/>
  <c r="H12" i="8414"/>
  <c r="H11" i="8414"/>
  <c r="H10" i="8414"/>
  <c r="H9" i="8414"/>
  <c r="H8" i="8414"/>
  <c r="H7" i="8414"/>
  <c r="H6" i="8414"/>
  <c r="H5" i="8414"/>
  <c r="H4" i="8414"/>
  <c r="H3" i="8414"/>
  <c r="H2" i="8414"/>
  <c r="I1" i="8413"/>
  <c r="DY6" i="8413"/>
  <c r="DY5" i="8413"/>
  <c r="DY4" i="8413"/>
  <c r="DY3" i="8413"/>
  <c r="DY2" i="8413"/>
  <c r="DX6" i="8413"/>
  <c r="DX5" i="8413"/>
  <c r="DX4" i="8413"/>
  <c r="DX3" i="8413"/>
  <c r="DX2" i="8413"/>
  <c r="DP2" i="8413" a="1"/>
  <c r="DP2" i="8413" s="1"/>
  <c r="DO6" i="8413"/>
  <c r="DO5" i="8413"/>
  <c r="DO4" i="8413"/>
  <c r="DO3" i="8413"/>
  <c r="DO2" i="8413"/>
  <c r="DN6" i="8413"/>
  <c r="DN5" i="8413"/>
  <c r="DN4" i="8413"/>
  <c r="DN3" i="8413"/>
  <c r="DN2" i="8413"/>
  <c r="DF2" i="8413" a="1"/>
  <c r="DF2" i="8413" s="1"/>
  <c r="DE6" i="8413"/>
  <c r="DE5" i="8413"/>
  <c r="DE4" i="8413"/>
  <c r="DE3" i="8413"/>
  <c r="DE2" i="8413"/>
  <c r="DD6" i="8413"/>
  <c r="DD5" i="8413"/>
  <c r="DD4" i="8413"/>
  <c r="DD3" i="8413"/>
  <c r="DD2" i="8413"/>
  <c r="CV2" i="8413" a="1"/>
  <c r="CV2" i="8413" s="1"/>
  <c r="CU6" i="8413"/>
  <c r="CU5" i="8413"/>
  <c r="CU4" i="8413"/>
  <c r="CU3" i="8413"/>
  <c r="CU2" i="8413"/>
  <c r="CT6" i="8413"/>
  <c r="CT5" i="8413"/>
  <c r="CT4" i="8413"/>
  <c r="CT3" i="8413"/>
  <c r="CT2" i="8413"/>
  <c r="CL2" i="8413" a="1"/>
  <c r="CL2" i="8413" s="1"/>
  <c r="CK6" i="8413"/>
  <c r="CK5" i="8413"/>
  <c r="CK4" i="8413"/>
  <c r="CK3" i="8413"/>
  <c r="CK2" i="8413"/>
  <c r="CJ6" i="8413"/>
  <c r="CJ5" i="8413"/>
  <c r="CJ4" i="8413"/>
  <c r="CJ3" i="8413"/>
  <c r="CJ2" i="8413"/>
  <c r="CB2" i="8413" a="1"/>
  <c r="CB2" i="8413" s="1"/>
  <c r="CA6" i="8413"/>
  <c r="CA5" i="8413"/>
  <c r="CA4" i="8413"/>
  <c r="CA3" i="8413"/>
  <c r="CA2" i="8413"/>
  <c r="BZ6" i="8413"/>
  <c r="BZ5" i="8413"/>
  <c r="BZ4" i="8413"/>
  <c r="BZ3" i="8413"/>
  <c r="BZ2" i="8413"/>
  <c r="BR2" i="8413" a="1"/>
  <c r="BR2" i="8413" s="1"/>
  <c r="BQ6" i="8413"/>
  <c r="BQ5" i="8413"/>
  <c r="BQ4" i="8413"/>
  <c r="BQ3" i="8413"/>
  <c r="BQ2" i="8413"/>
  <c r="BP6" i="8413"/>
  <c r="BP5" i="8413"/>
  <c r="BP4" i="8413"/>
  <c r="BP3" i="8413"/>
  <c r="BP2" i="8413"/>
  <c r="BH2" i="8413" a="1"/>
  <c r="BH2" i="8413" s="1"/>
  <c r="BG6" i="8413"/>
  <c r="BG5" i="8413"/>
  <c r="BG4" i="8413"/>
  <c r="BG3" i="8413"/>
  <c r="BG2" i="8413"/>
  <c r="BF6" i="8413"/>
  <c r="BF5" i="8413"/>
  <c r="BF4" i="8413"/>
  <c r="BF3" i="8413"/>
  <c r="BF2" i="8413"/>
  <c r="AX2" i="8413" a="1"/>
  <c r="AX2" i="8413" s="1"/>
  <c r="AW6" i="8413"/>
  <c r="AW5" i="8413"/>
  <c r="AW4" i="8413"/>
  <c r="AW3" i="8413"/>
  <c r="AW2" i="8413"/>
  <c r="AV6" i="8413"/>
  <c r="AV5" i="8413"/>
  <c r="AV4" i="8413"/>
  <c r="AV3" i="8413"/>
  <c r="AV2" i="8413"/>
  <c r="AN2" i="8413" a="1"/>
  <c r="AN2" i="8413" s="1"/>
  <c r="AM6" i="8413"/>
  <c r="AM5" i="8413"/>
  <c r="AM4" i="8413"/>
  <c r="AM3" i="8413"/>
  <c r="AM2" i="8413"/>
  <c r="AL6" i="8413"/>
  <c r="AL5" i="8413"/>
  <c r="AL4" i="8413"/>
  <c r="AL3" i="8413"/>
  <c r="AL2" i="8413"/>
  <c r="AD2" i="8413" a="1"/>
  <c r="AD2" i="8413" s="1"/>
  <c r="AC6" i="8413"/>
  <c r="AC5" i="8413"/>
  <c r="AC4" i="8413"/>
  <c r="AC3" i="8413"/>
  <c r="AC2" i="8413"/>
  <c r="AB6" i="8413"/>
  <c r="AB5" i="8413"/>
  <c r="AB4" i="8413"/>
  <c r="AB3" i="8413"/>
  <c r="AB2" i="8413"/>
  <c r="T2" i="8413" a="1"/>
  <c r="T2" i="8413" s="1"/>
  <c r="S6" i="8413"/>
  <c r="S5" i="8413"/>
  <c r="S4" i="8413"/>
  <c r="S3" i="8413"/>
  <c r="S2" i="8413"/>
  <c r="R5" i="8413"/>
  <c r="R4" i="8413"/>
  <c r="R3" i="8413"/>
  <c r="R2" i="8413"/>
  <c r="J2" i="8413" a="1"/>
  <c r="J2" i="8413" s="1"/>
  <c r="H60" i="8413"/>
  <c r="H59" i="8413"/>
  <c r="H58" i="8413"/>
  <c r="H57" i="8413"/>
  <c r="H56" i="8413"/>
  <c r="H55" i="8413"/>
  <c r="H54" i="8413"/>
  <c r="H53" i="8413"/>
  <c r="H52" i="8413"/>
  <c r="H51" i="8413"/>
  <c r="H50" i="8413"/>
  <c r="H49" i="8413"/>
  <c r="H48" i="8413"/>
  <c r="H47" i="8413"/>
  <c r="H46" i="8413"/>
  <c r="H45" i="8413"/>
  <c r="H44" i="8413"/>
  <c r="H43" i="8413"/>
  <c r="H42" i="8413"/>
  <c r="H41" i="8413"/>
  <c r="H40" i="8413"/>
  <c r="H39" i="8413"/>
  <c r="H38" i="8413"/>
  <c r="H37" i="8413"/>
  <c r="H36" i="8413"/>
  <c r="H35" i="8413"/>
  <c r="H34" i="8413"/>
  <c r="H33" i="8413"/>
  <c r="H32" i="8413"/>
  <c r="H31" i="8413"/>
  <c r="H30" i="8413"/>
  <c r="H29" i="8413"/>
  <c r="H28" i="8413"/>
  <c r="H27" i="8413"/>
  <c r="H26" i="8413"/>
  <c r="H25" i="8413"/>
  <c r="H24" i="8413"/>
  <c r="H23" i="8413"/>
  <c r="H22" i="8413"/>
  <c r="H21" i="8413"/>
  <c r="H20" i="8413"/>
  <c r="H19" i="8413"/>
  <c r="H18" i="8413"/>
  <c r="H17" i="8413"/>
  <c r="H16" i="8413"/>
  <c r="H15" i="8413"/>
  <c r="H14" i="8413"/>
  <c r="H13" i="8413"/>
  <c r="H12" i="8413"/>
  <c r="H11" i="8413"/>
  <c r="H10" i="8413"/>
  <c r="H9" i="8413"/>
  <c r="H8" i="8413"/>
  <c r="H7" i="8413"/>
  <c r="H6" i="8413"/>
  <c r="H5" i="8413"/>
  <c r="H4" i="8413"/>
  <c r="H3" i="8413"/>
  <c r="H2" i="8413"/>
  <c r="I1" i="8412"/>
  <c r="DY6" i="8412"/>
  <c r="DY5" i="8412"/>
  <c r="DY4" i="8412"/>
  <c r="DY3" i="8412"/>
  <c r="DY2" i="8412"/>
  <c r="DX6" i="8412"/>
  <c r="DX5" i="8412"/>
  <c r="DX4" i="8412"/>
  <c r="DX3" i="8412"/>
  <c r="DX2" i="8412"/>
  <c r="DP2" i="8412" a="1"/>
  <c r="DP2" i="8412" s="1"/>
  <c r="DO6" i="8412"/>
  <c r="DO5" i="8412"/>
  <c r="DO4" i="8412"/>
  <c r="DO3" i="8412"/>
  <c r="DO2" i="8412"/>
  <c r="DN6" i="8412"/>
  <c r="DN5" i="8412"/>
  <c r="DN4" i="8412"/>
  <c r="DN3" i="8412"/>
  <c r="DN2" i="8412"/>
  <c r="DF2" i="8412" a="1"/>
  <c r="DF2" i="8412" s="1"/>
  <c r="DE6" i="8412"/>
  <c r="DE5" i="8412"/>
  <c r="DE4" i="8412"/>
  <c r="DE3" i="8412"/>
  <c r="DE2" i="8412"/>
  <c r="DD6" i="8412"/>
  <c r="DD5" i="8412"/>
  <c r="DD4" i="8412"/>
  <c r="DD3" i="8412"/>
  <c r="DD2" i="8412"/>
  <c r="CV2" i="8412" a="1"/>
  <c r="CV2" i="8412" s="1"/>
  <c r="CU6" i="8412"/>
  <c r="CU5" i="8412"/>
  <c r="CU4" i="8412"/>
  <c r="CU3" i="8412"/>
  <c r="CU2" i="8412"/>
  <c r="CT6" i="8412"/>
  <c r="CT5" i="8412"/>
  <c r="CT4" i="8412"/>
  <c r="CT3" i="8412"/>
  <c r="CT2" i="8412"/>
  <c r="CL2" i="8412" a="1"/>
  <c r="CL2" i="8412" s="1"/>
  <c r="CK6" i="8412"/>
  <c r="CK5" i="8412"/>
  <c r="CK4" i="8412"/>
  <c r="CK3" i="8412"/>
  <c r="CK2" i="8412"/>
  <c r="CJ6" i="8412"/>
  <c r="CJ5" i="8412"/>
  <c r="CJ4" i="8412"/>
  <c r="CJ3" i="8412"/>
  <c r="CJ2" i="8412"/>
  <c r="CB2" i="8412" a="1"/>
  <c r="CB2" i="8412" s="1"/>
  <c r="CA6" i="8412"/>
  <c r="CA5" i="8412"/>
  <c r="CA4" i="8412"/>
  <c r="CA3" i="8412"/>
  <c r="CA2" i="8412"/>
  <c r="BZ6" i="8412"/>
  <c r="BZ5" i="8412"/>
  <c r="BZ4" i="8412"/>
  <c r="BZ3" i="8412"/>
  <c r="BZ2" i="8412"/>
  <c r="BR2" i="8412" a="1"/>
  <c r="BR2" i="8412" s="1"/>
  <c r="BQ6" i="8412"/>
  <c r="BQ5" i="8412"/>
  <c r="BQ4" i="8412"/>
  <c r="BQ3" i="8412"/>
  <c r="BQ2" i="8412"/>
  <c r="BP6" i="8412"/>
  <c r="BP5" i="8412"/>
  <c r="BP4" i="8412"/>
  <c r="BP3" i="8412"/>
  <c r="BP2" i="8412"/>
  <c r="BH2" i="8412" a="1"/>
  <c r="BH2" i="8412" s="1"/>
  <c r="BG6" i="8412"/>
  <c r="BG5" i="8412"/>
  <c r="BG4" i="8412"/>
  <c r="BG3" i="8412"/>
  <c r="BG2" i="8412"/>
  <c r="BF6" i="8412"/>
  <c r="BF5" i="8412"/>
  <c r="BF4" i="8412"/>
  <c r="BF3" i="8412"/>
  <c r="BF2" i="8412"/>
  <c r="AX2" i="8412" a="1"/>
  <c r="AX2" i="8412" s="1"/>
  <c r="AW6" i="8412"/>
  <c r="AW5" i="8412"/>
  <c r="AW4" i="8412"/>
  <c r="AW3" i="8412"/>
  <c r="AW2" i="8412"/>
  <c r="AV6" i="8412"/>
  <c r="AV5" i="8412"/>
  <c r="AV4" i="8412"/>
  <c r="AV3" i="8412"/>
  <c r="AV2" i="8412"/>
  <c r="AN2" i="8412" a="1"/>
  <c r="AN2" i="8412" s="1"/>
  <c r="AM6" i="8412"/>
  <c r="AM5" i="8412"/>
  <c r="AM4" i="8412"/>
  <c r="AM3" i="8412"/>
  <c r="AM2" i="8412"/>
  <c r="AL6" i="8412"/>
  <c r="AL5" i="8412"/>
  <c r="AL4" i="8412"/>
  <c r="AL3" i="8412"/>
  <c r="AL2" i="8412"/>
  <c r="AD2" i="8412" a="1"/>
  <c r="AD2" i="8412" s="1"/>
  <c r="AC6" i="8412"/>
  <c r="AC5" i="8412"/>
  <c r="AC4" i="8412"/>
  <c r="AC3" i="8412"/>
  <c r="AC2" i="8412"/>
  <c r="AB6" i="8412"/>
  <c r="AB5" i="8412"/>
  <c r="AB4" i="8412"/>
  <c r="AB3" i="8412"/>
  <c r="AB2" i="8412"/>
  <c r="T2" i="8412" a="1"/>
  <c r="T2" i="8412" s="1"/>
  <c r="S6" i="8412"/>
  <c r="S5" i="8412"/>
  <c r="S4" i="8412"/>
  <c r="S3" i="8412"/>
  <c r="S2" i="8412"/>
  <c r="R5" i="8412"/>
  <c r="R4" i="8412"/>
  <c r="R3" i="8412"/>
  <c r="R2" i="8412"/>
  <c r="J2" i="8412" a="1"/>
  <c r="J2" i="8412" s="1"/>
  <c r="H60" i="8412"/>
  <c r="H59" i="8412"/>
  <c r="H58" i="8412"/>
  <c r="H57" i="8412"/>
  <c r="H56" i="8412"/>
  <c r="H55" i="8412"/>
  <c r="H54" i="8412"/>
  <c r="H53" i="8412"/>
  <c r="H52" i="8412"/>
  <c r="H51" i="8412"/>
  <c r="H50" i="8412"/>
  <c r="H49" i="8412"/>
  <c r="H48" i="8412"/>
  <c r="H47" i="8412"/>
  <c r="H46" i="8412"/>
  <c r="H45" i="8412"/>
  <c r="H44" i="8412"/>
  <c r="H43" i="8412"/>
  <c r="H42" i="8412"/>
  <c r="H41" i="8412"/>
  <c r="H40" i="8412"/>
  <c r="H39" i="8412"/>
  <c r="H38" i="8412"/>
  <c r="H37" i="8412"/>
  <c r="H36" i="8412"/>
  <c r="H35" i="8412"/>
  <c r="H34" i="8412"/>
  <c r="H33" i="8412"/>
  <c r="H32" i="8412"/>
  <c r="H31" i="8412"/>
  <c r="H30" i="8412"/>
  <c r="H29" i="8412"/>
  <c r="H28" i="8412"/>
  <c r="H27" i="8412"/>
  <c r="H26" i="8412"/>
  <c r="H25" i="8412"/>
  <c r="H24" i="8412"/>
  <c r="H23" i="8412"/>
  <c r="H22" i="8412"/>
  <c r="H21" i="8412"/>
  <c r="H20" i="8412"/>
  <c r="H19" i="8412"/>
  <c r="H18" i="8412"/>
  <c r="H17" i="8412"/>
  <c r="H16" i="8412"/>
  <c r="H15" i="8412"/>
  <c r="H14" i="8412"/>
  <c r="H13" i="8412"/>
  <c r="H12" i="8412"/>
  <c r="H11" i="8412"/>
  <c r="H10" i="8412"/>
  <c r="H9" i="8412"/>
  <c r="H8" i="8412"/>
  <c r="H7" i="8412"/>
  <c r="H6" i="8412"/>
  <c r="H5" i="8412"/>
  <c r="H4" i="8412"/>
  <c r="H3" i="8412"/>
  <c r="H2" i="8412"/>
  <c r="I1" i="8411"/>
  <c r="DY6" i="8411"/>
  <c r="DY5" i="8411"/>
  <c r="DY4" i="8411"/>
  <c r="DY3" i="8411"/>
  <c r="DY2" i="8411"/>
  <c r="DX6" i="8411"/>
  <c r="DX5" i="8411"/>
  <c r="DX4" i="8411"/>
  <c r="DX3" i="8411"/>
  <c r="DX2" i="8411"/>
  <c r="DP2" i="8411" a="1"/>
  <c r="DP2" i="8411" s="1"/>
  <c r="DO6" i="8411"/>
  <c r="DO5" i="8411"/>
  <c r="DO4" i="8411"/>
  <c r="DO3" i="8411"/>
  <c r="DO2" i="8411"/>
  <c r="DN6" i="8411"/>
  <c r="DN5" i="8411"/>
  <c r="DN4" i="8411"/>
  <c r="DN3" i="8411"/>
  <c r="DN2" i="8411"/>
  <c r="DF2" i="8411" a="1"/>
  <c r="DF2" i="8411" s="1"/>
  <c r="DE6" i="8411"/>
  <c r="DE5" i="8411"/>
  <c r="DE4" i="8411"/>
  <c r="DE3" i="8411"/>
  <c r="DE2" i="8411"/>
  <c r="DD6" i="8411"/>
  <c r="DD5" i="8411"/>
  <c r="DD4" i="8411"/>
  <c r="DD3" i="8411"/>
  <c r="DD2" i="8411"/>
  <c r="CV2" i="8411" a="1"/>
  <c r="CV2" i="8411" s="1"/>
  <c r="CU6" i="8411"/>
  <c r="CU5" i="8411"/>
  <c r="CU4" i="8411"/>
  <c r="CU3" i="8411"/>
  <c r="CU2" i="8411"/>
  <c r="CT6" i="8411"/>
  <c r="CT5" i="8411"/>
  <c r="CT4" i="8411"/>
  <c r="CT3" i="8411"/>
  <c r="CT2" i="8411"/>
  <c r="CL2" i="8411" a="1"/>
  <c r="CL2" i="8411" s="1"/>
  <c r="CK6" i="8411"/>
  <c r="CK5" i="8411"/>
  <c r="CK4" i="8411"/>
  <c r="CK3" i="8411"/>
  <c r="CK2" i="8411"/>
  <c r="CJ6" i="8411"/>
  <c r="CJ5" i="8411"/>
  <c r="CJ4" i="8411"/>
  <c r="CJ3" i="8411"/>
  <c r="CJ2" i="8411"/>
  <c r="CB2" i="8411" a="1"/>
  <c r="CB2" i="8411" s="1"/>
  <c r="CA6" i="8411"/>
  <c r="CA5" i="8411"/>
  <c r="CA4" i="8411"/>
  <c r="CA3" i="8411"/>
  <c r="CA2" i="8411"/>
  <c r="BZ6" i="8411"/>
  <c r="BZ5" i="8411"/>
  <c r="BZ4" i="8411"/>
  <c r="BZ3" i="8411"/>
  <c r="BZ2" i="8411"/>
  <c r="BR2" i="8411" a="1"/>
  <c r="BR2" i="8411" s="1"/>
  <c r="BQ6" i="8411"/>
  <c r="BQ5" i="8411"/>
  <c r="BQ4" i="8411"/>
  <c r="BQ3" i="8411"/>
  <c r="BQ2" i="8411"/>
  <c r="BP6" i="8411"/>
  <c r="BP5" i="8411"/>
  <c r="BP4" i="8411"/>
  <c r="BP3" i="8411"/>
  <c r="BP2" i="8411"/>
  <c r="BH2" i="8411" a="1"/>
  <c r="BH2" i="8411" s="1"/>
  <c r="BG6" i="8411"/>
  <c r="BG5" i="8411"/>
  <c r="BG4" i="8411"/>
  <c r="BG3" i="8411"/>
  <c r="BG2" i="8411"/>
  <c r="BF6" i="8411"/>
  <c r="BF5" i="8411"/>
  <c r="BF4" i="8411"/>
  <c r="BF3" i="8411"/>
  <c r="BF2" i="8411"/>
  <c r="AX2" i="8411" a="1"/>
  <c r="AX2" i="8411" s="1"/>
  <c r="AW6" i="8411"/>
  <c r="AW5" i="8411"/>
  <c r="AW4" i="8411"/>
  <c r="AW3" i="8411"/>
  <c r="AW2" i="8411"/>
  <c r="AV6" i="8411"/>
  <c r="AV5" i="8411"/>
  <c r="AV4" i="8411"/>
  <c r="AV3" i="8411"/>
  <c r="AV2" i="8411"/>
  <c r="AN2" i="8411" a="1"/>
  <c r="AN2" i="8411" s="1"/>
  <c r="AM6" i="8411"/>
  <c r="AM5" i="8411"/>
  <c r="AM4" i="8411"/>
  <c r="AM3" i="8411"/>
  <c r="AM2" i="8411"/>
  <c r="AL6" i="8411"/>
  <c r="AL5" i="8411"/>
  <c r="AL4" i="8411"/>
  <c r="AL3" i="8411"/>
  <c r="AL2" i="8411"/>
  <c r="AD2" i="8411" a="1"/>
  <c r="AD2" i="8411" s="1"/>
  <c r="AC6" i="8411"/>
  <c r="AC5" i="8411"/>
  <c r="AC4" i="8411"/>
  <c r="AC3" i="8411"/>
  <c r="AC2" i="8411"/>
  <c r="AB6" i="8411"/>
  <c r="AB5" i="8411"/>
  <c r="AB4" i="8411"/>
  <c r="AB3" i="8411"/>
  <c r="AB2" i="8411"/>
  <c r="T2" i="8411" a="1"/>
  <c r="T2" i="8411" s="1"/>
  <c r="S6" i="8411"/>
  <c r="S5" i="8411"/>
  <c r="S4" i="8411"/>
  <c r="S3" i="8411"/>
  <c r="S2" i="8411"/>
  <c r="R5" i="8411"/>
  <c r="R4" i="8411"/>
  <c r="R3" i="8411"/>
  <c r="R2" i="8411"/>
  <c r="J2" i="8411" a="1"/>
  <c r="J2" i="8411" s="1"/>
  <c r="H60" i="8411"/>
  <c r="H59" i="8411"/>
  <c r="H58" i="8411"/>
  <c r="H57" i="8411"/>
  <c r="H56" i="8411"/>
  <c r="H55" i="8411"/>
  <c r="H54" i="8411"/>
  <c r="H53" i="8411"/>
  <c r="H52" i="8411"/>
  <c r="H51" i="8411"/>
  <c r="H50" i="8411"/>
  <c r="H49" i="8411"/>
  <c r="H48" i="8411"/>
  <c r="H47" i="8411"/>
  <c r="H46" i="8411"/>
  <c r="H45" i="8411"/>
  <c r="H44" i="8411"/>
  <c r="H43" i="8411"/>
  <c r="H42" i="8411"/>
  <c r="H41" i="8411"/>
  <c r="H40" i="8411"/>
  <c r="H39" i="8411"/>
  <c r="H38" i="8411"/>
  <c r="H37" i="8411"/>
  <c r="H36" i="8411"/>
  <c r="H35" i="8411"/>
  <c r="H34" i="8411"/>
  <c r="H33" i="8411"/>
  <c r="H32" i="8411"/>
  <c r="H31" i="8411"/>
  <c r="H30" i="8411"/>
  <c r="H29" i="8411"/>
  <c r="H28" i="8411"/>
  <c r="H27" i="8411"/>
  <c r="H26" i="8411"/>
  <c r="H25" i="8411"/>
  <c r="H24" i="8411"/>
  <c r="H23" i="8411"/>
  <c r="H22" i="8411"/>
  <c r="H21" i="8411"/>
  <c r="H20" i="8411"/>
  <c r="H19" i="8411"/>
  <c r="H18" i="8411"/>
  <c r="H17" i="8411"/>
  <c r="H16" i="8411"/>
  <c r="H15" i="8411"/>
  <c r="H14" i="8411"/>
  <c r="H13" i="8411"/>
  <c r="H12" i="8411"/>
  <c r="H11" i="8411"/>
  <c r="H10" i="8411"/>
  <c r="H9" i="8411"/>
  <c r="H8" i="8411"/>
  <c r="H7" i="8411"/>
  <c r="H6" i="8411"/>
  <c r="H5" i="8411"/>
  <c r="H4" i="8411"/>
  <c r="H3" i="8411"/>
  <c r="H2" i="8411"/>
  <c r="I1" i="8410"/>
  <c r="DY6" i="8410"/>
  <c r="DY5" i="8410"/>
  <c r="DY4" i="8410"/>
  <c r="DY3" i="8410"/>
  <c r="DY2" i="8410"/>
  <c r="DX6" i="8410"/>
  <c r="DX5" i="8410"/>
  <c r="DX4" i="8410"/>
  <c r="DX3" i="8410"/>
  <c r="DX2" i="8410"/>
  <c r="DP2" i="8410" a="1"/>
  <c r="DP2" i="8410" s="1"/>
  <c r="DO6" i="8410"/>
  <c r="DO5" i="8410"/>
  <c r="DO4" i="8410"/>
  <c r="DO3" i="8410"/>
  <c r="DO2" i="8410"/>
  <c r="DN6" i="8410"/>
  <c r="DN5" i="8410"/>
  <c r="DN4" i="8410"/>
  <c r="DN3" i="8410"/>
  <c r="DN2" i="8410"/>
  <c r="DF2" i="8410" a="1"/>
  <c r="DF2" i="8410" s="1"/>
  <c r="DE6" i="8410"/>
  <c r="DE5" i="8410"/>
  <c r="DE4" i="8410"/>
  <c r="DE3" i="8410"/>
  <c r="DE2" i="8410"/>
  <c r="DD6" i="8410"/>
  <c r="DD5" i="8410"/>
  <c r="DD4" i="8410"/>
  <c r="DD3" i="8410"/>
  <c r="DD2" i="8410"/>
  <c r="CV2" i="8410" a="1"/>
  <c r="CV2" i="8410" s="1"/>
  <c r="CU6" i="8410"/>
  <c r="CU5" i="8410"/>
  <c r="CU4" i="8410"/>
  <c r="CU3" i="8410"/>
  <c r="CU2" i="8410"/>
  <c r="CT6" i="8410"/>
  <c r="CT5" i="8410"/>
  <c r="CT4" i="8410"/>
  <c r="CT3" i="8410"/>
  <c r="CT2" i="8410"/>
  <c r="CL2" i="8410" a="1"/>
  <c r="CL2" i="8410" s="1"/>
  <c r="CK6" i="8410"/>
  <c r="CK5" i="8410"/>
  <c r="CK4" i="8410"/>
  <c r="CK3" i="8410"/>
  <c r="CK2" i="8410"/>
  <c r="CJ6" i="8410"/>
  <c r="CJ5" i="8410"/>
  <c r="CJ4" i="8410"/>
  <c r="CJ3" i="8410"/>
  <c r="CJ2" i="8410"/>
  <c r="CB2" i="8410" a="1"/>
  <c r="CB2" i="8410" s="1"/>
  <c r="CA6" i="8410"/>
  <c r="CA5" i="8410"/>
  <c r="CA4" i="8410"/>
  <c r="CA3" i="8410"/>
  <c r="CA2" i="8410"/>
  <c r="BZ6" i="8410"/>
  <c r="BZ5" i="8410"/>
  <c r="BZ4" i="8410"/>
  <c r="BZ3" i="8410"/>
  <c r="BZ2" i="8410"/>
  <c r="BR2" i="8410" a="1"/>
  <c r="BR2" i="8410" s="1"/>
  <c r="BQ6" i="8410"/>
  <c r="BQ5" i="8410"/>
  <c r="BQ4" i="8410"/>
  <c r="BQ3" i="8410"/>
  <c r="BQ2" i="8410"/>
  <c r="BP6" i="8410"/>
  <c r="BP5" i="8410"/>
  <c r="BP4" i="8410"/>
  <c r="BP3" i="8410"/>
  <c r="BP2" i="8410"/>
  <c r="BH2" i="8410" a="1"/>
  <c r="BH2" i="8410" s="1"/>
  <c r="BG6" i="8410"/>
  <c r="BG5" i="8410"/>
  <c r="BG4" i="8410"/>
  <c r="BG3" i="8410"/>
  <c r="BG2" i="8410"/>
  <c r="BF6" i="8410"/>
  <c r="BF5" i="8410"/>
  <c r="BF4" i="8410"/>
  <c r="BF3" i="8410"/>
  <c r="BF2" i="8410"/>
  <c r="AX2" i="8410" a="1"/>
  <c r="AX2" i="8410" s="1"/>
  <c r="AW6" i="8410"/>
  <c r="AW5" i="8410"/>
  <c r="AW4" i="8410"/>
  <c r="AW3" i="8410"/>
  <c r="AW2" i="8410"/>
  <c r="AV6" i="8410"/>
  <c r="AV5" i="8410"/>
  <c r="AV4" i="8410"/>
  <c r="AV3" i="8410"/>
  <c r="AV2" i="8410"/>
  <c r="AN2" i="8410" a="1"/>
  <c r="AN2" i="8410" s="1"/>
  <c r="AM6" i="8410"/>
  <c r="AM5" i="8410"/>
  <c r="AM4" i="8410"/>
  <c r="AM3" i="8410"/>
  <c r="AM2" i="8410"/>
  <c r="AL6" i="8410"/>
  <c r="AL5" i="8410"/>
  <c r="AL4" i="8410"/>
  <c r="AL3" i="8410"/>
  <c r="AL2" i="8410"/>
  <c r="AD2" i="8410" a="1"/>
  <c r="AD2" i="8410" s="1"/>
  <c r="AC6" i="8410"/>
  <c r="AC5" i="8410"/>
  <c r="AC4" i="8410"/>
  <c r="AC3" i="8410"/>
  <c r="AC2" i="8410"/>
  <c r="AB6" i="8410"/>
  <c r="AB5" i="8410"/>
  <c r="AB4" i="8410"/>
  <c r="AB3" i="8410"/>
  <c r="AB2" i="8410"/>
  <c r="T2" i="8410" a="1"/>
  <c r="T2" i="8410" s="1"/>
  <c r="S6" i="8410"/>
  <c r="S5" i="8410"/>
  <c r="S4" i="8410"/>
  <c r="S3" i="8410"/>
  <c r="S2" i="8410"/>
  <c r="R5" i="8410"/>
  <c r="R4" i="8410"/>
  <c r="R3" i="8410"/>
  <c r="R2" i="8410"/>
  <c r="J2" i="8410" a="1"/>
  <c r="J2" i="8410" s="1"/>
  <c r="H60" i="8410"/>
  <c r="H59" i="8410"/>
  <c r="H58" i="8410"/>
  <c r="H57" i="8410"/>
  <c r="H56" i="8410"/>
  <c r="H55" i="8410"/>
  <c r="H54" i="8410"/>
  <c r="H53" i="8410"/>
  <c r="H52" i="8410"/>
  <c r="H51" i="8410"/>
  <c r="H50" i="8410"/>
  <c r="H49" i="8410"/>
  <c r="H48" i="8410"/>
  <c r="H47" i="8410"/>
  <c r="H46" i="8410"/>
  <c r="H45" i="8410"/>
  <c r="H44" i="8410"/>
  <c r="H43" i="8410"/>
  <c r="H42" i="8410"/>
  <c r="H41" i="8410"/>
  <c r="H40" i="8410"/>
  <c r="H39" i="8410"/>
  <c r="H38" i="8410"/>
  <c r="H37" i="8410"/>
  <c r="H36" i="8410"/>
  <c r="H35" i="8410"/>
  <c r="H34" i="8410"/>
  <c r="H33" i="8410"/>
  <c r="H32" i="8410"/>
  <c r="H31" i="8410"/>
  <c r="H30" i="8410"/>
  <c r="H29" i="8410"/>
  <c r="H28" i="8410"/>
  <c r="H27" i="8410"/>
  <c r="H26" i="8410"/>
  <c r="H25" i="8410"/>
  <c r="H24" i="8410"/>
  <c r="H23" i="8410"/>
  <c r="H22" i="8410"/>
  <c r="H21" i="8410"/>
  <c r="H20" i="8410"/>
  <c r="H19" i="8410"/>
  <c r="H18" i="8410"/>
  <c r="H17" i="8410"/>
  <c r="H16" i="8410"/>
  <c r="H15" i="8410"/>
  <c r="H14" i="8410"/>
  <c r="H13" i="8410"/>
  <c r="H12" i="8410"/>
  <c r="H11" i="8410"/>
  <c r="H10" i="8410"/>
  <c r="H9" i="8410"/>
  <c r="H8" i="8410"/>
  <c r="H7" i="8410"/>
  <c r="H6" i="8410"/>
  <c r="H5" i="8410"/>
  <c r="H4" i="8410"/>
  <c r="H3" i="8410"/>
  <c r="H2" i="8410"/>
  <c r="I1" i="8409"/>
  <c r="DY6" i="8409"/>
  <c r="DY5" i="8409"/>
  <c r="DY4" i="8409"/>
  <c r="DY3" i="8409"/>
  <c r="DY2" i="8409"/>
  <c r="DX6" i="8409"/>
  <c r="DX5" i="8409"/>
  <c r="DX4" i="8409"/>
  <c r="DX3" i="8409"/>
  <c r="DX2" i="8409"/>
  <c r="DP2" i="8409" a="1"/>
  <c r="DP2" i="8409" s="1"/>
  <c r="DO6" i="8409"/>
  <c r="DO5" i="8409"/>
  <c r="DO4" i="8409"/>
  <c r="DO3" i="8409"/>
  <c r="DO2" i="8409"/>
  <c r="DN6" i="8409"/>
  <c r="DN5" i="8409"/>
  <c r="DN4" i="8409"/>
  <c r="DN3" i="8409"/>
  <c r="DN2" i="8409"/>
  <c r="DF2" i="8409" a="1"/>
  <c r="DF2" i="8409" s="1"/>
  <c r="DE6" i="8409"/>
  <c r="DE5" i="8409"/>
  <c r="DE4" i="8409"/>
  <c r="DE3" i="8409"/>
  <c r="DE2" i="8409"/>
  <c r="DD6" i="8409"/>
  <c r="DD5" i="8409"/>
  <c r="DD4" i="8409"/>
  <c r="DD3" i="8409"/>
  <c r="DD2" i="8409"/>
  <c r="CV2" i="8409" a="1"/>
  <c r="CV2" i="8409" s="1"/>
  <c r="CU6" i="8409"/>
  <c r="CU5" i="8409"/>
  <c r="CU4" i="8409"/>
  <c r="CU3" i="8409"/>
  <c r="CU2" i="8409"/>
  <c r="CT6" i="8409"/>
  <c r="CT5" i="8409"/>
  <c r="CT4" i="8409"/>
  <c r="CT3" i="8409"/>
  <c r="CT2" i="8409"/>
  <c r="CL2" i="8409" a="1"/>
  <c r="CL2" i="8409" s="1"/>
  <c r="CK6" i="8409"/>
  <c r="CK5" i="8409"/>
  <c r="CK4" i="8409"/>
  <c r="CK3" i="8409"/>
  <c r="CK2" i="8409"/>
  <c r="CJ6" i="8409"/>
  <c r="CJ5" i="8409"/>
  <c r="CJ4" i="8409"/>
  <c r="CJ3" i="8409"/>
  <c r="CJ2" i="8409"/>
  <c r="CB2" i="8409" a="1"/>
  <c r="CB2" i="8409" s="1"/>
  <c r="CA6" i="8409"/>
  <c r="CA5" i="8409"/>
  <c r="CA4" i="8409"/>
  <c r="CA3" i="8409"/>
  <c r="CA2" i="8409"/>
  <c r="BZ6" i="8409"/>
  <c r="BZ5" i="8409"/>
  <c r="BZ4" i="8409"/>
  <c r="BZ3" i="8409"/>
  <c r="BZ2" i="8409"/>
  <c r="BR2" i="8409" a="1"/>
  <c r="BR2" i="8409" s="1"/>
  <c r="BQ6" i="8409"/>
  <c r="BQ5" i="8409"/>
  <c r="BQ4" i="8409"/>
  <c r="BQ3" i="8409"/>
  <c r="BQ2" i="8409"/>
  <c r="BP6" i="8409"/>
  <c r="BP5" i="8409"/>
  <c r="BP4" i="8409"/>
  <c r="BP3" i="8409"/>
  <c r="BP2" i="8409"/>
  <c r="BH2" i="8409" a="1"/>
  <c r="BH2" i="8409" s="1"/>
  <c r="BG6" i="8409"/>
  <c r="BG5" i="8409"/>
  <c r="BG4" i="8409"/>
  <c r="BG3" i="8409"/>
  <c r="BG2" i="8409"/>
  <c r="BF6" i="8409"/>
  <c r="BF5" i="8409"/>
  <c r="BF4" i="8409"/>
  <c r="BF3" i="8409"/>
  <c r="BF2" i="8409"/>
  <c r="AX2" i="8409" a="1"/>
  <c r="AX2" i="8409" s="1"/>
  <c r="AW6" i="8409"/>
  <c r="AW5" i="8409"/>
  <c r="AW4" i="8409"/>
  <c r="AW3" i="8409"/>
  <c r="AW2" i="8409"/>
  <c r="AV6" i="8409"/>
  <c r="AV5" i="8409"/>
  <c r="AV4" i="8409"/>
  <c r="AV3" i="8409"/>
  <c r="AV2" i="8409"/>
  <c r="AN2" i="8409" a="1"/>
  <c r="AN2" i="8409" s="1"/>
  <c r="AM6" i="8409"/>
  <c r="AM5" i="8409"/>
  <c r="AM4" i="8409"/>
  <c r="AM3" i="8409"/>
  <c r="AM2" i="8409"/>
  <c r="AL6" i="8409"/>
  <c r="AL5" i="8409"/>
  <c r="AL4" i="8409"/>
  <c r="AL3" i="8409"/>
  <c r="AL2" i="8409"/>
  <c r="AD2" i="8409" a="1"/>
  <c r="AD2" i="8409" s="1"/>
  <c r="AC6" i="8409"/>
  <c r="AC5" i="8409"/>
  <c r="AC4" i="8409"/>
  <c r="AC3" i="8409"/>
  <c r="AC2" i="8409"/>
  <c r="AB6" i="8409"/>
  <c r="AB5" i="8409"/>
  <c r="AB4" i="8409"/>
  <c r="AB3" i="8409"/>
  <c r="AB2" i="8409"/>
  <c r="T2" i="8409" a="1"/>
  <c r="T2" i="8409" s="1"/>
  <c r="S6" i="8409"/>
  <c r="S5" i="8409"/>
  <c r="S4" i="8409"/>
  <c r="S3" i="8409"/>
  <c r="S2" i="8409"/>
  <c r="R5" i="8409"/>
  <c r="R4" i="8409"/>
  <c r="R3" i="8409"/>
  <c r="R2" i="8409"/>
  <c r="J2" i="8409" a="1"/>
  <c r="J2" i="8409" s="1"/>
  <c r="H60" i="8409"/>
  <c r="H59" i="8409"/>
  <c r="H58" i="8409"/>
  <c r="H57" i="8409"/>
  <c r="H56" i="8409"/>
  <c r="H55" i="8409"/>
  <c r="H54" i="8409"/>
  <c r="H53" i="8409"/>
  <c r="H52" i="8409"/>
  <c r="H51" i="8409"/>
  <c r="H50" i="8409"/>
  <c r="H49" i="8409"/>
  <c r="H48" i="8409"/>
  <c r="H47" i="8409"/>
  <c r="H46" i="8409"/>
  <c r="H45" i="8409"/>
  <c r="H44" i="8409"/>
  <c r="H43" i="8409"/>
  <c r="H42" i="8409"/>
  <c r="H41" i="8409"/>
  <c r="H40" i="8409"/>
  <c r="H39" i="8409"/>
  <c r="H38" i="8409"/>
  <c r="H37" i="8409"/>
  <c r="H36" i="8409"/>
  <c r="H35" i="8409"/>
  <c r="H34" i="8409"/>
  <c r="H33" i="8409"/>
  <c r="H32" i="8409"/>
  <c r="H31" i="8409"/>
  <c r="H30" i="8409"/>
  <c r="H29" i="8409"/>
  <c r="H28" i="8409"/>
  <c r="H27" i="8409"/>
  <c r="H26" i="8409"/>
  <c r="H25" i="8409"/>
  <c r="H24" i="8409"/>
  <c r="H23" i="8409"/>
  <c r="H22" i="8409"/>
  <c r="H21" i="8409"/>
  <c r="H20" i="8409"/>
  <c r="H19" i="8409"/>
  <c r="H18" i="8409"/>
  <c r="H17" i="8409"/>
  <c r="H16" i="8409"/>
  <c r="H15" i="8409"/>
  <c r="H14" i="8409"/>
  <c r="H13" i="8409"/>
  <c r="H12" i="8409"/>
  <c r="H11" i="8409"/>
  <c r="H10" i="8409"/>
  <c r="H9" i="8409"/>
  <c r="H8" i="8409"/>
  <c r="H7" i="8409"/>
  <c r="H6" i="8409"/>
  <c r="H5" i="8409"/>
  <c r="H4" i="8409"/>
  <c r="H3" i="8409"/>
  <c r="H2" i="8409"/>
  <c r="I1" i="8408"/>
  <c r="DY6" i="8408"/>
  <c r="DY5" i="8408"/>
  <c r="DY4" i="8408"/>
  <c r="DY3" i="8408"/>
  <c r="DY2" i="8408"/>
  <c r="DX6" i="8408"/>
  <c r="DX5" i="8408"/>
  <c r="DX4" i="8408"/>
  <c r="DX3" i="8408"/>
  <c r="DX2" i="8408"/>
  <c r="DP2" i="8408" a="1"/>
  <c r="DP2" i="8408" s="1"/>
  <c r="DO6" i="8408"/>
  <c r="DO5" i="8408"/>
  <c r="DO4" i="8408"/>
  <c r="DO3" i="8408"/>
  <c r="DO2" i="8408"/>
  <c r="DN6" i="8408"/>
  <c r="DN5" i="8408"/>
  <c r="DN4" i="8408"/>
  <c r="DN3" i="8408"/>
  <c r="DN2" i="8408"/>
  <c r="DF2" i="8408" a="1"/>
  <c r="DF2" i="8408" s="1"/>
  <c r="DE6" i="8408"/>
  <c r="DE5" i="8408"/>
  <c r="DE4" i="8408"/>
  <c r="DE3" i="8408"/>
  <c r="DE2" i="8408"/>
  <c r="DD6" i="8408"/>
  <c r="DD5" i="8408"/>
  <c r="DD4" i="8408"/>
  <c r="DD3" i="8408"/>
  <c r="DD2" i="8408"/>
  <c r="CV2" i="8408" a="1"/>
  <c r="CV2" i="8408" s="1"/>
  <c r="CU6" i="8408"/>
  <c r="CU5" i="8408"/>
  <c r="CU4" i="8408"/>
  <c r="CU3" i="8408"/>
  <c r="CU2" i="8408"/>
  <c r="CT6" i="8408"/>
  <c r="CT5" i="8408"/>
  <c r="CT4" i="8408"/>
  <c r="CT3" i="8408"/>
  <c r="CT2" i="8408"/>
  <c r="CL2" i="8408" a="1"/>
  <c r="CL2" i="8408" s="1"/>
  <c r="CK6" i="8408"/>
  <c r="CK5" i="8408"/>
  <c r="CK4" i="8408"/>
  <c r="CK3" i="8408"/>
  <c r="CK2" i="8408"/>
  <c r="CJ6" i="8408"/>
  <c r="CJ5" i="8408"/>
  <c r="CJ4" i="8408"/>
  <c r="CJ3" i="8408"/>
  <c r="CJ2" i="8408"/>
  <c r="CB2" i="8408" a="1"/>
  <c r="CB2" i="8408" s="1"/>
  <c r="CA6" i="8408"/>
  <c r="CA5" i="8408"/>
  <c r="CA4" i="8408"/>
  <c r="CA3" i="8408"/>
  <c r="CA2" i="8408"/>
  <c r="BZ6" i="8408"/>
  <c r="BZ5" i="8408"/>
  <c r="BZ4" i="8408"/>
  <c r="BZ3" i="8408"/>
  <c r="BZ2" i="8408"/>
  <c r="BR2" i="8408" a="1"/>
  <c r="BR2" i="8408" s="1"/>
  <c r="BQ6" i="8408"/>
  <c r="BQ5" i="8408"/>
  <c r="BQ4" i="8408"/>
  <c r="BQ3" i="8408"/>
  <c r="BQ2" i="8408"/>
  <c r="BP6" i="8408"/>
  <c r="BP5" i="8408"/>
  <c r="BP4" i="8408"/>
  <c r="BP3" i="8408"/>
  <c r="BP2" i="8408"/>
  <c r="BH2" i="8408" a="1"/>
  <c r="BH2" i="8408" s="1"/>
  <c r="BG6" i="8408"/>
  <c r="BG5" i="8408"/>
  <c r="BG4" i="8408"/>
  <c r="BG3" i="8408"/>
  <c r="BG2" i="8408"/>
  <c r="BF6" i="8408"/>
  <c r="BF5" i="8408"/>
  <c r="BF4" i="8408"/>
  <c r="BF3" i="8408"/>
  <c r="BF2" i="8408"/>
  <c r="AX2" i="8408" a="1"/>
  <c r="AX2" i="8408" s="1"/>
  <c r="AW6" i="8408"/>
  <c r="AW5" i="8408"/>
  <c r="AW4" i="8408"/>
  <c r="AW3" i="8408"/>
  <c r="AW2" i="8408"/>
  <c r="AV6" i="8408"/>
  <c r="AV5" i="8408"/>
  <c r="AV4" i="8408"/>
  <c r="AV3" i="8408"/>
  <c r="AV2" i="8408"/>
  <c r="AN2" i="8408" a="1"/>
  <c r="AN2" i="8408" s="1"/>
  <c r="AM6" i="8408"/>
  <c r="AM5" i="8408"/>
  <c r="AM4" i="8408"/>
  <c r="AM3" i="8408"/>
  <c r="AM2" i="8408"/>
  <c r="AL6" i="8408"/>
  <c r="AL5" i="8408"/>
  <c r="AL4" i="8408"/>
  <c r="AL3" i="8408"/>
  <c r="AL2" i="8408"/>
  <c r="AD2" i="8408" a="1"/>
  <c r="AD2" i="8408" s="1"/>
  <c r="AC6" i="8408"/>
  <c r="AC5" i="8408"/>
  <c r="AC4" i="8408"/>
  <c r="AC3" i="8408"/>
  <c r="AC2" i="8408"/>
  <c r="AB6" i="8408"/>
  <c r="AB5" i="8408"/>
  <c r="AB4" i="8408"/>
  <c r="AB3" i="8408"/>
  <c r="AB2" i="8408"/>
  <c r="T2" i="8408" a="1"/>
  <c r="T2" i="8408" s="1"/>
  <c r="S6" i="8408"/>
  <c r="S5" i="8408"/>
  <c r="S4" i="8408"/>
  <c r="S3" i="8408"/>
  <c r="S2" i="8408"/>
  <c r="R5" i="8408"/>
  <c r="R4" i="8408"/>
  <c r="R3" i="8408"/>
  <c r="R2" i="8408"/>
  <c r="J2" i="8408" a="1"/>
  <c r="J2" i="8408" s="1"/>
  <c r="H60" i="8408"/>
  <c r="H59" i="8408"/>
  <c r="H58" i="8408"/>
  <c r="H57" i="8408"/>
  <c r="H56" i="8408"/>
  <c r="H55" i="8408"/>
  <c r="H54" i="8408"/>
  <c r="H53" i="8408"/>
  <c r="H52" i="8408"/>
  <c r="H51" i="8408"/>
  <c r="H50" i="8408"/>
  <c r="H49" i="8408"/>
  <c r="H48" i="8408"/>
  <c r="H47" i="8408"/>
  <c r="H46" i="8408"/>
  <c r="H45" i="8408"/>
  <c r="H44" i="8408"/>
  <c r="H43" i="8408"/>
  <c r="H42" i="8408"/>
  <c r="H41" i="8408"/>
  <c r="H40" i="8408"/>
  <c r="H39" i="8408"/>
  <c r="H38" i="8408"/>
  <c r="H37" i="8408"/>
  <c r="H36" i="8408"/>
  <c r="H35" i="8408"/>
  <c r="H34" i="8408"/>
  <c r="H33" i="8408"/>
  <c r="H32" i="8408"/>
  <c r="H31" i="8408"/>
  <c r="H30" i="8408"/>
  <c r="H29" i="8408"/>
  <c r="H28" i="8408"/>
  <c r="H27" i="8408"/>
  <c r="H26" i="8408"/>
  <c r="H25" i="8408"/>
  <c r="H24" i="8408"/>
  <c r="H23" i="8408"/>
  <c r="H22" i="8408"/>
  <c r="H21" i="8408"/>
  <c r="H20" i="8408"/>
  <c r="H19" i="8408"/>
  <c r="H18" i="8408"/>
  <c r="H17" i="8408"/>
  <c r="H16" i="8408"/>
  <c r="H15" i="8408"/>
  <c r="H14" i="8408"/>
  <c r="H13" i="8408"/>
  <c r="H12" i="8408"/>
  <c r="H11" i="8408"/>
  <c r="H10" i="8408"/>
  <c r="H9" i="8408"/>
  <c r="H8" i="8408"/>
  <c r="H7" i="8408"/>
  <c r="H6" i="8408"/>
  <c r="H5" i="8408"/>
  <c r="H4" i="8408"/>
  <c r="H3" i="8408"/>
  <c r="H2" i="8408"/>
  <c r="I1" i="8407"/>
  <c r="DY6" i="8407"/>
  <c r="DY5" i="8407"/>
  <c r="DY4" i="8407"/>
  <c r="DY3" i="8407"/>
  <c r="DY2" i="8407"/>
  <c r="DX6" i="8407"/>
  <c r="DX5" i="8407"/>
  <c r="DX4" i="8407"/>
  <c r="DX3" i="8407"/>
  <c r="DX2" i="8407"/>
  <c r="DP2" i="8407" a="1"/>
  <c r="DP2" i="8407" s="1"/>
  <c r="DO6" i="8407"/>
  <c r="DO5" i="8407"/>
  <c r="DO4" i="8407"/>
  <c r="DO3" i="8407"/>
  <c r="DO2" i="8407"/>
  <c r="DN6" i="8407"/>
  <c r="DN5" i="8407"/>
  <c r="DN4" i="8407"/>
  <c r="DN3" i="8407"/>
  <c r="DN2" i="8407"/>
  <c r="DF2" i="8407" a="1"/>
  <c r="DF2" i="8407" s="1"/>
  <c r="DE6" i="8407"/>
  <c r="DE5" i="8407"/>
  <c r="DE4" i="8407"/>
  <c r="DE3" i="8407"/>
  <c r="DE2" i="8407"/>
  <c r="DD6" i="8407"/>
  <c r="DD5" i="8407"/>
  <c r="DD4" i="8407"/>
  <c r="DD3" i="8407"/>
  <c r="DD2" i="8407"/>
  <c r="CV2" i="8407" a="1"/>
  <c r="CV2" i="8407" s="1"/>
  <c r="CU6" i="8407"/>
  <c r="CU5" i="8407"/>
  <c r="CU4" i="8407"/>
  <c r="CU3" i="8407"/>
  <c r="CU2" i="8407"/>
  <c r="CT6" i="8407"/>
  <c r="CT5" i="8407"/>
  <c r="CT4" i="8407"/>
  <c r="CT3" i="8407"/>
  <c r="CT2" i="8407"/>
  <c r="CL2" i="8407" a="1"/>
  <c r="CL2" i="8407" s="1"/>
  <c r="CK6" i="8407"/>
  <c r="CK5" i="8407"/>
  <c r="CK4" i="8407"/>
  <c r="CK3" i="8407"/>
  <c r="CK2" i="8407"/>
  <c r="CJ6" i="8407"/>
  <c r="CJ5" i="8407"/>
  <c r="CJ4" i="8407"/>
  <c r="CJ3" i="8407"/>
  <c r="CJ2" i="8407"/>
  <c r="CB2" i="8407" a="1"/>
  <c r="CB2" i="8407" s="1"/>
  <c r="CA6" i="8407"/>
  <c r="CA5" i="8407"/>
  <c r="CA4" i="8407"/>
  <c r="CA3" i="8407"/>
  <c r="CA2" i="8407"/>
  <c r="BZ6" i="8407"/>
  <c r="BZ5" i="8407"/>
  <c r="BZ4" i="8407"/>
  <c r="BZ3" i="8407"/>
  <c r="BZ2" i="8407"/>
  <c r="BR2" i="8407" a="1"/>
  <c r="BR2" i="8407" s="1"/>
  <c r="BQ6" i="8407"/>
  <c r="BQ5" i="8407"/>
  <c r="BQ4" i="8407"/>
  <c r="BQ3" i="8407"/>
  <c r="BQ2" i="8407"/>
  <c r="BP6" i="8407"/>
  <c r="BP5" i="8407"/>
  <c r="BP4" i="8407"/>
  <c r="BP3" i="8407"/>
  <c r="BP2" i="8407"/>
  <c r="BH2" i="8407" a="1"/>
  <c r="BH2" i="8407" s="1"/>
  <c r="BG6" i="8407"/>
  <c r="BG5" i="8407"/>
  <c r="BG4" i="8407"/>
  <c r="BG3" i="8407"/>
  <c r="BG2" i="8407"/>
  <c r="BF6" i="8407"/>
  <c r="BF5" i="8407"/>
  <c r="BF4" i="8407"/>
  <c r="BF3" i="8407"/>
  <c r="BF2" i="8407"/>
  <c r="AX2" i="8407" a="1"/>
  <c r="AX2" i="8407" s="1"/>
  <c r="AW6" i="8407"/>
  <c r="AW5" i="8407"/>
  <c r="AW4" i="8407"/>
  <c r="AW3" i="8407"/>
  <c r="AW2" i="8407"/>
  <c r="AV6" i="8407"/>
  <c r="AV5" i="8407"/>
  <c r="AV4" i="8407"/>
  <c r="AV3" i="8407"/>
  <c r="AV2" i="8407"/>
  <c r="AN2" i="8407" a="1"/>
  <c r="AN2" i="8407" s="1"/>
  <c r="AM6" i="8407"/>
  <c r="AM5" i="8407"/>
  <c r="AM4" i="8407"/>
  <c r="AM3" i="8407"/>
  <c r="AM2" i="8407"/>
  <c r="AL6" i="8407"/>
  <c r="AL5" i="8407"/>
  <c r="AL4" i="8407"/>
  <c r="AL3" i="8407"/>
  <c r="AL2" i="8407"/>
  <c r="AD2" i="8407" a="1"/>
  <c r="AD2" i="8407" s="1"/>
  <c r="AC6" i="8407"/>
  <c r="AC5" i="8407"/>
  <c r="AC4" i="8407"/>
  <c r="AC3" i="8407"/>
  <c r="AC2" i="8407"/>
  <c r="AB6" i="8407"/>
  <c r="AB5" i="8407"/>
  <c r="AB4" i="8407"/>
  <c r="AB3" i="8407"/>
  <c r="AB2" i="8407"/>
  <c r="T2" i="8407" a="1"/>
  <c r="T2" i="8407" s="1"/>
  <c r="S6" i="8407"/>
  <c r="S5" i="8407"/>
  <c r="S4" i="8407"/>
  <c r="S3" i="8407"/>
  <c r="S2" i="8407"/>
  <c r="R5" i="8407"/>
  <c r="R4" i="8407"/>
  <c r="R3" i="8407"/>
  <c r="R2" i="8407"/>
  <c r="J2" i="8407" a="1"/>
  <c r="J2" i="8407" s="1"/>
  <c r="H60" i="8407"/>
  <c r="H59" i="8407"/>
  <c r="H58" i="8407"/>
  <c r="H57" i="8407"/>
  <c r="H56" i="8407"/>
  <c r="H55" i="8407"/>
  <c r="H54" i="8407"/>
  <c r="H53" i="8407"/>
  <c r="H52" i="8407"/>
  <c r="H51" i="8407"/>
  <c r="H50" i="8407"/>
  <c r="H49" i="8407"/>
  <c r="H48" i="8407"/>
  <c r="H47" i="8407"/>
  <c r="H46" i="8407"/>
  <c r="H45" i="8407"/>
  <c r="H44" i="8407"/>
  <c r="H43" i="8407"/>
  <c r="H42" i="8407"/>
  <c r="H41" i="8407"/>
  <c r="H40" i="8407"/>
  <c r="H39" i="8407"/>
  <c r="H38" i="8407"/>
  <c r="H37" i="8407"/>
  <c r="H36" i="8407"/>
  <c r="H35" i="8407"/>
  <c r="H34" i="8407"/>
  <c r="H33" i="8407"/>
  <c r="H32" i="8407"/>
  <c r="H31" i="8407"/>
  <c r="H30" i="8407"/>
  <c r="H29" i="8407"/>
  <c r="H28" i="8407"/>
  <c r="H27" i="8407"/>
  <c r="H26" i="8407"/>
  <c r="H25" i="8407"/>
  <c r="H24" i="8407"/>
  <c r="H23" i="8407"/>
  <c r="H22" i="8407"/>
  <c r="H21" i="8407"/>
  <c r="H20" i="8407"/>
  <c r="H19" i="8407"/>
  <c r="H18" i="8407"/>
  <c r="H17" i="8407"/>
  <c r="H16" i="8407"/>
  <c r="H15" i="8407"/>
  <c r="H14" i="8407"/>
  <c r="H13" i="8407"/>
  <c r="H12" i="8407"/>
  <c r="H11" i="8407"/>
  <c r="H10" i="8407"/>
  <c r="H9" i="8407"/>
  <c r="H8" i="8407"/>
  <c r="H7" i="8407"/>
  <c r="H6" i="8407"/>
  <c r="H5" i="8407"/>
  <c r="H4" i="8407"/>
  <c r="H3" i="8407"/>
  <c r="H2" i="8407"/>
  <c r="I1" i="8406"/>
  <c r="DY6" i="8406"/>
  <c r="DY5" i="8406"/>
  <c r="DY4" i="8406"/>
  <c r="DY3" i="8406"/>
  <c r="DY2" i="8406"/>
  <c r="DX6" i="8406"/>
  <c r="DX5" i="8406"/>
  <c r="DX4" i="8406"/>
  <c r="DX3" i="8406"/>
  <c r="DX2" i="8406"/>
  <c r="DP2" i="8406" a="1"/>
  <c r="DP2" i="8406" s="1"/>
  <c r="DO6" i="8406"/>
  <c r="DO5" i="8406"/>
  <c r="DO4" i="8406"/>
  <c r="DO3" i="8406"/>
  <c r="DO2" i="8406"/>
  <c r="DN6" i="8406"/>
  <c r="DN5" i="8406"/>
  <c r="DN4" i="8406"/>
  <c r="DN3" i="8406"/>
  <c r="DN2" i="8406"/>
  <c r="DF2" i="8406" a="1"/>
  <c r="DF2" i="8406" s="1"/>
  <c r="DE6" i="8406"/>
  <c r="DE5" i="8406"/>
  <c r="DE4" i="8406"/>
  <c r="DE3" i="8406"/>
  <c r="DE2" i="8406"/>
  <c r="DD6" i="8406"/>
  <c r="DD5" i="8406"/>
  <c r="DD4" i="8406"/>
  <c r="DD3" i="8406"/>
  <c r="DD2" i="8406"/>
  <c r="CV2" i="8406" a="1"/>
  <c r="CV2" i="8406" s="1"/>
  <c r="CU6" i="8406"/>
  <c r="CU5" i="8406"/>
  <c r="CU4" i="8406"/>
  <c r="CU3" i="8406"/>
  <c r="CU2" i="8406"/>
  <c r="CT6" i="8406"/>
  <c r="CT5" i="8406"/>
  <c r="CT4" i="8406"/>
  <c r="CT3" i="8406"/>
  <c r="CT2" i="8406"/>
  <c r="CL2" i="8406" a="1"/>
  <c r="CL2" i="8406" s="1"/>
  <c r="CK6" i="8406"/>
  <c r="CK5" i="8406"/>
  <c r="CK4" i="8406"/>
  <c r="CK3" i="8406"/>
  <c r="CK2" i="8406"/>
  <c r="CJ6" i="8406"/>
  <c r="CJ5" i="8406"/>
  <c r="CJ4" i="8406"/>
  <c r="CJ3" i="8406"/>
  <c r="CJ2" i="8406"/>
  <c r="CB2" i="8406" a="1"/>
  <c r="CB2" i="8406" s="1"/>
  <c r="CA6" i="8406"/>
  <c r="CA5" i="8406"/>
  <c r="CA4" i="8406"/>
  <c r="CA3" i="8406"/>
  <c r="CA2" i="8406"/>
  <c r="BZ6" i="8406"/>
  <c r="BZ5" i="8406"/>
  <c r="BZ4" i="8406"/>
  <c r="BZ3" i="8406"/>
  <c r="BZ2" i="8406"/>
  <c r="BR2" i="8406" a="1"/>
  <c r="BR2" i="8406" s="1"/>
  <c r="BQ6" i="8406"/>
  <c r="BQ5" i="8406"/>
  <c r="BQ4" i="8406"/>
  <c r="BQ3" i="8406"/>
  <c r="BQ2" i="8406"/>
  <c r="BP6" i="8406"/>
  <c r="BP5" i="8406"/>
  <c r="BP4" i="8406"/>
  <c r="BP3" i="8406"/>
  <c r="BP2" i="8406"/>
  <c r="BH2" i="8406" a="1"/>
  <c r="BH2" i="8406" s="1"/>
  <c r="BG6" i="8406"/>
  <c r="BG5" i="8406"/>
  <c r="BG4" i="8406"/>
  <c r="BG3" i="8406"/>
  <c r="BG2" i="8406"/>
  <c r="BF6" i="8406"/>
  <c r="BF5" i="8406"/>
  <c r="BF4" i="8406"/>
  <c r="BF3" i="8406"/>
  <c r="BF2" i="8406"/>
  <c r="AX2" i="8406" a="1"/>
  <c r="AX2" i="8406" s="1"/>
  <c r="AW6" i="8406"/>
  <c r="AW5" i="8406"/>
  <c r="AW4" i="8406"/>
  <c r="AW3" i="8406"/>
  <c r="AW2" i="8406"/>
  <c r="AV6" i="8406"/>
  <c r="AV5" i="8406"/>
  <c r="AV4" i="8406"/>
  <c r="AV3" i="8406"/>
  <c r="AV2" i="8406"/>
  <c r="AN2" i="8406" a="1"/>
  <c r="AN2" i="8406" s="1"/>
  <c r="AM6" i="8406"/>
  <c r="AM5" i="8406"/>
  <c r="AM4" i="8406"/>
  <c r="AM3" i="8406"/>
  <c r="AM2" i="8406"/>
  <c r="AL6" i="8406"/>
  <c r="AL5" i="8406"/>
  <c r="AL4" i="8406"/>
  <c r="AL3" i="8406"/>
  <c r="AL2" i="8406"/>
  <c r="AD2" i="8406" a="1"/>
  <c r="AD2" i="8406" s="1"/>
  <c r="AC6" i="8406"/>
  <c r="AC5" i="8406"/>
  <c r="AC4" i="8406"/>
  <c r="AC3" i="8406"/>
  <c r="AC2" i="8406"/>
  <c r="AB6" i="8406"/>
  <c r="AB5" i="8406"/>
  <c r="AB4" i="8406"/>
  <c r="AB3" i="8406"/>
  <c r="AB2" i="8406"/>
  <c r="T2" i="8406" a="1"/>
  <c r="T2" i="8406" s="1"/>
  <c r="S6" i="8406"/>
  <c r="S5" i="8406"/>
  <c r="S4" i="8406"/>
  <c r="S3" i="8406"/>
  <c r="S2" i="8406"/>
  <c r="R6" i="8406"/>
  <c r="R5" i="8406"/>
  <c r="R4" i="8406"/>
  <c r="R3" i="8406"/>
  <c r="R2" i="8406"/>
  <c r="J2" i="8406" a="1"/>
  <c r="J2" i="8406" s="1"/>
  <c r="H61" i="8406"/>
  <c r="H60" i="8406"/>
  <c r="H59" i="8406"/>
  <c r="H58" i="8406"/>
  <c r="H57" i="8406"/>
  <c r="H56" i="8406"/>
  <c r="H55" i="8406"/>
  <c r="H54" i="8406"/>
  <c r="H53" i="8406"/>
  <c r="H52" i="8406"/>
  <c r="H51" i="8406"/>
  <c r="H50" i="8406"/>
  <c r="H49" i="8406"/>
  <c r="H48" i="8406"/>
  <c r="H47" i="8406"/>
  <c r="H46" i="8406"/>
  <c r="H45" i="8406"/>
  <c r="H44" i="8406"/>
  <c r="H43" i="8406"/>
  <c r="H42" i="8406"/>
  <c r="H41" i="8406"/>
  <c r="H40" i="8406"/>
  <c r="H39" i="8406"/>
  <c r="H38" i="8406"/>
  <c r="H37" i="8406"/>
  <c r="H36" i="8406"/>
  <c r="H35" i="8406"/>
  <c r="H34" i="8406"/>
  <c r="H33" i="8406"/>
  <c r="H32" i="8406"/>
  <c r="H31" i="8406"/>
  <c r="H30" i="8406"/>
  <c r="H29" i="8406"/>
  <c r="H28" i="8406"/>
  <c r="H27" i="8406"/>
  <c r="H26" i="8406"/>
  <c r="H25" i="8406"/>
  <c r="H24" i="8406"/>
  <c r="H23" i="8406"/>
  <c r="H22" i="8406"/>
  <c r="H21" i="8406"/>
  <c r="H20" i="8406"/>
  <c r="H19" i="8406"/>
  <c r="H18" i="8406"/>
  <c r="H17" i="8406"/>
  <c r="H16" i="8406"/>
  <c r="H15" i="8406"/>
  <c r="H14" i="8406"/>
  <c r="H13" i="8406"/>
  <c r="H12" i="8406"/>
  <c r="H11" i="8406"/>
  <c r="H10" i="8406"/>
  <c r="H9" i="8406"/>
  <c r="H8" i="8406"/>
  <c r="H7" i="8406"/>
  <c r="H6" i="8406"/>
  <c r="H5" i="8406"/>
  <c r="H4" i="8406"/>
  <c r="H3" i="8406"/>
  <c r="H2" i="8406"/>
  <c r="I1" i="8405"/>
  <c r="DY6" i="8405"/>
  <c r="DY5" i="8405"/>
  <c r="DY4" i="8405"/>
  <c r="DY3" i="8405"/>
  <c r="DY2" i="8405"/>
  <c r="DX5" i="8405"/>
  <c r="DX4" i="8405"/>
  <c r="DX3" i="8405"/>
  <c r="DX2" i="8405"/>
  <c r="DP2" i="8405" a="1"/>
  <c r="DP2" i="8405" s="1"/>
  <c r="DO6" i="8405"/>
  <c r="DO5" i="8405"/>
  <c r="DO4" i="8405"/>
  <c r="DO3" i="8405"/>
  <c r="DO2" i="8405"/>
  <c r="DN5" i="8405"/>
  <c r="DN4" i="8405"/>
  <c r="DN3" i="8405"/>
  <c r="DN2" i="8405"/>
  <c r="DF2" i="8405" a="1"/>
  <c r="DF2" i="8405" s="1"/>
  <c r="DE6" i="8405"/>
  <c r="DE5" i="8405"/>
  <c r="DE4" i="8405"/>
  <c r="DE3" i="8405"/>
  <c r="DE2" i="8405"/>
  <c r="DD4" i="8405"/>
  <c r="DD3" i="8405"/>
  <c r="DD2" i="8405"/>
  <c r="CV2" i="8405" a="1"/>
  <c r="CV2" i="8405" s="1"/>
  <c r="CU6" i="8405"/>
  <c r="CU5" i="8405"/>
  <c r="CU4" i="8405"/>
  <c r="CU3" i="8405"/>
  <c r="CU2" i="8405"/>
  <c r="CT4" i="8405"/>
  <c r="CT3" i="8405"/>
  <c r="CT2" i="8405"/>
  <c r="CL2" i="8405" a="1"/>
  <c r="CL2" i="8405" s="1"/>
  <c r="CK6" i="8405"/>
  <c r="CK5" i="8405"/>
  <c r="CK4" i="8405"/>
  <c r="CK3" i="8405"/>
  <c r="CK2" i="8405"/>
  <c r="CJ4" i="8405"/>
  <c r="CJ3" i="8405"/>
  <c r="CJ2" i="8405"/>
  <c r="CB2" i="8405" a="1"/>
  <c r="CB2" i="8405" s="1"/>
  <c r="CA6" i="8405"/>
  <c r="CA5" i="8405"/>
  <c r="CA4" i="8405"/>
  <c r="CA3" i="8405"/>
  <c r="CA2" i="8405"/>
  <c r="BZ4" i="8405"/>
  <c r="BZ3" i="8405"/>
  <c r="BZ2" i="8405"/>
  <c r="BR2" i="8405" a="1"/>
  <c r="BR2" i="8405" s="1"/>
  <c r="BQ6" i="8405"/>
  <c r="BQ5" i="8405"/>
  <c r="BQ4" i="8405"/>
  <c r="BQ3" i="8405"/>
  <c r="BQ2" i="8405"/>
  <c r="BP4" i="8405"/>
  <c r="BP3" i="8405"/>
  <c r="BP2" i="8405"/>
  <c r="BH2" i="8405" a="1"/>
  <c r="BH2" i="8405" s="1"/>
  <c r="BG6" i="8405"/>
  <c r="BG5" i="8405"/>
  <c r="BG4" i="8405"/>
  <c r="BG3" i="8405"/>
  <c r="BG2" i="8405"/>
  <c r="BF4" i="8405"/>
  <c r="BF3" i="8405"/>
  <c r="BF2" i="8405"/>
  <c r="AX2" i="8405" a="1"/>
  <c r="AX2" i="8405" s="1"/>
  <c r="AW6" i="8405"/>
  <c r="AW5" i="8405"/>
  <c r="AW4" i="8405"/>
  <c r="AW3" i="8405"/>
  <c r="AW2" i="8405"/>
  <c r="AV4" i="8405"/>
  <c r="AV3" i="8405"/>
  <c r="AV2" i="8405"/>
  <c r="AN2" i="8405" a="1"/>
  <c r="AN2" i="8405" s="1"/>
  <c r="AM6" i="8405"/>
  <c r="AM5" i="8405"/>
  <c r="AM4" i="8405"/>
  <c r="AM3" i="8405"/>
  <c r="AM2" i="8405"/>
  <c r="AL4" i="8405"/>
  <c r="AL3" i="8405"/>
  <c r="AL2" i="8405"/>
  <c r="AD2" i="8405" a="1"/>
  <c r="AD2" i="8405" s="1"/>
  <c r="AC6" i="8405"/>
  <c r="AC5" i="8405"/>
  <c r="AC4" i="8405"/>
  <c r="AC3" i="8405"/>
  <c r="AC2" i="8405"/>
  <c r="AB4" i="8405"/>
  <c r="AB3" i="8405"/>
  <c r="AB2" i="8405"/>
  <c r="T2" i="8405" a="1"/>
  <c r="T2" i="8405" s="1"/>
  <c r="S6" i="8405"/>
  <c r="S5" i="8405"/>
  <c r="S4" i="8405"/>
  <c r="S3" i="8405"/>
  <c r="S2" i="8405"/>
  <c r="R4" i="8405"/>
  <c r="R3" i="8405"/>
  <c r="R2" i="8405"/>
  <c r="J2" i="8405" a="1"/>
  <c r="J2" i="8405" s="1"/>
  <c r="H39" i="8405"/>
  <c r="H38" i="8405"/>
  <c r="H37" i="8405"/>
  <c r="H36" i="8405"/>
  <c r="H35" i="8405"/>
  <c r="H34" i="8405"/>
  <c r="H33" i="8405"/>
  <c r="H32" i="8405"/>
  <c r="H31" i="8405"/>
  <c r="H30" i="8405"/>
  <c r="H29" i="8405"/>
  <c r="H28" i="8405"/>
  <c r="H27" i="8405"/>
  <c r="H26" i="8405"/>
  <c r="H25" i="8405"/>
  <c r="H24" i="8405"/>
  <c r="H23" i="8405"/>
  <c r="H22" i="8405"/>
  <c r="H21" i="8405"/>
  <c r="H20" i="8405"/>
  <c r="H19" i="8405"/>
  <c r="H18" i="8405"/>
  <c r="H17" i="8405"/>
  <c r="H16" i="8405"/>
  <c r="H15" i="8405"/>
  <c r="H14" i="8405"/>
  <c r="H13" i="8405"/>
  <c r="H12" i="8405"/>
  <c r="H11" i="8405"/>
  <c r="H10" i="8405"/>
  <c r="H9" i="8405"/>
  <c r="H8" i="8405"/>
  <c r="H7" i="8405"/>
  <c r="H6" i="8405"/>
  <c r="H5" i="8405"/>
  <c r="H4" i="8405"/>
  <c r="H3" i="8405"/>
  <c r="H2" i="8405"/>
  <c r="I1" i="8404"/>
  <c r="DY6" i="8404"/>
  <c r="DY5" i="8404"/>
  <c r="DY4" i="8404"/>
  <c r="DY3" i="8404"/>
  <c r="DY2" i="8404"/>
  <c r="DX5" i="8404"/>
  <c r="DX4" i="8404"/>
  <c r="DX3" i="8404"/>
  <c r="DX2" i="8404"/>
  <c r="DP2" i="8404" a="1"/>
  <c r="DP2" i="8404" s="1"/>
  <c r="DO6" i="8404"/>
  <c r="DO5" i="8404"/>
  <c r="DO4" i="8404"/>
  <c r="DO3" i="8404"/>
  <c r="DO2" i="8404"/>
  <c r="DN5" i="8404"/>
  <c r="DN4" i="8404"/>
  <c r="DN3" i="8404"/>
  <c r="DN2" i="8404"/>
  <c r="DF2" i="8404" a="1"/>
  <c r="DF2" i="8404" s="1"/>
  <c r="DE6" i="8404"/>
  <c r="DE5" i="8404"/>
  <c r="DE4" i="8404"/>
  <c r="DE3" i="8404"/>
  <c r="DE2" i="8404"/>
  <c r="DD5" i="8404"/>
  <c r="DD4" i="8404"/>
  <c r="DD3" i="8404"/>
  <c r="DD2" i="8404"/>
  <c r="CV2" i="8404" a="1"/>
  <c r="CV2" i="8404" s="1"/>
  <c r="CU6" i="8404"/>
  <c r="CU5" i="8404"/>
  <c r="CU4" i="8404"/>
  <c r="CU3" i="8404"/>
  <c r="CU2" i="8404"/>
  <c r="CT5" i="8404"/>
  <c r="CT4" i="8404"/>
  <c r="CT3" i="8404"/>
  <c r="CT2" i="8404"/>
  <c r="CL2" i="8404" a="1"/>
  <c r="CL2" i="8404" s="1"/>
  <c r="CK6" i="8404"/>
  <c r="CK5" i="8404"/>
  <c r="CK4" i="8404"/>
  <c r="CK3" i="8404"/>
  <c r="CK2" i="8404"/>
  <c r="CJ5" i="8404"/>
  <c r="CJ4" i="8404"/>
  <c r="CJ3" i="8404"/>
  <c r="CJ2" i="8404"/>
  <c r="CB2" i="8404" a="1"/>
  <c r="CB2" i="8404" s="1"/>
  <c r="CA6" i="8404"/>
  <c r="CA5" i="8404"/>
  <c r="CA4" i="8404"/>
  <c r="CA3" i="8404"/>
  <c r="CA2" i="8404"/>
  <c r="BZ5" i="8404"/>
  <c r="BZ4" i="8404"/>
  <c r="BZ3" i="8404"/>
  <c r="BZ2" i="8404"/>
  <c r="BR2" i="8404" a="1"/>
  <c r="BR2" i="8404" s="1"/>
  <c r="BQ6" i="8404"/>
  <c r="BQ5" i="8404"/>
  <c r="BQ4" i="8404"/>
  <c r="BQ3" i="8404"/>
  <c r="BQ2" i="8404"/>
  <c r="BP5" i="8404"/>
  <c r="BP4" i="8404"/>
  <c r="BP3" i="8404"/>
  <c r="BP2" i="8404"/>
  <c r="BH2" i="8404" a="1"/>
  <c r="BH2" i="8404" s="1"/>
  <c r="BG6" i="8404"/>
  <c r="BG5" i="8404"/>
  <c r="BG4" i="8404"/>
  <c r="BG3" i="8404"/>
  <c r="BG2" i="8404"/>
  <c r="BF5" i="8404"/>
  <c r="BF4" i="8404"/>
  <c r="BF3" i="8404"/>
  <c r="BF2" i="8404"/>
  <c r="AX2" i="8404" a="1"/>
  <c r="AX2" i="8404" s="1"/>
  <c r="AW6" i="8404"/>
  <c r="AW5" i="8404"/>
  <c r="AW4" i="8404"/>
  <c r="AW3" i="8404"/>
  <c r="AW2" i="8404"/>
  <c r="AV5" i="8404"/>
  <c r="AV4" i="8404"/>
  <c r="AV3" i="8404"/>
  <c r="AV2" i="8404"/>
  <c r="AN2" i="8404" a="1"/>
  <c r="AN2" i="8404" s="1"/>
  <c r="AM6" i="8404"/>
  <c r="AM5" i="8404"/>
  <c r="AM4" i="8404"/>
  <c r="AM3" i="8404"/>
  <c r="AM2" i="8404"/>
  <c r="AL5" i="8404"/>
  <c r="AL4" i="8404"/>
  <c r="AL3" i="8404"/>
  <c r="AL2" i="8404"/>
  <c r="AD2" i="8404" a="1"/>
  <c r="AD2" i="8404" s="1"/>
  <c r="AC6" i="8404"/>
  <c r="AC5" i="8404"/>
  <c r="AC4" i="8404"/>
  <c r="AC3" i="8404"/>
  <c r="AC2" i="8404"/>
  <c r="AB4" i="8404"/>
  <c r="AB3" i="8404"/>
  <c r="AB2" i="8404"/>
  <c r="T2" i="8404" a="1"/>
  <c r="T2" i="8404" s="1"/>
  <c r="S6" i="8404"/>
  <c r="S5" i="8404"/>
  <c r="S4" i="8404"/>
  <c r="S3" i="8404"/>
  <c r="S2" i="8404"/>
  <c r="R4" i="8404"/>
  <c r="R3" i="8404"/>
  <c r="R2" i="8404"/>
  <c r="J2" i="8404" a="1"/>
  <c r="J2" i="8404" s="1"/>
  <c r="H47" i="8404"/>
  <c r="H46" i="8404"/>
  <c r="H45" i="8404"/>
  <c r="H44" i="8404"/>
  <c r="H43" i="8404"/>
  <c r="H42" i="8404"/>
  <c r="H41" i="8404"/>
  <c r="H40" i="8404"/>
  <c r="H39" i="8404"/>
  <c r="H38" i="8404"/>
  <c r="H37" i="8404"/>
  <c r="H36" i="8404"/>
  <c r="H35" i="8404"/>
  <c r="H34" i="8404"/>
  <c r="H33" i="8404"/>
  <c r="H32" i="8404"/>
  <c r="H31" i="8404"/>
  <c r="H30" i="8404"/>
  <c r="H29" i="8404"/>
  <c r="H28" i="8404"/>
  <c r="H27" i="8404"/>
  <c r="H26" i="8404"/>
  <c r="H25" i="8404"/>
  <c r="H24" i="8404"/>
  <c r="H23" i="8404"/>
  <c r="H22" i="8404"/>
  <c r="H21" i="8404"/>
  <c r="H20" i="8404"/>
  <c r="H19" i="8404"/>
  <c r="H18" i="8404"/>
  <c r="H17" i="8404"/>
  <c r="H16" i="8404"/>
  <c r="H15" i="8404"/>
  <c r="H14" i="8404"/>
  <c r="H13" i="8404"/>
  <c r="H12" i="8404"/>
  <c r="H11" i="8404"/>
  <c r="H10" i="8404"/>
  <c r="H9" i="8404"/>
  <c r="H8" i="8404"/>
  <c r="H7" i="8404"/>
  <c r="H6" i="8404"/>
  <c r="H5" i="8404"/>
  <c r="H4" i="8404"/>
  <c r="H3" i="8404"/>
  <c r="H2" i="8404"/>
  <c r="I1" i="8403"/>
  <c r="DY6" i="8403"/>
  <c r="DY5" i="8403"/>
  <c r="DY4" i="8403"/>
  <c r="DY3" i="8403"/>
  <c r="DY2" i="8403"/>
  <c r="DX6" i="8403"/>
  <c r="DX5" i="8403"/>
  <c r="DX4" i="8403"/>
  <c r="DX3" i="8403"/>
  <c r="DX2" i="8403"/>
  <c r="DP2" i="8403" a="1"/>
  <c r="DP2" i="8403" s="1"/>
  <c r="DO6" i="8403"/>
  <c r="DO5" i="8403"/>
  <c r="DO4" i="8403"/>
  <c r="DO3" i="8403"/>
  <c r="DO2" i="8403"/>
  <c r="DN6" i="8403"/>
  <c r="DN5" i="8403"/>
  <c r="DN4" i="8403"/>
  <c r="DN3" i="8403"/>
  <c r="DN2" i="8403"/>
  <c r="DF2" i="8403" a="1"/>
  <c r="DF2" i="8403" s="1"/>
  <c r="DE6" i="8403"/>
  <c r="DE5" i="8403"/>
  <c r="DE4" i="8403"/>
  <c r="DE3" i="8403"/>
  <c r="DE2" i="8403"/>
  <c r="DD6" i="8403"/>
  <c r="DD5" i="8403"/>
  <c r="DD4" i="8403"/>
  <c r="DD3" i="8403"/>
  <c r="DD2" i="8403"/>
  <c r="CV2" i="8403" a="1"/>
  <c r="CV2" i="8403" s="1"/>
  <c r="CU6" i="8403"/>
  <c r="CU5" i="8403"/>
  <c r="CU4" i="8403"/>
  <c r="CU3" i="8403"/>
  <c r="CU2" i="8403"/>
  <c r="CT6" i="8403"/>
  <c r="CT5" i="8403"/>
  <c r="CT4" i="8403"/>
  <c r="CT3" i="8403"/>
  <c r="CT2" i="8403"/>
  <c r="CL2" i="8403" a="1"/>
  <c r="CL2" i="8403" s="1"/>
  <c r="CK6" i="8403"/>
  <c r="CK5" i="8403"/>
  <c r="CK4" i="8403"/>
  <c r="CK3" i="8403"/>
  <c r="CK2" i="8403"/>
  <c r="CJ6" i="8403"/>
  <c r="CJ5" i="8403"/>
  <c r="CJ4" i="8403"/>
  <c r="CJ3" i="8403"/>
  <c r="CJ2" i="8403"/>
  <c r="CB2" i="8403" a="1"/>
  <c r="CB2" i="8403" s="1"/>
  <c r="CA6" i="8403"/>
  <c r="CA5" i="8403"/>
  <c r="CA4" i="8403"/>
  <c r="CA3" i="8403"/>
  <c r="CA2" i="8403"/>
  <c r="BZ6" i="8403"/>
  <c r="BZ5" i="8403"/>
  <c r="BZ4" i="8403"/>
  <c r="BZ3" i="8403"/>
  <c r="BZ2" i="8403"/>
  <c r="BR2" i="8403" a="1"/>
  <c r="BR2" i="8403" s="1"/>
  <c r="BQ6" i="8403"/>
  <c r="BQ5" i="8403"/>
  <c r="BQ4" i="8403"/>
  <c r="BQ3" i="8403"/>
  <c r="BQ2" i="8403"/>
  <c r="BP6" i="8403"/>
  <c r="BP5" i="8403"/>
  <c r="BP4" i="8403"/>
  <c r="BP3" i="8403"/>
  <c r="BP2" i="8403"/>
  <c r="BH2" i="8403" a="1"/>
  <c r="BH2" i="8403" s="1"/>
  <c r="BG6" i="8403"/>
  <c r="BG5" i="8403"/>
  <c r="BG4" i="8403"/>
  <c r="BG3" i="8403"/>
  <c r="BG2" i="8403"/>
  <c r="BF6" i="8403"/>
  <c r="BF5" i="8403"/>
  <c r="BF4" i="8403"/>
  <c r="BF3" i="8403"/>
  <c r="BF2" i="8403"/>
  <c r="AX2" i="8403" a="1"/>
  <c r="AX2" i="8403" s="1"/>
  <c r="AW6" i="8403"/>
  <c r="AW5" i="8403"/>
  <c r="AW4" i="8403"/>
  <c r="AW3" i="8403"/>
  <c r="AW2" i="8403"/>
  <c r="AV6" i="8403"/>
  <c r="AV5" i="8403"/>
  <c r="AV4" i="8403"/>
  <c r="AV3" i="8403"/>
  <c r="AV2" i="8403"/>
  <c r="AN2" i="8403" a="1"/>
  <c r="AN2" i="8403" s="1"/>
  <c r="AM6" i="8403"/>
  <c r="AM5" i="8403"/>
  <c r="AM4" i="8403"/>
  <c r="AM3" i="8403"/>
  <c r="AM2" i="8403"/>
  <c r="AL6" i="8403"/>
  <c r="AL5" i="8403"/>
  <c r="AL4" i="8403"/>
  <c r="AL3" i="8403"/>
  <c r="AL2" i="8403"/>
  <c r="AD2" i="8403" a="1"/>
  <c r="AD2" i="8403" s="1"/>
  <c r="AC6" i="8403"/>
  <c r="AC5" i="8403"/>
  <c r="AC4" i="8403"/>
  <c r="AC3" i="8403"/>
  <c r="AC2" i="8403"/>
  <c r="AB6" i="8403"/>
  <c r="AB5" i="8403"/>
  <c r="AB4" i="8403"/>
  <c r="AB3" i="8403"/>
  <c r="AB2" i="8403"/>
  <c r="T2" i="8403" a="1"/>
  <c r="T2" i="8403" s="1"/>
  <c r="S6" i="8403"/>
  <c r="S5" i="8403"/>
  <c r="S4" i="8403"/>
  <c r="S3" i="8403"/>
  <c r="S2" i="8403"/>
  <c r="R6" i="8403"/>
  <c r="R5" i="8403"/>
  <c r="R4" i="8403"/>
  <c r="R3" i="8403"/>
  <c r="R2" i="8403"/>
  <c r="J2" i="8403" a="1"/>
  <c r="J2" i="8403" s="1"/>
  <c r="H61" i="8403"/>
  <c r="H60" i="8403"/>
  <c r="H59" i="8403"/>
  <c r="H58" i="8403"/>
  <c r="H57" i="8403"/>
  <c r="H56" i="8403"/>
  <c r="H55" i="8403"/>
  <c r="H54" i="8403"/>
  <c r="H53" i="8403"/>
  <c r="H52" i="8403"/>
  <c r="H51" i="8403"/>
  <c r="H50" i="8403"/>
  <c r="H49" i="8403"/>
  <c r="H48" i="8403"/>
  <c r="H47" i="8403"/>
  <c r="H46" i="8403"/>
  <c r="H45" i="8403"/>
  <c r="H44" i="8403"/>
  <c r="H43" i="8403"/>
  <c r="H42" i="8403"/>
  <c r="H41" i="8403"/>
  <c r="H40" i="8403"/>
  <c r="H39" i="8403"/>
  <c r="H38" i="8403"/>
  <c r="H37" i="8403"/>
  <c r="H36" i="8403"/>
  <c r="H35" i="8403"/>
  <c r="H34" i="8403"/>
  <c r="H33" i="8403"/>
  <c r="H32" i="8403"/>
  <c r="H31" i="8403"/>
  <c r="H30" i="8403"/>
  <c r="H29" i="8403"/>
  <c r="H28" i="8403"/>
  <c r="H27" i="8403"/>
  <c r="H26" i="8403"/>
  <c r="H25" i="8403"/>
  <c r="H24" i="8403"/>
  <c r="H23" i="8403"/>
  <c r="H22" i="8403"/>
  <c r="H21" i="8403"/>
  <c r="H20" i="8403"/>
  <c r="H19" i="8403"/>
  <c r="H18" i="8403"/>
  <c r="H17" i="8403"/>
  <c r="H16" i="8403"/>
  <c r="H15" i="8403"/>
  <c r="H14" i="8403"/>
  <c r="H13" i="8403"/>
  <c r="H12" i="8403"/>
  <c r="H11" i="8403"/>
  <c r="H10" i="8403"/>
  <c r="H9" i="8403"/>
  <c r="H8" i="8403"/>
  <c r="H7" i="8403"/>
  <c r="H6" i="8403"/>
  <c r="H5" i="8403"/>
  <c r="H4" i="8403"/>
  <c r="H3" i="8403"/>
  <c r="H2" i="8403"/>
  <c r="I1" i="8402"/>
  <c r="DY6" i="8402"/>
  <c r="DY5" i="8402"/>
  <c r="DY4" i="8402"/>
  <c r="DY3" i="8402"/>
  <c r="DY2" i="8402"/>
  <c r="DX6" i="8402"/>
  <c r="DX5" i="8402"/>
  <c r="DX4" i="8402"/>
  <c r="DX3" i="8402"/>
  <c r="DX2" i="8402"/>
  <c r="DP2" i="8402" a="1"/>
  <c r="DP2" i="8402" s="1"/>
  <c r="DO6" i="8402"/>
  <c r="DO5" i="8402"/>
  <c r="DO4" i="8402"/>
  <c r="DO3" i="8402"/>
  <c r="DO2" i="8402"/>
  <c r="DN6" i="8402"/>
  <c r="DN5" i="8402"/>
  <c r="DN4" i="8402"/>
  <c r="DN3" i="8402"/>
  <c r="DN2" i="8402"/>
  <c r="DF2" i="8402" a="1"/>
  <c r="DF2" i="8402" s="1"/>
  <c r="DE6" i="8402"/>
  <c r="DE5" i="8402"/>
  <c r="DE4" i="8402"/>
  <c r="DE3" i="8402"/>
  <c r="DE2" i="8402"/>
  <c r="DD6" i="8402"/>
  <c r="DD5" i="8402"/>
  <c r="DD4" i="8402"/>
  <c r="DD3" i="8402"/>
  <c r="DD2" i="8402"/>
  <c r="CV2" i="8402" a="1"/>
  <c r="CV2" i="8402" s="1"/>
  <c r="CU6" i="8402"/>
  <c r="CU5" i="8402"/>
  <c r="CU4" i="8402"/>
  <c r="CU3" i="8402"/>
  <c r="CU2" i="8402"/>
  <c r="CT6" i="8402"/>
  <c r="CT5" i="8402"/>
  <c r="CT4" i="8402"/>
  <c r="CT3" i="8402"/>
  <c r="CT2" i="8402"/>
  <c r="CL2" i="8402" a="1"/>
  <c r="CL2" i="8402" s="1"/>
  <c r="CK6" i="8402"/>
  <c r="CK5" i="8402"/>
  <c r="CK4" i="8402"/>
  <c r="CK3" i="8402"/>
  <c r="CK2" i="8402"/>
  <c r="CJ6" i="8402"/>
  <c r="CJ5" i="8402"/>
  <c r="CJ4" i="8402"/>
  <c r="CJ3" i="8402"/>
  <c r="CJ2" i="8402"/>
  <c r="CB2" i="8402" a="1"/>
  <c r="CB2" i="8402" s="1"/>
  <c r="CA6" i="8402"/>
  <c r="CA5" i="8402"/>
  <c r="CA4" i="8402"/>
  <c r="CA3" i="8402"/>
  <c r="CA2" i="8402"/>
  <c r="BZ6" i="8402"/>
  <c r="BZ5" i="8402"/>
  <c r="BZ4" i="8402"/>
  <c r="BZ3" i="8402"/>
  <c r="BZ2" i="8402"/>
  <c r="BR2" i="8402" a="1"/>
  <c r="BR2" i="8402" s="1"/>
  <c r="BQ6" i="8402"/>
  <c r="BQ5" i="8402"/>
  <c r="BQ4" i="8402"/>
  <c r="BQ3" i="8402"/>
  <c r="BQ2" i="8402"/>
  <c r="BP6" i="8402"/>
  <c r="BP5" i="8402"/>
  <c r="BP4" i="8402"/>
  <c r="BP3" i="8402"/>
  <c r="BP2" i="8402"/>
  <c r="BH2" i="8402" a="1"/>
  <c r="BH2" i="8402" s="1"/>
  <c r="BG6" i="8402"/>
  <c r="BG5" i="8402"/>
  <c r="BG4" i="8402"/>
  <c r="BG3" i="8402"/>
  <c r="BG2" i="8402"/>
  <c r="BF6" i="8402"/>
  <c r="BF5" i="8402"/>
  <c r="BF4" i="8402"/>
  <c r="BF3" i="8402"/>
  <c r="BF2" i="8402"/>
  <c r="AX2" i="8402" a="1"/>
  <c r="AX2" i="8402" s="1"/>
  <c r="AW6" i="8402"/>
  <c r="AW5" i="8402"/>
  <c r="AW4" i="8402"/>
  <c r="AW3" i="8402"/>
  <c r="AW2" i="8402"/>
  <c r="AV6" i="8402"/>
  <c r="AV5" i="8402"/>
  <c r="AV4" i="8402"/>
  <c r="AV3" i="8402"/>
  <c r="AV2" i="8402"/>
  <c r="AN2" i="8402" a="1"/>
  <c r="AN2" i="8402" s="1"/>
  <c r="AM6" i="8402"/>
  <c r="AM5" i="8402"/>
  <c r="AM4" i="8402"/>
  <c r="AM3" i="8402"/>
  <c r="AM2" i="8402"/>
  <c r="AL6" i="8402"/>
  <c r="AL5" i="8402"/>
  <c r="AL4" i="8402"/>
  <c r="AL3" i="8402"/>
  <c r="AL2" i="8402"/>
  <c r="AD2" i="8402" a="1"/>
  <c r="AD2" i="8402" s="1"/>
  <c r="AC6" i="8402"/>
  <c r="AC5" i="8402"/>
  <c r="AC4" i="8402"/>
  <c r="AC3" i="8402"/>
  <c r="AC2" i="8402"/>
  <c r="AB6" i="8402"/>
  <c r="AB5" i="8402"/>
  <c r="AB4" i="8402"/>
  <c r="AB3" i="8402"/>
  <c r="AB2" i="8402"/>
  <c r="T2" i="8402" a="1"/>
  <c r="T2" i="8402" s="1"/>
  <c r="S6" i="8402"/>
  <c r="S5" i="8402"/>
  <c r="S4" i="8402"/>
  <c r="S3" i="8402"/>
  <c r="S2" i="8402"/>
  <c r="R6" i="8402"/>
  <c r="R5" i="8402"/>
  <c r="R4" i="8402"/>
  <c r="R3" i="8402"/>
  <c r="R2" i="8402"/>
  <c r="J2" i="8402" a="1"/>
  <c r="J2" i="8402" s="1"/>
  <c r="H61" i="8402"/>
  <c r="H60" i="8402"/>
  <c r="H59" i="8402"/>
  <c r="H58" i="8402"/>
  <c r="H57" i="8402"/>
  <c r="H56" i="8402"/>
  <c r="H55" i="8402"/>
  <c r="H54" i="8402"/>
  <c r="H53" i="8402"/>
  <c r="H52" i="8402"/>
  <c r="H51" i="8402"/>
  <c r="H50" i="8402"/>
  <c r="H49" i="8402"/>
  <c r="H48" i="8402"/>
  <c r="H47" i="8402"/>
  <c r="H46" i="8402"/>
  <c r="H45" i="8402"/>
  <c r="H44" i="8402"/>
  <c r="H43" i="8402"/>
  <c r="H42" i="8402"/>
  <c r="H41" i="8402"/>
  <c r="H40" i="8402"/>
  <c r="H39" i="8402"/>
  <c r="H38" i="8402"/>
  <c r="H37" i="8402"/>
  <c r="H36" i="8402"/>
  <c r="H35" i="8402"/>
  <c r="H34" i="8402"/>
  <c r="H33" i="8402"/>
  <c r="H32" i="8402"/>
  <c r="H31" i="8402"/>
  <c r="H30" i="8402"/>
  <c r="H29" i="8402"/>
  <c r="H28" i="8402"/>
  <c r="H27" i="8402"/>
  <c r="H26" i="8402"/>
  <c r="H25" i="8402"/>
  <c r="H24" i="8402"/>
  <c r="H23" i="8402"/>
  <c r="H22" i="8402"/>
  <c r="H21" i="8402"/>
  <c r="H20" i="8402"/>
  <c r="H19" i="8402"/>
  <c r="H18" i="8402"/>
  <c r="H17" i="8402"/>
  <c r="H16" i="8402"/>
  <c r="H15" i="8402"/>
  <c r="H14" i="8402"/>
  <c r="H13" i="8402"/>
  <c r="H12" i="8402"/>
  <c r="H11" i="8402"/>
  <c r="H10" i="8402"/>
  <c r="H9" i="8402"/>
  <c r="H8" i="8402"/>
  <c r="H7" i="8402"/>
  <c r="H6" i="8402"/>
  <c r="H5" i="8402"/>
  <c r="H4" i="8402"/>
  <c r="H3" i="8402"/>
  <c r="H2" i="8402"/>
  <c r="I1" i="8401"/>
  <c r="DY6" i="8401"/>
  <c r="DY5" i="8401"/>
  <c r="DY4" i="8401"/>
  <c r="DY3" i="8401"/>
  <c r="DY2" i="8401"/>
  <c r="DX6" i="8401"/>
  <c r="DX5" i="8401"/>
  <c r="DX4" i="8401"/>
  <c r="DX3" i="8401"/>
  <c r="DX2" i="8401"/>
  <c r="DP2" i="8401" a="1"/>
  <c r="DP2" i="8401" s="1"/>
  <c r="DO6" i="8401"/>
  <c r="DO5" i="8401"/>
  <c r="DO4" i="8401"/>
  <c r="DO3" i="8401"/>
  <c r="DO2" i="8401"/>
  <c r="DN6" i="8401"/>
  <c r="DN5" i="8401"/>
  <c r="DN4" i="8401"/>
  <c r="DN3" i="8401"/>
  <c r="DN2" i="8401"/>
  <c r="DF2" i="8401" a="1"/>
  <c r="DF2" i="8401" s="1"/>
  <c r="DE6" i="8401"/>
  <c r="DE5" i="8401"/>
  <c r="DE4" i="8401"/>
  <c r="DE3" i="8401"/>
  <c r="DE2" i="8401"/>
  <c r="DD6" i="8401"/>
  <c r="DD5" i="8401"/>
  <c r="DD4" i="8401"/>
  <c r="DD3" i="8401"/>
  <c r="DD2" i="8401"/>
  <c r="CV2" i="8401" a="1"/>
  <c r="CV2" i="8401" s="1"/>
  <c r="CU6" i="8401"/>
  <c r="CU5" i="8401"/>
  <c r="CU4" i="8401"/>
  <c r="CU3" i="8401"/>
  <c r="CU2" i="8401"/>
  <c r="CT6" i="8401"/>
  <c r="CT5" i="8401"/>
  <c r="CT4" i="8401"/>
  <c r="CT3" i="8401"/>
  <c r="CT2" i="8401"/>
  <c r="CL2" i="8401" a="1"/>
  <c r="CL2" i="8401" s="1"/>
  <c r="CK6" i="8401"/>
  <c r="CK5" i="8401"/>
  <c r="CK4" i="8401"/>
  <c r="CK3" i="8401"/>
  <c r="CK2" i="8401"/>
  <c r="CJ6" i="8401"/>
  <c r="CJ5" i="8401"/>
  <c r="CJ4" i="8401"/>
  <c r="CJ3" i="8401"/>
  <c r="CJ2" i="8401"/>
  <c r="CB2" i="8401" a="1"/>
  <c r="CB2" i="8401" s="1"/>
  <c r="CA6" i="8401"/>
  <c r="CA5" i="8401"/>
  <c r="CA4" i="8401"/>
  <c r="CA3" i="8401"/>
  <c r="CA2" i="8401"/>
  <c r="BZ6" i="8401"/>
  <c r="BZ5" i="8401"/>
  <c r="BZ4" i="8401"/>
  <c r="BZ3" i="8401"/>
  <c r="BZ2" i="8401"/>
  <c r="BR2" i="8401" a="1"/>
  <c r="BR2" i="8401" s="1"/>
  <c r="BQ6" i="8401"/>
  <c r="BQ5" i="8401"/>
  <c r="BQ4" i="8401"/>
  <c r="BQ3" i="8401"/>
  <c r="BQ2" i="8401"/>
  <c r="BP6" i="8401"/>
  <c r="BP5" i="8401"/>
  <c r="BP4" i="8401"/>
  <c r="BP3" i="8401"/>
  <c r="BP2" i="8401"/>
  <c r="BH2" i="8401" a="1"/>
  <c r="BH2" i="8401" s="1"/>
  <c r="BG6" i="8401"/>
  <c r="BG5" i="8401"/>
  <c r="BG4" i="8401"/>
  <c r="BG3" i="8401"/>
  <c r="BG2" i="8401"/>
  <c r="BF6" i="8401"/>
  <c r="BF5" i="8401"/>
  <c r="BF4" i="8401"/>
  <c r="BF3" i="8401"/>
  <c r="BF2" i="8401"/>
  <c r="AX2" i="8401" a="1"/>
  <c r="AX2" i="8401" s="1"/>
  <c r="AW6" i="8401"/>
  <c r="AW5" i="8401"/>
  <c r="AW4" i="8401"/>
  <c r="AW3" i="8401"/>
  <c r="AW2" i="8401"/>
  <c r="AV6" i="8401"/>
  <c r="AV5" i="8401"/>
  <c r="AV4" i="8401"/>
  <c r="AV3" i="8401"/>
  <c r="AV2" i="8401"/>
  <c r="AN2" i="8401" a="1"/>
  <c r="AN2" i="8401" s="1"/>
  <c r="AM6" i="8401"/>
  <c r="AM5" i="8401"/>
  <c r="AM4" i="8401"/>
  <c r="AM3" i="8401"/>
  <c r="AM2" i="8401"/>
  <c r="AL6" i="8401"/>
  <c r="AL5" i="8401"/>
  <c r="AL4" i="8401"/>
  <c r="AL3" i="8401"/>
  <c r="AL2" i="8401"/>
  <c r="AD2" i="8401" a="1"/>
  <c r="AD2" i="8401" s="1"/>
  <c r="AC6" i="8401"/>
  <c r="AC5" i="8401"/>
  <c r="AC4" i="8401"/>
  <c r="AC3" i="8401"/>
  <c r="AC2" i="8401"/>
  <c r="AB6" i="8401"/>
  <c r="AB5" i="8401"/>
  <c r="AB4" i="8401"/>
  <c r="AB3" i="8401"/>
  <c r="AB2" i="8401"/>
  <c r="T2" i="8401" a="1"/>
  <c r="T2" i="8401" s="1"/>
  <c r="S6" i="8401"/>
  <c r="S5" i="8401"/>
  <c r="S4" i="8401"/>
  <c r="S3" i="8401"/>
  <c r="S2" i="8401"/>
  <c r="R6" i="8401"/>
  <c r="R5" i="8401"/>
  <c r="R4" i="8401"/>
  <c r="R3" i="8401"/>
  <c r="R2" i="8401"/>
  <c r="J2" i="8401" a="1"/>
  <c r="J2" i="8401" s="1"/>
  <c r="H61" i="8401"/>
  <c r="H60" i="8401"/>
  <c r="H59" i="8401"/>
  <c r="H58" i="8401"/>
  <c r="H57" i="8401"/>
  <c r="H56" i="8401"/>
  <c r="H55" i="8401"/>
  <c r="H54" i="8401"/>
  <c r="H53" i="8401"/>
  <c r="H52" i="8401"/>
  <c r="H51" i="8401"/>
  <c r="H50" i="8401"/>
  <c r="H49" i="8401"/>
  <c r="H48" i="8401"/>
  <c r="H47" i="8401"/>
  <c r="H46" i="8401"/>
  <c r="H45" i="8401"/>
  <c r="H44" i="8401"/>
  <c r="H43" i="8401"/>
  <c r="H42" i="8401"/>
  <c r="H41" i="8401"/>
  <c r="H40" i="8401"/>
  <c r="H39" i="8401"/>
  <c r="H38" i="8401"/>
  <c r="H37" i="8401"/>
  <c r="H36" i="8401"/>
  <c r="H35" i="8401"/>
  <c r="H34" i="8401"/>
  <c r="H33" i="8401"/>
  <c r="H32" i="8401"/>
  <c r="H31" i="8401"/>
  <c r="H30" i="8401"/>
  <c r="H29" i="8401"/>
  <c r="H28" i="8401"/>
  <c r="H27" i="8401"/>
  <c r="H26" i="8401"/>
  <c r="H25" i="8401"/>
  <c r="H24" i="8401"/>
  <c r="H23" i="8401"/>
  <c r="H22" i="8401"/>
  <c r="H21" i="8401"/>
  <c r="H20" i="8401"/>
  <c r="H19" i="8401"/>
  <c r="H18" i="8401"/>
  <c r="H17" i="8401"/>
  <c r="H16" i="8401"/>
  <c r="H15" i="8401"/>
  <c r="H14" i="8401"/>
  <c r="H13" i="8401"/>
  <c r="H12" i="8401"/>
  <c r="H11" i="8401"/>
  <c r="H10" i="8401"/>
  <c r="H9" i="8401"/>
  <c r="H8" i="8401"/>
  <c r="H7" i="8401"/>
  <c r="H6" i="8401"/>
  <c r="H5" i="8401"/>
  <c r="H4" i="8401"/>
  <c r="H3" i="8401"/>
  <c r="H2" i="8401"/>
  <c r="I1" i="8400"/>
  <c r="DY6" i="8400"/>
  <c r="DY5" i="8400"/>
  <c r="DY4" i="8400"/>
  <c r="DY3" i="8400"/>
  <c r="DY2" i="8400"/>
  <c r="DX6" i="8400"/>
  <c r="DX5" i="8400"/>
  <c r="DX4" i="8400"/>
  <c r="DX3" i="8400"/>
  <c r="DX2" i="8400"/>
  <c r="DP2" i="8400" a="1"/>
  <c r="DP2" i="8400" s="1"/>
  <c r="DO6" i="8400"/>
  <c r="DO5" i="8400"/>
  <c r="DO4" i="8400"/>
  <c r="DO3" i="8400"/>
  <c r="DO2" i="8400"/>
  <c r="DN6" i="8400"/>
  <c r="DN5" i="8400"/>
  <c r="DN4" i="8400"/>
  <c r="DN3" i="8400"/>
  <c r="DN2" i="8400"/>
  <c r="DF2" i="8400" a="1"/>
  <c r="DF2" i="8400" s="1"/>
  <c r="DE6" i="8400"/>
  <c r="DE5" i="8400"/>
  <c r="DE4" i="8400"/>
  <c r="DE3" i="8400"/>
  <c r="DE2" i="8400"/>
  <c r="DD6" i="8400"/>
  <c r="DD5" i="8400"/>
  <c r="DD4" i="8400"/>
  <c r="DD3" i="8400"/>
  <c r="DD2" i="8400"/>
  <c r="CV2" i="8400" a="1"/>
  <c r="CV2" i="8400" s="1"/>
  <c r="CU6" i="8400"/>
  <c r="CU5" i="8400"/>
  <c r="CU4" i="8400"/>
  <c r="CU3" i="8400"/>
  <c r="CU2" i="8400"/>
  <c r="CT6" i="8400"/>
  <c r="CT5" i="8400"/>
  <c r="CT4" i="8400"/>
  <c r="CT3" i="8400"/>
  <c r="CT2" i="8400"/>
  <c r="CL2" i="8400" a="1"/>
  <c r="CL2" i="8400" s="1"/>
  <c r="CK6" i="8400"/>
  <c r="CK5" i="8400"/>
  <c r="CK4" i="8400"/>
  <c r="CK3" i="8400"/>
  <c r="CK2" i="8400"/>
  <c r="CJ6" i="8400"/>
  <c r="CJ5" i="8400"/>
  <c r="CJ4" i="8400"/>
  <c r="CJ3" i="8400"/>
  <c r="CJ2" i="8400"/>
  <c r="CB2" i="8400" a="1"/>
  <c r="CB2" i="8400" s="1"/>
  <c r="CA6" i="8400"/>
  <c r="CA5" i="8400"/>
  <c r="CA4" i="8400"/>
  <c r="CA3" i="8400"/>
  <c r="CA2" i="8400"/>
  <c r="BZ6" i="8400"/>
  <c r="BZ5" i="8400"/>
  <c r="BZ4" i="8400"/>
  <c r="BZ3" i="8400"/>
  <c r="BZ2" i="8400"/>
  <c r="BR2" i="8400" a="1"/>
  <c r="BR2" i="8400" s="1"/>
  <c r="BQ6" i="8400"/>
  <c r="BQ5" i="8400"/>
  <c r="BQ4" i="8400"/>
  <c r="BQ3" i="8400"/>
  <c r="BQ2" i="8400"/>
  <c r="BP6" i="8400"/>
  <c r="BP5" i="8400"/>
  <c r="BP4" i="8400"/>
  <c r="BP3" i="8400"/>
  <c r="BP2" i="8400"/>
  <c r="BH2" i="8400" a="1"/>
  <c r="BH2" i="8400" s="1"/>
  <c r="BG6" i="8400"/>
  <c r="BG5" i="8400"/>
  <c r="BG4" i="8400"/>
  <c r="BG3" i="8400"/>
  <c r="BG2" i="8400"/>
  <c r="BF6" i="8400"/>
  <c r="BF5" i="8400"/>
  <c r="BF4" i="8400"/>
  <c r="BF3" i="8400"/>
  <c r="BF2" i="8400"/>
  <c r="AX2" i="8400" a="1"/>
  <c r="AX2" i="8400" s="1"/>
  <c r="AW6" i="8400"/>
  <c r="AW5" i="8400"/>
  <c r="AW4" i="8400"/>
  <c r="AW3" i="8400"/>
  <c r="AW2" i="8400"/>
  <c r="AV6" i="8400"/>
  <c r="AV5" i="8400"/>
  <c r="AV4" i="8400"/>
  <c r="AV3" i="8400"/>
  <c r="AV2" i="8400"/>
  <c r="AN2" i="8400" a="1"/>
  <c r="AN2" i="8400" s="1"/>
  <c r="AM6" i="8400"/>
  <c r="AM5" i="8400"/>
  <c r="AM4" i="8400"/>
  <c r="AM3" i="8400"/>
  <c r="AM2" i="8400"/>
  <c r="AL6" i="8400"/>
  <c r="AL5" i="8400"/>
  <c r="AL4" i="8400"/>
  <c r="AL3" i="8400"/>
  <c r="AL2" i="8400"/>
  <c r="AD2" i="8400" a="1"/>
  <c r="AD2" i="8400" s="1"/>
  <c r="AC6" i="8400"/>
  <c r="AC5" i="8400"/>
  <c r="AC4" i="8400"/>
  <c r="AC3" i="8400"/>
  <c r="AC2" i="8400"/>
  <c r="AB6" i="8400"/>
  <c r="AB5" i="8400"/>
  <c r="AB4" i="8400"/>
  <c r="AB3" i="8400"/>
  <c r="AB2" i="8400"/>
  <c r="T2" i="8400" a="1"/>
  <c r="T2" i="8400" s="1"/>
  <c r="S6" i="8400"/>
  <c r="S5" i="8400"/>
  <c r="S4" i="8400"/>
  <c r="S3" i="8400"/>
  <c r="S2" i="8400"/>
  <c r="R6" i="8400"/>
  <c r="R5" i="8400"/>
  <c r="R4" i="8400"/>
  <c r="R3" i="8400"/>
  <c r="R2" i="8400"/>
  <c r="J2" i="8400" a="1"/>
  <c r="J2" i="8400" s="1"/>
  <c r="H61" i="8400"/>
  <c r="H60" i="8400"/>
  <c r="H59" i="8400"/>
  <c r="H58" i="8400"/>
  <c r="H57" i="8400"/>
  <c r="H56" i="8400"/>
  <c r="H55" i="8400"/>
  <c r="H54" i="8400"/>
  <c r="H53" i="8400"/>
  <c r="H52" i="8400"/>
  <c r="H51" i="8400"/>
  <c r="H50" i="8400"/>
  <c r="H49" i="8400"/>
  <c r="H48" i="8400"/>
  <c r="H47" i="8400"/>
  <c r="H46" i="8400"/>
  <c r="H45" i="8400"/>
  <c r="H44" i="8400"/>
  <c r="H43" i="8400"/>
  <c r="H42" i="8400"/>
  <c r="H41" i="8400"/>
  <c r="H40" i="8400"/>
  <c r="H39" i="8400"/>
  <c r="H38" i="8400"/>
  <c r="H37" i="8400"/>
  <c r="H36" i="8400"/>
  <c r="H35" i="8400"/>
  <c r="H34" i="8400"/>
  <c r="H33" i="8400"/>
  <c r="H32" i="8400"/>
  <c r="H31" i="8400"/>
  <c r="H30" i="8400"/>
  <c r="H29" i="8400"/>
  <c r="H28" i="8400"/>
  <c r="H27" i="8400"/>
  <c r="H26" i="8400"/>
  <c r="H25" i="8400"/>
  <c r="H24" i="8400"/>
  <c r="H23" i="8400"/>
  <c r="H22" i="8400"/>
  <c r="H21" i="8400"/>
  <c r="H20" i="8400"/>
  <c r="H19" i="8400"/>
  <c r="H18" i="8400"/>
  <c r="H17" i="8400"/>
  <c r="H16" i="8400"/>
  <c r="H15" i="8400"/>
  <c r="H14" i="8400"/>
  <c r="H13" i="8400"/>
  <c r="H12" i="8400"/>
  <c r="H11" i="8400"/>
  <c r="H10" i="8400"/>
  <c r="H9" i="8400"/>
  <c r="H8" i="8400"/>
  <c r="H7" i="8400"/>
  <c r="H6" i="8400"/>
  <c r="H5" i="8400"/>
  <c r="H4" i="8400"/>
  <c r="H3" i="8400"/>
  <c r="H2" i="8400"/>
  <c r="I1" i="8399"/>
  <c r="I1" i="8398"/>
  <c r="I1" i="8397"/>
  <c r="DY6" i="8397"/>
  <c r="DY5" i="8397"/>
  <c r="DY4" i="8397"/>
  <c r="DY3" i="8397"/>
  <c r="DY2" i="8397"/>
  <c r="DX6" i="8397"/>
  <c r="DX5" i="8397"/>
  <c r="DX4" i="8397"/>
  <c r="DX3" i="8397"/>
  <c r="DX2" i="8397"/>
  <c r="DP2" i="8397" a="1"/>
  <c r="DP2" i="8397" s="1"/>
  <c r="DO6" i="8397"/>
  <c r="DO5" i="8397"/>
  <c r="DO4" i="8397"/>
  <c r="DO3" i="8397"/>
  <c r="DO2" i="8397"/>
  <c r="DN6" i="8397"/>
  <c r="DN5" i="8397"/>
  <c r="DN4" i="8397"/>
  <c r="DN3" i="8397"/>
  <c r="DN2" i="8397"/>
  <c r="DF2" i="8397" a="1"/>
  <c r="DF2" i="8397" s="1"/>
  <c r="DE6" i="8397"/>
  <c r="DE5" i="8397"/>
  <c r="DE4" i="8397"/>
  <c r="DE3" i="8397"/>
  <c r="DE2" i="8397"/>
  <c r="DD6" i="8397"/>
  <c r="DD5" i="8397"/>
  <c r="DD4" i="8397"/>
  <c r="DD3" i="8397"/>
  <c r="DD2" i="8397"/>
  <c r="CV2" i="8397" a="1"/>
  <c r="CV2" i="8397" s="1"/>
  <c r="CU6" i="8397"/>
  <c r="CU5" i="8397"/>
  <c r="CU4" i="8397"/>
  <c r="CU3" i="8397"/>
  <c r="CU2" i="8397"/>
  <c r="CT6" i="8397"/>
  <c r="CT5" i="8397"/>
  <c r="CT4" i="8397"/>
  <c r="CT3" i="8397"/>
  <c r="CT2" i="8397"/>
  <c r="CL2" i="8397" a="1"/>
  <c r="CL2" i="8397" s="1"/>
  <c r="CK6" i="8397"/>
  <c r="CK5" i="8397"/>
  <c r="CK4" i="8397"/>
  <c r="CK3" i="8397"/>
  <c r="CK2" i="8397"/>
  <c r="CJ6" i="8397"/>
  <c r="CJ5" i="8397"/>
  <c r="CJ4" i="8397"/>
  <c r="CJ3" i="8397"/>
  <c r="CJ2" i="8397"/>
  <c r="CB2" i="8397" a="1"/>
  <c r="CB2" i="8397" s="1"/>
  <c r="CA6" i="8397"/>
  <c r="CA5" i="8397"/>
  <c r="CA4" i="8397"/>
  <c r="CA3" i="8397"/>
  <c r="CA2" i="8397"/>
  <c r="BZ6" i="8397"/>
  <c r="BZ5" i="8397"/>
  <c r="BZ4" i="8397"/>
  <c r="BZ3" i="8397"/>
  <c r="BZ2" i="8397"/>
  <c r="BR2" i="8397" a="1"/>
  <c r="BR2" i="8397" s="1"/>
  <c r="BQ6" i="8397"/>
  <c r="BQ5" i="8397"/>
  <c r="BQ4" i="8397"/>
  <c r="BQ3" i="8397"/>
  <c r="BQ2" i="8397"/>
  <c r="BP6" i="8397"/>
  <c r="BP5" i="8397"/>
  <c r="BP4" i="8397"/>
  <c r="BP3" i="8397"/>
  <c r="BP2" i="8397"/>
  <c r="BH2" i="8397" a="1"/>
  <c r="BH2" i="8397" s="1"/>
  <c r="BG6" i="8397"/>
  <c r="BG5" i="8397"/>
  <c r="BG4" i="8397"/>
  <c r="BG3" i="8397"/>
  <c r="BG2" i="8397"/>
  <c r="BF6" i="8397"/>
  <c r="BF5" i="8397"/>
  <c r="BF4" i="8397"/>
  <c r="BF3" i="8397"/>
  <c r="BF2" i="8397"/>
  <c r="AX2" i="8397" a="1"/>
  <c r="AX2" i="8397" s="1"/>
  <c r="AW6" i="8397"/>
  <c r="AW5" i="8397"/>
  <c r="AW4" i="8397"/>
  <c r="AW3" i="8397"/>
  <c r="AW2" i="8397"/>
  <c r="AV6" i="8397"/>
  <c r="AV5" i="8397"/>
  <c r="AV4" i="8397"/>
  <c r="AV3" i="8397"/>
  <c r="AV2" i="8397"/>
  <c r="AN2" i="8397" a="1"/>
  <c r="AN2" i="8397" s="1"/>
  <c r="AM6" i="8397"/>
  <c r="AM5" i="8397"/>
  <c r="AM4" i="8397"/>
  <c r="AM3" i="8397"/>
  <c r="AM2" i="8397"/>
  <c r="AL6" i="8397"/>
  <c r="AL5" i="8397"/>
  <c r="AL4" i="8397"/>
  <c r="AL3" i="8397"/>
  <c r="AL2" i="8397"/>
  <c r="AD2" i="8397" a="1"/>
  <c r="AD2" i="8397" s="1"/>
  <c r="AC6" i="8397"/>
  <c r="AC5" i="8397"/>
  <c r="AC4" i="8397"/>
  <c r="AC3" i="8397"/>
  <c r="AC2" i="8397"/>
  <c r="AB6" i="8397"/>
  <c r="AB5" i="8397"/>
  <c r="AB4" i="8397"/>
  <c r="AB3" i="8397"/>
  <c r="AB2" i="8397"/>
  <c r="T2" i="8397" a="1"/>
  <c r="T2" i="8397" s="1"/>
  <c r="S6" i="8397"/>
  <c r="S5" i="8397"/>
  <c r="S4" i="8397"/>
  <c r="S3" i="8397"/>
  <c r="S2" i="8397"/>
  <c r="R6" i="8397"/>
  <c r="R5" i="8397"/>
  <c r="R4" i="8397"/>
  <c r="R3" i="8397"/>
  <c r="R2" i="8397"/>
  <c r="J2" i="8397" a="1"/>
  <c r="J2" i="8397" s="1"/>
  <c r="H61" i="8397"/>
  <c r="H60" i="8397"/>
  <c r="H59" i="8397"/>
  <c r="H58" i="8397"/>
  <c r="H57" i="8397"/>
  <c r="H56" i="8397"/>
  <c r="H55" i="8397"/>
  <c r="H54" i="8397"/>
  <c r="H53" i="8397"/>
  <c r="H52" i="8397"/>
  <c r="H51" i="8397"/>
  <c r="H50" i="8397"/>
  <c r="H49" i="8397"/>
  <c r="H48" i="8397"/>
  <c r="H47" i="8397"/>
  <c r="H46" i="8397"/>
  <c r="H45" i="8397"/>
  <c r="H44" i="8397"/>
  <c r="H43" i="8397"/>
  <c r="H42" i="8397"/>
  <c r="H41" i="8397"/>
  <c r="H40" i="8397"/>
  <c r="H39" i="8397"/>
  <c r="H38" i="8397"/>
  <c r="H37" i="8397"/>
  <c r="H36" i="8397"/>
  <c r="H35" i="8397"/>
  <c r="H34" i="8397"/>
  <c r="H33" i="8397"/>
  <c r="H32" i="8397"/>
  <c r="H31" i="8397"/>
  <c r="H30" i="8397"/>
  <c r="H29" i="8397"/>
  <c r="H28" i="8397"/>
  <c r="H27" i="8397"/>
  <c r="H26" i="8397"/>
  <c r="H25" i="8397"/>
  <c r="H24" i="8397"/>
  <c r="H23" i="8397"/>
  <c r="H22" i="8397"/>
  <c r="H21" i="8397"/>
  <c r="H20" i="8397"/>
  <c r="H19" i="8397"/>
  <c r="H18" i="8397"/>
  <c r="H17" i="8397"/>
  <c r="H16" i="8397"/>
  <c r="H15" i="8397"/>
  <c r="H14" i="8397"/>
  <c r="H13" i="8397"/>
  <c r="H12" i="8397"/>
  <c r="H11" i="8397"/>
  <c r="H10" i="8397"/>
  <c r="H9" i="8397"/>
  <c r="H8" i="8397"/>
  <c r="H7" i="8397"/>
  <c r="H6" i="8397"/>
  <c r="H5" i="8397"/>
  <c r="H4" i="8397"/>
  <c r="H3" i="8397"/>
  <c r="H2" i="8397"/>
  <c r="I1" i="8396"/>
  <c r="DY6" i="8396"/>
  <c r="DY5" i="8396"/>
  <c r="DY4" i="8396"/>
  <c r="DY3" i="8396"/>
  <c r="DY2" i="8396"/>
  <c r="DX6" i="8396"/>
  <c r="DX5" i="8396"/>
  <c r="DX4" i="8396"/>
  <c r="DX3" i="8396"/>
  <c r="DX2" i="8396"/>
  <c r="DP2" i="8396" a="1"/>
  <c r="DP2" i="8396" s="1"/>
  <c r="DO6" i="8396"/>
  <c r="DO5" i="8396"/>
  <c r="DO4" i="8396"/>
  <c r="DO3" i="8396"/>
  <c r="DO2" i="8396"/>
  <c r="DN6" i="8396"/>
  <c r="DN5" i="8396"/>
  <c r="DN4" i="8396"/>
  <c r="DN3" i="8396"/>
  <c r="DN2" i="8396"/>
  <c r="DF2" i="8396" a="1"/>
  <c r="DF2" i="8396" s="1"/>
  <c r="DE6" i="8396"/>
  <c r="DE5" i="8396"/>
  <c r="DE4" i="8396"/>
  <c r="DE3" i="8396"/>
  <c r="DE2" i="8396"/>
  <c r="DD6" i="8396"/>
  <c r="DD5" i="8396"/>
  <c r="DD4" i="8396"/>
  <c r="DD3" i="8396"/>
  <c r="DD2" i="8396"/>
  <c r="CV2" i="8396" a="1"/>
  <c r="CV2" i="8396" s="1"/>
  <c r="CU6" i="8396"/>
  <c r="CU5" i="8396"/>
  <c r="CU4" i="8396"/>
  <c r="CU3" i="8396"/>
  <c r="CU2" i="8396"/>
  <c r="CT6" i="8396"/>
  <c r="CT5" i="8396"/>
  <c r="CT4" i="8396"/>
  <c r="CT3" i="8396"/>
  <c r="CT2" i="8396"/>
  <c r="CL2" i="8396" a="1"/>
  <c r="CL2" i="8396" s="1"/>
  <c r="CK6" i="8396"/>
  <c r="CK5" i="8396"/>
  <c r="CK4" i="8396"/>
  <c r="CK3" i="8396"/>
  <c r="CK2" i="8396"/>
  <c r="CJ6" i="8396"/>
  <c r="CJ5" i="8396"/>
  <c r="CJ4" i="8396"/>
  <c r="CJ3" i="8396"/>
  <c r="CJ2" i="8396"/>
  <c r="CB2" i="8396" a="1"/>
  <c r="CB2" i="8396" s="1"/>
  <c r="CA6" i="8396"/>
  <c r="CA5" i="8396"/>
  <c r="CA4" i="8396"/>
  <c r="CA3" i="8396"/>
  <c r="CA2" i="8396"/>
  <c r="BZ6" i="8396"/>
  <c r="BZ5" i="8396"/>
  <c r="BZ4" i="8396"/>
  <c r="BZ3" i="8396"/>
  <c r="BZ2" i="8396"/>
  <c r="BR2" i="8396" a="1"/>
  <c r="BR2" i="8396" s="1"/>
  <c r="BQ6" i="8396"/>
  <c r="BQ5" i="8396"/>
  <c r="BQ4" i="8396"/>
  <c r="BQ3" i="8396"/>
  <c r="BQ2" i="8396"/>
  <c r="BP6" i="8396"/>
  <c r="BP5" i="8396"/>
  <c r="BP4" i="8396"/>
  <c r="BP3" i="8396"/>
  <c r="BP2" i="8396"/>
  <c r="BH2" i="8396" a="1"/>
  <c r="BH2" i="8396" s="1"/>
  <c r="BG6" i="8396"/>
  <c r="BG5" i="8396"/>
  <c r="BG4" i="8396"/>
  <c r="BG3" i="8396"/>
  <c r="BG2" i="8396"/>
  <c r="BF6" i="8396"/>
  <c r="BF5" i="8396"/>
  <c r="BF4" i="8396"/>
  <c r="BF3" i="8396"/>
  <c r="BF2" i="8396"/>
  <c r="AX2" i="8396" a="1"/>
  <c r="AX2" i="8396" s="1"/>
  <c r="AW6" i="8396"/>
  <c r="AW5" i="8396"/>
  <c r="AW4" i="8396"/>
  <c r="AW3" i="8396"/>
  <c r="AW2" i="8396"/>
  <c r="AV6" i="8396"/>
  <c r="AV5" i="8396"/>
  <c r="AV4" i="8396"/>
  <c r="AV3" i="8396"/>
  <c r="AV2" i="8396"/>
  <c r="AN2" i="8396" a="1"/>
  <c r="AN2" i="8396" s="1"/>
  <c r="AM6" i="8396"/>
  <c r="AM5" i="8396"/>
  <c r="AM4" i="8396"/>
  <c r="AM3" i="8396"/>
  <c r="AM2" i="8396"/>
  <c r="AL6" i="8396"/>
  <c r="AL5" i="8396"/>
  <c r="AL4" i="8396"/>
  <c r="AL3" i="8396"/>
  <c r="AL2" i="8396"/>
  <c r="AD2" i="8396" a="1"/>
  <c r="AD2" i="8396" s="1"/>
  <c r="AC6" i="8396"/>
  <c r="AC5" i="8396"/>
  <c r="AC4" i="8396"/>
  <c r="AC3" i="8396"/>
  <c r="AC2" i="8396"/>
  <c r="AB6" i="8396"/>
  <c r="AB5" i="8396"/>
  <c r="AB4" i="8396"/>
  <c r="AB3" i="8396"/>
  <c r="AB2" i="8396"/>
  <c r="T2" i="8396" a="1"/>
  <c r="T2" i="8396" s="1"/>
  <c r="S6" i="8396"/>
  <c r="S5" i="8396"/>
  <c r="S4" i="8396"/>
  <c r="S3" i="8396"/>
  <c r="S2" i="8396"/>
  <c r="R6" i="8396"/>
  <c r="R5" i="8396"/>
  <c r="R4" i="8396"/>
  <c r="R3" i="8396"/>
  <c r="R2" i="8396"/>
  <c r="J2" i="8396" a="1"/>
  <c r="J2" i="8396" s="1"/>
  <c r="H61" i="8396"/>
  <c r="H60" i="8396"/>
  <c r="H59" i="8396"/>
  <c r="H58" i="8396"/>
  <c r="H57" i="8396"/>
  <c r="H56" i="8396"/>
  <c r="H55" i="8396"/>
  <c r="H54" i="8396"/>
  <c r="H53" i="8396"/>
  <c r="H52" i="8396"/>
  <c r="H51" i="8396"/>
  <c r="H50" i="8396"/>
  <c r="H49" i="8396"/>
  <c r="H48" i="8396"/>
  <c r="H47" i="8396"/>
  <c r="H46" i="8396"/>
  <c r="H45" i="8396"/>
  <c r="H44" i="8396"/>
  <c r="H43" i="8396"/>
  <c r="H42" i="8396"/>
  <c r="H41" i="8396"/>
  <c r="H40" i="8396"/>
  <c r="H39" i="8396"/>
  <c r="H38" i="8396"/>
  <c r="H37" i="8396"/>
  <c r="H36" i="8396"/>
  <c r="H35" i="8396"/>
  <c r="H34" i="8396"/>
  <c r="H33" i="8396"/>
  <c r="H32" i="8396"/>
  <c r="H31" i="8396"/>
  <c r="H30" i="8396"/>
  <c r="H29" i="8396"/>
  <c r="H28" i="8396"/>
  <c r="H27" i="8396"/>
  <c r="H26" i="8396"/>
  <c r="H25" i="8396"/>
  <c r="H24" i="8396"/>
  <c r="H23" i="8396"/>
  <c r="H22" i="8396"/>
  <c r="H21" i="8396"/>
  <c r="H20" i="8396"/>
  <c r="H19" i="8396"/>
  <c r="H18" i="8396"/>
  <c r="H17" i="8396"/>
  <c r="H16" i="8396"/>
  <c r="H15" i="8396"/>
  <c r="H14" i="8396"/>
  <c r="H13" i="8396"/>
  <c r="H12" i="8396"/>
  <c r="H11" i="8396"/>
  <c r="H10" i="8396"/>
  <c r="H9" i="8396"/>
  <c r="H8" i="8396"/>
  <c r="H7" i="8396"/>
  <c r="H6" i="8396"/>
  <c r="H5" i="8396"/>
  <c r="H4" i="8396"/>
  <c r="H3" i="8396"/>
  <c r="H2" i="8396"/>
  <c r="I1" i="8395"/>
  <c r="DY6" i="8395"/>
  <c r="DY5" i="8395"/>
  <c r="DY4" i="8395"/>
  <c r="DY3" i="8395"/>
  <c r="DY2" i="8395"/>
  <c r="DX6" i="8395"/>
  <c r="DX5" i="8395"/>
  <c r="DX4" i="8395"/>
  <c r="DX3" i="8395"/>
  <c r="DX2" i="8395"/>
  <c r="DP2" i="8395" a="1"/>
  <c r="DP2" i="8395" s="1"/>
  <c r="DO6" i="8395"/>
  <c r="DO5" i="8395"/>
  <c r="DO4" i="8395"/>
  <c r="DO3" i="8395"/>
  <c r="DO2" i="8395"/>
  <c r="DN6" i="8395"/>
  <c r="DN5" i="8395"/>
  <c r="DN4" i="8395"/>
  <c r="DN3" i="8395"/>
  <c r="DN2" i="8395"/>
  <c r="DF2" i="8395" a="1"/>
  <c r="DF2" i="8395" s="1"/>
  <c r="DE6" i="8395"/>
  <c r="DE5" i="8395"/>
  <c r="DE4" i="8395"/>
  <c r="DE3" i="8395"/>
  <c r="DE2" i="8395"/>
  <c r="DD6" i="8395"/>
  <c r="DD5" i="8395"/>
  <c r="DD4" i="8395"/>
  <c r="DD3" i="8395"/>
  <c r="DD2" i="8395"/>
  <c r="CV2" i="8395" a="1"/>
  <c r="CV2" i="8395" s="1"/>
  <c r="CU6" i="8395"/>
  <c r="CU5" i="8395"/>
  <c r="CU4" i="8395"/>
  <c r="CU3" i="8395"/>
  <c r="CU2" i="8395"/>
  <c r="CT6" i="8395"/>
  <c r="CT5" i="8395"/>
  <c r="CT4" i="8395"/>
  <c r="CT3" i="8395"/>
  <c r="CT2" i="8395"/>
  <c r="CL2" i="8395" a="1"/>
  <c r="CL2" i="8395" s="1"/>
  <c r="CK6" i="8395"/>
  <c r="CK5" i="8395"/>
  <c r="CK4" i="8395"/>
  <c r="CK3" i="8395"/>
  <c r="CK2" i="8395"/>
  <c r="CJ6" i="8395"/>
  <c r="CJ5" i="8395"/>
  <c r="CJ4" i="8395"/>
  <c r="CJ3" i="8395"/>
  <c r="CJ2" i="8395"/>
  <c r="CB2" i="8395" a="1"/>
  <c r="CB2" i="8395" s="1"/>
  <c r="CA6" i="8395"/>
  <c r="CA5" i="8395"/>
  <c r="CA4" i="8395"/>
  <c r="CA3" i="8395"/>
  <c r="CA2" i="8395"/>
  <c r="BZ6" i="8395"/>
  <c r="BZ5" i="8395"/>
  <c r="BZ4" i="8395"/>
  <c r="BZ3" i="8395"/>
  <c r="BZ2" i="8395"/>
  <c r="BR2" i="8395" a="1"/>
  <c r="BR2" i="8395" s="1"/>
  <c r="BQ6" i="8395"/>
  <c r="BQ5" i="8395"/>
  <c r="BQ4" i="8395"/>
  <c r="BQ3" i="8395"/>
  <c r="BQ2" i="8395"/>
  <c r="BP6" i="8395"/>
  <c r="BP5" i="8395"/>
  <c r="BP4" i="8395"/>
  <c r="BP3" i="8395"/>
  <c r="BP2" i="8395"/>
  <c r="BH2" i="8395" a="1"/>
  <c r="BH2" i="8395" s="1"/>
  <c r="BG6" i="8395"/>
  <c r="BG5" i="8395"/>
  <c r="BG4" i="8395"/>
  <c r="BG3" i="8395"/>
  <c r="BG2" i="8395"/>
  <c r="BF6" i="8395"/>
  <c r="BF5" i="8395"/>
  <c r="BF4" i="8395"/>
  <c r="BF3" i="8395"/>
  <c r="BF2" i="8395"/>
  <c r="AX2" i="8395" a="1"/>
  <c r="AX2" i="8395" s="1"/>
  <c r="AW6" i="8395"/>
  <c r="AW5" i="8395"/>
  <c r="AW4" i="8395"/>
  <c r="AW3" i="8395"/>
  <c r="AW2" i="8395"/>
  <c r="AV6" i="8395"/>
  <c r="AV5" i="8395"/>
  <c r="AV4" i="8395"/>
  <c r="AV3" i="8395"/>
  <c r="AV2" i="8395"/>
  <c r="AN2" i="8395" a="1"/>
  <c r="AN2" i="8395" s="1"/>
  <c r="AM6" i="8395"/>
  <c r="AM5" i="8395"/>
  <c r="AM4" i="8395"/>
  <c r="AM3" i="8395"/>
  <c r="AM2" i="8395"/>
  <c r="AL6" i="8395"/>
  <c r="AL5" i="8395"/>
  <c r="AL4" i="8395"/>
  <c r="AL3" i="8395"/>
  <c r="AL2" i="8395"/>
  <c r="AD2" i="8395" a="1"/>
  <c r="AD2" i="8395" s="1"/>
  <c r="AC6" i="8395"/>
  <c r="AC5" i="8395"/>
  <c r="AC4" i="8395"/>
  <c r="AC3" i="8395"/>
  <c r="AC2" i="8395"/>
  <c r="AB6" i="8395"/>
  <c r="AB5" i="8395"/>
  <c r="AB4" i="8395"/>
  <c r="AB3" i="8395"/>
  <c r="AB2" i="8395"/>
  <c r="T2" i="8395" a="1"/>
  <c r="T2" i="8395" s="1"/>
  <c r="S6" i="8395"/>
  <c r="S5" i="8395"/>
  <c r="S4" i="8395"/>
  <c r="S3" i="8395"/>
  <c r="S2" i="8395"/>
  <c r="R6" i="8395"/>
  <c r="R5" i="8395"/>
  <c r="R4" i="8395"/>
  <c r="R3" i="8395"/>
  <c r="R2" i="8395"/>
  <c r="J2" i="8395" a="1"/>
  <c r="J2" i="8395" s="1"/>
  <c r="H61" i="8395"/>
  <c r="H60" i="8395"/>
  <c r="H59" i="8395"/>
  <c r="H58" i="8395"/>
  <c r="H57" i="8395"/>
  <c r="H56" i="8395"/>
  <c r="H55" i="8395"/>
  <c r="H54" i="8395"/>
  <c r="H53" i="8395"/>
  <c r="H52" i="8395"/>
  <c r="H51" i="8395"/>
  <c r="H50" i="8395"/>
  <c r="H49" i="8395"/>
  <c r="H48" i="8395"/>
  <c r="H47" i="8395"/>
  <c r="H46" i="8395"/>
  <c r="H45" i="8395"/>
  <c r="H44" i="8395"/>
  <c r="H43" i="8395"/>
  <c r="H42" i="8395"/>
  <c r="H41" i="8395"/>
  <c r="H40" i="8395"/>
  <c r="H39" i="8395"/>
  <c r="H38" i="8395"/>
  <c r="H37" i="8395"/>
  <c r="H36" i="8395"/>
  <c r="H35" i="8395"/>
  <c r="H34" i="8395"/>
  <c r="H33" i="8395"/>
  <c r="H32" i="8395"/>
  <c r="H31" i="8395"/>
  <c r="H30" i="8395"/>
  <c r="H29" i="8395"/>
  <c r="H28" i="8395"/>
  <c r="H27" i="8395"/>
  <c r="H26" i="8395"/>
  <c r="H25" i="8395"/>
  <c r="H24" i="8395"/>
  <c r="H23" i="8395"/>
  <c r="H22" i="8395"/>
  <c r="H21" i="8395"/>
  <c r="H20" i="8395"/>
  <c r="H19" i="8395"/>
  <c r="H18" i="8395"/>
  <c r="H17" i="8395"/>
  <c r="H16" i="8395"/>
  <c r="H15" i="8395"/>
  <c r="H14" i="8395"/>
  <c r="H13" i="8395"/>
  <c r="H12" i="8395"/>
  <c r="H11" i="8395"/>
  <c r="H10" i="8395"/>
  <c r="H9" i="8395"/>
  <c r="H8" i="8395"/>
  <c r="H7" i="8395"/>
  <c r="H6" i="8395"/>
  <c r="H5" i="8395"/>
  <c r="H4" i="8395"/>
  <c r="H3" i="8395"/>
  <c r="H2" i="8395"/>
  <c r="I1" i="8394"/>
  <c r="DY6" i="8394"/>
  <c r="DY5" i="8394"/>
  <c r="DY4" i="8394"/>
  <c r="DY3" i="8394"/>
  <c r="DY2" i="8394"/>
  <c r="DX6" i="8394"/>
  <c r="DX5" i="8394"/>
  <c r="DX4" i="8394"/>
  <c r="DX3" i="8394"/>
  <c r="DX2" i="8394"/>
  <c r="DP2" i="8394" a="1"/>
  <c r="DP2" i="8394" s="1"/>
  <c r="DO6" i="8394"/>
  <c r="DO5" i="8394"/>
  <c r="DO4" i="8394"/>
  <c r="DO3" i="8394"/>
  <c r="DO2" i="8394"/>
  <c r="DN6" i="8394"/>
  <c r="DN5" i="8394"/>
  <c r="DN4" i="8394"/>
  <c r="DN3" i="8394"/>
  <c r="DN2" i="8394"/>
  <c r="DF2" i="8394" a="1"/>
  <c r="DF2" i="8394" s="1"/>
  <c r="DE6" i="8394"/>
  <c r="DE5" i="8394"/>
  <c r="DE4" i="8394"/>
  <c r="DE3" i="8394"/>
  <c r="DE2" i="8394"/>
  <c r="DD6" i="8394"/>
  <c r="DD5" i="8394"/>
  <c r="DD4" i="8394"/>
  <c r="DD3" i="8394"/>
  <c r="DD2" i="8394"/>
  <c r="CV2" i="8394" a="1"/>
  <c r="CV2" i="8394" s="1"/>
  <c r="CU6" i="8394"/>
  <c r="CU5" i="8394"/>
  <c r="CU4" i="8394"/>
  <c r="CU3" i="8394"/>
  <c r="CU2" i="8394"/>
  <c r="CT6" i="8394"/>
  <c r="CT5" i="8394"/>
  <c r="CT4" i="8394"/>
  <c r="CT3" i="8394"/>
  <c r="CT2" i="8394"/>
  <c r="CL2" i="8394" a="1"/>
  <c r="CL2" i="8394" s="1"/>
  <c r="CK6" i="8394"/>
  <c r="CK5" i="8394"/>
  <c r="CK4" i="8394"/>
  <c r="CK3" i="8394"/>
  <c r="CK2" i="8394"/>
  <c r="CJ6" i="8394"/>
  <c r="CJ5" i="8394"/>
  <c r="CJ4" i="8394"/>
  <c r="CJ3" i="8394"/>
  <c r="CJ2" i="8394"/>
  <c r="CB2" i="8394" a="1"/>
  <c r="CB2" i="8394" s="1"/>
  <c r="CA6" i="8394"/>
  <c r="CA5" i="8394"/>
  <c r="CA4" i="8394"/>
  <c r="CA3" i="8394"/>
  <c r="CA2" i="8394"/>
  <c r="BZ6" i="8394"/>
  <c r="BZ5" i="8394"/>
  <c r="BZ4" i="8394"/>
  <c r="BZ3" i="8394"/>
  <c r="BZ2" i="8394"/>
  <c r="BR2" i="8394" a="1"/>
  <c r="BR2" i="8394" s="1"/>
  <c r="BQ6" i="8394"/>
  <c r="BQ5" i="8394"/>
  <c r="BQ4" i="8394"/>
  <c r="BQ3" i="8394"/>
  <c r="BQ2" i="8394"/>
  <c r="BP6" i="8394"/>
  <c r="BP5" i="8394"/>
  <c r="BP4" i="8394"/>
  <c r="BP3" i="8394"/>
  <c r="BP2" i="8394"/>
  <c r="BH2" i="8394" a="1"/>
  <c r="BH2" i="8394" s="1"/>
  <c r="BG6" i="8394"/>
  <c r="BG5" i="8394"/>
  <c r="BG4" i="8394"/>
  <c r="BG3" i="8394"/>
  <c r="BG2" i="8394"/>
  <c r="BF6" i="8394"/>
  <c r="BF5" i="8394"/>
  <c r="BF4" i="8394"/>
  <c r="BF3" i="8394"/>
  <c r="BF2" i="8394"/>
  <c r="AX2" i="8394" a="1"/>
  <c r="AX2" i="8394" s="1"/>
  <c r="AW6" i="8394"/>
  <c r="AW5" i="8394"/>
  <c r="AW4" i="8394"/>
  <c r="AW3" i="8394"/>
  <c r="AW2" i="8394"/>
  <c r="AV6" i="8394"/>
  <c r="AV5" i="8394"/>
  <c r="AV4" i="8394"/>
  <c r="AV3" i="8394"/>
  <c r="AV2" i="8394"/>
  <c r="AN2" i="8394" a="1"/>
  <c r="AN2" i="8394" s="1"/>
  <c r="AM6" i="8394"/>
  <c r="AM5" i="8394"/>
  <c r="AM4" i="8394"/>
  <c r="AM3" i="8394"/>
  <c r="AM2" i="8394"/>
  <c r="AL6" i="8394"/>
  <c r="AL5" i="8394"/>
  <c r="AL4" i="8394"/>
  <c r="AL3" i="8394"/>
  <c r="AL2" i="8394"/>
  <c r="AD2" i="8394" a="1"/>
  <c r="AD2" i="8394" s="1"/>
  <c r="AC6" i="8394"/>
  <c r="AC5" i="8394"/>
  <c r="AC4" i="8394"/>
  <c r="AC3" i="8394"/>
  <c r="AC2" i="8394"/>
  <c r="AB6" i="8394"/>
  <c r="AB5" i="8394"/>
  <c r="AB4" i="8394"/>
  <c r="AB3" i="8394"/>
  <c r="AB2" i="8394"/>
  <c r="T2" i="8394" a="1"/>
  <c r="T2" i="8394" s="1"/>
  <c r="S6" i="8394"/>
  <c r="S5" i="8394"/>
  <c r="S4" i="8394"/>
  <c r="S3" i="8394"/>
  <c r="S2" i="8394"/>
  <c r="R6" i="8394"/>
  <c r="R5" i="8394"/>
  <c r="R4" i="8394"/>
  <c r="R3" i="8394"/>
  <c r="R2" i="8394"/>
  <c r="J2" i="8394" a="1"/>
  <c r="J2" i="8394" s="1"/>
  <c r="H61" i="8394"/>
  <c r="H60" i="8394"/>
  <c r="H59" i="8394"/>
  <c r="H58" i="8394"/>
  <c r="H57" i="8394"/>
  <c r="H56" i="8394"/>
  <c r="H55" i="8394"/>
  <c r="H54" i="8394"/>
  <c r="H53" i="8394"/>
  <c r="H52" i="8394"/>
  <c r="H51" i="8394"/>
  <c r="H50" i="8394"/>
  <c r="H49" i="8394"/>
  <c r="H48" i="8394"/>
  <c r="H47" i="8394"/>
  <c r="H46" i="8394"/>
  <c r="H45" i="8394"/>
  <c r="H44" i="8394"/>
  <c r="H43" i="8394"/>
  <c r="H42" i="8394"/>
  <c r="H41" i="8394"/>
  <c r="H40" i="8394"/>
  <c r="H39" i="8394"/>
  <c r="H38" i="8394"/>
  <c r="H37" i="8394"/>
  <c r="H36" i="8394"/>
  <c r="H35" i="8394"/>
  <c r="H34" i="8394"/>
  <c r="H33" i="8394"/>
  <c r="H32" i="8394"/>
  <c r="H31" i="8394"/>
  <c r="H30" i="8394"/>
  <c r="H29" i="8394"/>
  <c r="H28" i="8394"/>
  <c r="H27" i="8394"/>
  <c r="H26" i="8394"/>
  <c r="H25" i="8394"/>
  <c r="H24" i="8394"/>
  <c r="H23" i="8394"/>
  <c r="H22" i="8394"/>
  <c r="H21" i="8394"/>
  <c r="H20" i="8394"/>
  <c r="H19" i="8394"/>
  <c r="H18" i="8394"/>
  <c r="H17" i="8394"/>
  <c r="H16" i="8394"/>
  <c r="H15" i="8394"/>
  <c r="H14" i="8394"/>
  <c r="H13" i="8394"/>
  <c r="H12" i="8394"/>
  <c r="H11" i="8394"/>
  <c r="H10" i="8394"/>
  <c r="H9" i="8394"/>
  <c r="H8" i="8394"/>
  <c r="H7" i="8394"/>
  <c r="H6" i="8394"/>
  <c r="H5" i="8394"/>
  <c r="H4" i="8394"/>
  <c r="H3" i="8394"/>
  <c r="H2" i="8394"/>
  <c r="I1" i="8393"/>
  <c r="DY6" i="8393"/>
  <c r="DY5" i="8393"/>
  <c r="DY4" i="8393"/>
  <c r="DY3" i="8393"/>
  <c r="DY2" i="8393"/>
  <c r="DX6" i="8393"/>
  <c r="DX5" i="8393"/>
  <c r="DX4" i="8393"/>
  <c r="DX3" i="8393"/>
  <c r="DX2" i="8393"/>
  <c r="DP2" i="8393" a="1"/>
  <c r="DP2" i="8393" s="1"/>
  <c r="DO6" i="8393"/>
  <c r="DO5" i="8393"/>
  <c r="DO4" i="8393"/>
  <c r="DO3" i="8393"/>
  <c r="DO2" i="8393"/>
  <c r="DN6" i="8393"/>
  <c r="DN5" i="8393"/>
  <c r="DN4" i="8393"/>
  <c r="DN3" i="8393"/>
  <c r="DN2" i="8393"/>
  <c r="DF2" i="8393" a="1"/>
  <c r="DF2" i="8393" s="1"/>
  <c r="DE6" i="8393"/>
  <c r="DE5" i="8393"/>
  <c r="DE4" i="8393"/>
  <c r="DE3" i="8393"/>
  <c r="DE2" i="8393"/>
  <c r="DD6" i="8393"/>
  <c r="DD5" i="8393"/>
  <c r="DD4" i="8393"/>
  <c r="DD3" i="8393"/>
  <c r="DD2" i="8393"/>
  <c r="CV2" i="8393" a="1"/>
  <c r="CV2" i="8393" s="1"/>
  <c r="CU6" i="8393"/>
  <c r="CU5" i="8393"/>
  <c r="CU4" i="8393"/>
  <c r="CU3" i="8393"/>
  <c r="CU2" i="8393"/>
  <c r="CT6" i="8393"/>
  <c r="CT5" i="8393"/>
  <c r="CT4" i="8393"/>
  <c r="CT3" i="8393"/>
  <c r="CT2" i="8393"/>
  <c r="CL2" i="8393" a="1"/>
  <c r="CL2" i="8393" s="1"/>
  <c r="CK6" i="8393"/>
  <c r="CK5" i="8393"/>
  <c r="CK4" i="8393"/>
  <c r="CK3" i="8393"/>
  <c r="CK2" i="8393"/>
  <c r="CJ6" i="8393"/>
  <c r="CJ5" i="8393"/>
  <c r="CJ4" i="8393"/>
  <c r="CJ3" i="8393"/>
  <c r="CJ2" i="8393"/>
  <c r="CB2" i="8393" a="1"/>
  <c r="CB2" i="8393" s="1"/>
  <c r="CA6" i="8393"/>
  <c r="CA5" i="8393"/>
  <c r="CA4" i="8393"/>
  <c r="CA3" i="8393"/>
  <c r="CA2" i="8393"/>
  <c r="BZ6" i="8393"/>
  <c r="BZ5" i="8393"/>
  <c r="BZ4" i="8393"/>
  <c r="BZ3" i="8393"/>
  <c r="BZ2" i="8393"/>
  <c r="BR2" i="8393" a="1"/>
  <c r="BR2" i="8393" s="1"/>
  <c r="BQ6" i="8393"/>
  <c r="BQ5" i="8393"/>
  <c r="BQ4" i="8393"/>
  <c r="BQ3" i="8393"/>
  <c r="BQ2" i="8393"/>
  <c r="BP6" i="8393"/>
  <c r="BP5" i="8393"/>
  <c r="BP4" i="8393"/>
  <c r="BP3" i="8393"/>
  <c r="BP2" i="8393"/>
  <c r="BH2" i="8393" a="1"/>
  <c r="BH2" i="8393" s="1"/>
  <c r="BG6" i="8393"/>
  <c r="BG5" i="8393"/>
  <c r="BG4" i="8393"/>
  <c r="BG3" i="8393"/>
  <c r="BG2" i="8393"/>
  <c r="BF6" i="8393"/>
  <c r="BF5" i="8393"/>
  <c r="BF4" i="8393"/>
  <c r="BF3" i="8393"/>
  <c r="BF2" i="8393"/>
  <c r="AX2" i="8393" a="1"/>
  <c r="AX2" i="8393" s="1"/>
  <c r="AW6" i="8393"/>
  <c r="AW5" i="8393"/>
  <c r="AW4" i="8393"/>
  <c r="AW3" i="8393"/>
  <c r="AW2" i="8393"/>
  <c r="AV6" i="8393"/>
  <c r="AV5" i="8393"/>
  <c r="AV4" i="8393"/>
  <c r="AV3" i="8393"/>
  <c r="AV2" i="8393"/>
  <c r="AN2" i="8393" a="1"/>
  <c r="AN2" i="8393" s="1"/>
  <c r="AM6" i="8393"/>
  <c r="AM5" i="8393"/>
  <c r="AM4" i="8393"/>
  <c r="AM3" i="8393"/>
  <c r="AM2" i="8393"/>
  <c r="AL6" i="8393"/>
  <c r="AL5" i="8393"/>
  <c r="AL4" i="8393"/>
  <c r="AL3" i="8393"/>
  <c r="AL2" i="8393"/>
  <c r="AD2" i="8393" a="1"/>
  <c r="AD2" i="8393" s="1"/>
  <c r="AC6" i="8393"/>
  <c r="AC5" i="8393"/>
  <c r="AC4" i="8393"/>
  <c r="AC3" i="8393"/>
  <c r="AC2" i="8393"/>
  <c r="AB6" i="8393"/>
  <c r="AB5" i="8393"/>
  <c r="AB4" i="8393"/>
  <c r="AB3" i="8393"/>
  <c r="AB2" i="8393"/>
  <c r="T2" i="8393" a="1"/>
  <c r="T2" i="8393" s="1"/>
  <c r="S6" i="8393"/>
  <c r="S5" i="8393"/>
  <c r="S4" i="8393"/>
  <c r="S3" i="8393"/>
  <c r="S2" i="8393"/>
  <c r="R6" i="8393"/>
  <c r="R5" i="8393"/>
  <c r="R4" i="8393"/>
  <c r="R3" i="8393"/>
  <c r="R2" i="8393"/>
  <c r="J2" i="8393" a="1"/>
  <c r="J2" i="8393" s="1"/>
  <c r="H61" i="8393"/>
  <c r="H60" i="8393"/>
  <c r="H59" i="8393"/>
  <c r="H58" i="8393"/>
  <c r="H57" i="8393"/>
  <c r="H56" i="8393"/>
  <c r="H55" i="8393"/>
  <c r="H54" i="8393"/>
  <c r="H53" i="8393"/>
  <c r="H52" i="8393"/>
  <c r="H51" i="8393"/>
  <c r="H50" i="8393"/>
  <c r="H49" i="8393"/>
  <c r="H48" i="8393"/>
  <c r="H47" i="8393"/>
  <c r="H46" i="8393"/>
  <c r="H45" i="8393"/>
  <c r="H44" i="8393"/>
  <c r="H43" i="8393"/>
  <c r="H42" i="8393"/>
  <c r="H41" i="8393"/>
  <c r="H40" i="8393"/>
  <c r="H39" i="8393"/>
  <c r="H38" i="8393"/>
  <c r="H37" i="8393"/>
  <c r="H36" i="8393"/>
  <c r="H35" i="8393"/>
  <c r="H34" i="8393"/>
  <c r="H33" i="8393"/>
  <c r="H32" i="8393"/>
  <c r="H31" i="8393"/>
  <c r="H30" i="8393"/>
  <c r="H29" i="8393"/>
  <c r="H28" i="8393"/>
  <c r="H27" i="8393"/>
  <c r="H26" i="8393"/>
  <c r="H25" i="8393"/>
  <c r="H24" i="8393"/>
  <c r="H23" i="8393"/>
  <c r="H22" i="8393"/>
  <c r="H21" i="8393"/>
  <c r="H20" i="8393"/>
  <c r="H19" i="8393"/>
  <c r="H18" i="8393"/>
  <c r="H17" i="8393"/>
  <c r="H16" i="8393"/>
  <c r="H15" i="8393"/>
  <c r="H14" i="8393"/>
  <c r="H13" i="8393"/>
  <c r="H12" i="8393"/>
  <c r="H11" i="8393"/>
  <c r="H10" i="8393"/>
  <c r="H9" i="8393"/>
  <c r="H8" i="8393"/>
  <c r="H7" i="8393"/>
  <c r="H6" i="8393"/>
  <c r="H5" i="8393"/>
  <c r="H4" i="8393"/>
  <c r="H3" i="8393"/>
  <c r="H2" i="8393"/>
  <c r="I1" i="8392"/>
  <c r="I1" i="8391"/>
  <c r="DY6" i="8391"/>
  <c r="DY5" i="8391"/>
  <c r="DY4" i="8391"/>
  <c r="DY3" i="8391"/>
  <c r="DY2" i="8391"/>
  <c r="DX6" i="8391"/>
  <c r="DX5" i="8391"/>
  <c r="DX4" i="8391"/>
  <c r="DX3" i="8391"/>
  <c r="DX2" i="8391"/>
  <c r="DP2" i="8391" a="1"/>
  <c r="DP2" i="8391" s="1"/>
  <c r="DO6" i="8391"/>
  <c r="DO5" i="8391"/>
  <c r="DO4" i="8391"/>
  <c r="DO3" i="8391"/>
  <c r="DO2" i="8391"/>
  <c r="DN6" i="8391"/>
  <c r="DN5" i="8391"/>
  <c r="DN4" i="8391"/>
  <c r="DN3" i="8391"/>
  <c r="DN2" i="8391"/>
  <c r="DF2" i="8391" a="1"/>
  <c r="DF2" i="8391" s="1"/>
  <c r="DE6" i="8391"/>
  <c r="DE5" i="8391"/>
  <c r="DE4" i="8391"/>
  <c r="DE3" i="8391"/>
  <c r="DE2" i="8391"/>
  <c r="DD6" i="8391"/>
  <c r="DD5" i="8391"/>
  <c r="DD4" i="8391"/>
  <c r="DD3" i="8391"/>
  <c r="DD2" i="8391"/>
  <c r="CV2" i="8391" a="1"/>
  <c r="CV2" i="8391" s="1"/>
  <c r="CU6" i="8391"/>
  <c r="CU5" i="8391"/>
  <c r="CU4" i="8391"/>
  <c r="CU3" i="8391"/>
  <c r="CU2" i="8391"/>
  <c r="CT6" i="8391"/>
  <c r="CT5" i="8391"/>
  <c r="CT4" i="8391"/>
  <c r="CT3" i="8391"/>
  <c r="CT2" i="8391"/>
  <c r="CL2" i="8391" a="1"/>
  <c r="CL2" i="8391" s="1"/>
  <c r="CK6" i="8391"/>
  <c r="CK5" i="8391"/>
  <c r="CK4" i="8391"/>
  <c r="CK3" i="8391"/>
  <c r="CK2" i="8391"/>
  <c r="CJ6" i="8391"/>
  <c r="CJ5" i="8391"/>
  <c r="CJ4" i="8391"/>
  <c r="CJ3" i="8391"/>
  <c r="CJ2" i="8391"/>
  <c r="CB2" i="8391" a="1"/>
  <c r="CB2" i="8391" s="1"/>
  <c r="CA6" i="8391"/>
  <c r="CA5" i="8391"/>
  <c r="CA4" i="8391"/>
  <c r="CA3" i="8391"/>
  <c r="CA2" i="8391"/>
  <c r="BZ6" i="8391"/>
  <c r="BZ5" i="8391"/>
  <c r="BZ4" i="8391"/>
  <c r="BZ3" i="8391"/>
  <c r="BZ2" i="8391"/>
  <c r="BR2" i="8391" a="1"/>
  <c r="BR2" i="8391" s="1"/>
  <c r="BQ6" i="8391"/>
  <c r="BQ5" i="8391"/>
  <c r="BQ4" i="8391"/>
  <c r="BQ3" i="8391"/>
  <c r="BQ2" i="8391"/>
  <c r="BP6" i="8391"/>
  <c r="BP5" i="8391"/>
  <c r="BP4" i="8391"/>
  <c r="BP3" i="8391"/>
  <c r="BP2" i="8391"/>
  <c r="BH2" i="8391" a="1"/>
  <c r="BH2" i="8391" s="1"/>
  <c r="BG6" i="8391"/>
  <c r="BG5" i="8391"/>
  <c r="BG4" i="8391"/>
  <c r="BG3" i="8391"/>
  <c r="BG2" i="8391"/>
  <c r="BF6" i="8391"/>
  <c r="BF5" i="8391"/>
  <c r="BF4" i="8391"/>
  <c r="BF3" i="8391"/>
  <c r="BF2" i="8391"/>
  <c r="AX2" i="8391" a="1"/>
  <c r="AX2" i="8391" s="1"/>
  <c r="AW6" i="8391"/>
  <c r="AW5" i="8391"/>
  <c r="AW4" i="8391"/>
  <c r="AW3" i="8391"/>
  <c r="AW2" i="8391"/>
  <c r="AV6" i="8391"/>
  <c r="AV5" i="8391"/>
  <c r="AV4" i="8391"/>
  <c r="AV3" i="8391"/>
  <c r="AV2" i="8391"/>
  <c r="AN2" i="8391" a="1"/>
  <c r="AN2" i="8391" s="1"/>
  <c r="AM6" i="8391"/>
  <c r="AM5" i="8391"/>
  <c r="AM4" i="8391"/>
  <c r="AM3" i="8391"/>
  <c r="AM2" i="8391"/>
  <c r="AL6" i="8391"/>
  <c r="AL5" i="8391"/>
  <c r="AL4" i="8391"/>
  <c r="AL3" i="8391"/>
  <c r="AL2" i="8391"/>
  <c r="AD2" i="8391" a="1"/>
  <c r="AD2" i="8391" s="1"/>
  <c r="AC6" i="8391"/>
  <c r="AC5" i="8391"/>
  <c r="AC4" i="8391"/>
  <c r="AC3" i="8391"/>
  <c r="AC2" i="8391"/>
  <c r="AB6" i="8391"/>
  <c r="AB5" i="8391"/>
  <c r="AB4" i="8391"/>
  <c r="AB3" i="8391"/>
  <c r="AB2" i="8391"/>
  <c r="T2" i="8391" a="1"/>
  <c r="T2" i="8391" s="1"/>
  <c r="S6" i="8391"/>
  <c r="S5" i="8391"/>
  <c r="S4" i="8391"/>
  <c r="S3" i="8391"/>
  <c r="S2" i="8391"/>
  <c r="R6" i="8391"/>
  <c r="R5" i="8391"/>
  <c r="R4" i="8391"/>
  <c r="R3" i="8391"/>
  <c r="R2" i="8391"/>
  <c r="J2" i="8391" a="1"/>
  <c r="J2" i="8391" s="1"/>
  <c r="H61" i="8391"/>
  <c r="H60" i="8391"/>
  <c r="H59" i="8391"/>
  <c r="H58" i="8391"/>
  <c r="H57" i="8391"/>
  <c r="H56" i="8391"/>
  <c r="H55" i="8391"/>
  <c r="H54" i="8391"/>
  <c r="H53" i="8391"/>
  <c r="H52" i="8391"/>
  <c r="H51" i="8391"/>
  <c r="H50" i="8391"/>
  <c r="H49" i="8391"/>
  <c r="H48" i="8391"/>
  <c r="H47" i="8391"/>
  <c r="H46" i="8391"/>
  <c r="H45" i="8391"/>
  <c r="H44" i="8391"/>
  <c r="H43" i="8391"/>
  <c r="H42" i="8391"/>
  <c r="H41" i="8391"/>
  <c r="H40" i="8391"/>
  <c r="H39" i="8391"/>
  <c r="H38" i="8391"/>
  <c r="H37" i="8391"/>
  <c r="H36" i="8391"/>
  <c r="H35" i="8391"/>
  <c r="H34" i="8391"/>
  <c r="H33" i="8391"/>
  <c r="H32" i="8391"/>
  <c r="H31" i="8391"/>
  <c r="H30" i="8391"/>
  <c r="H29" i="8391"/>
  <c r="H28" i="8391"/>
  <c r="H27" i="8391"/>
  <c r="H26" i="8391"/>
  <c r="H25" i="8391"/>
  <c r="H24" i="8391"/>
  <c r="H23" i="8391"/>
  <c r="H22" i="8391"/>
  <c r="H21" i="8391"/>
  <c r="H20" i="8391"/>
  <c r="H19" i="8391"/>
  <c r="H18" i="8391"/>
  <c r="H17" i="8391"/>
  <c r="H16" i="8391"/>
  <c r="H15" i="8391"/>
  <c r="H14" i="8391"/>
  <c r="H13" i="8391"/>
  <c r="H12" i="8391"/>
  <c r="H11" i="8391"/>
  <c r="H10" i="8391"/>
  <c r="H9" i="8391"/>
  <c r="H8" i="8391"/>
  <c r="H7" i="8391"/>
  <c r="H6" i="8391"/>
  <c r="H5" i="8391"/>
  <c r="H4" i="8391"/>
  <c r="H3" i="8391"/>
  <c r="H2" i="8391"/>
  <c r="I1" i="8390"/>
  <c r="DY6" i="8390"/>
  <c r="DY5" i="8390"/>
  <c r="DY4" i="8390"/>
  <c r="DY3" i="8390"/>
  <c r="DY2" i="8390"/>
  <c r="DX6" i="8390"/>
  <c r="DX5" i="8390"/>
  <c r="DX4" i="8390"/>
  <c r="DX3" i="8390"/>
  <c r="DX2" i="8390"/>
  <c r="DP2" i="8390" a="1"/>
  <c r="DP2" i="8390" s="1"/>
  <c r="DO6" i="8390"/>
  <c r="DO5" i="8390"/>
  <c r="DO4" i="8390"/>
  <c r="DO3" i="8390"/>
  <c r="DO2" i="8390"/>
  <c r="DN6" i="8390"/>
  <c r="DN5" i="8390"/>
  <c r="DN4" i="8390"/>
  <c r="DN3" i="8390"/>
  <c r="DN2" i="8390"/>
  <c r="DF2" i="8390" a="1"/>
  <c r="DF2" i="8390" s="1"/>
  <c r="DE6" i="8390"/>
  <c r="DE5" i="8390"/>
  <c r="DE4" i="8390"/>
  <c r="DE3" i="8390"/>
  <c r="DE2" i="8390"/>
  <c r="DD6" i="8390"/>
  <c r="DD5" i="8390"/>
  <c r="DD4" i="8390"/>
  <c r="DD3" i="8390"/>
  <c r="DD2" i="8390"/>
  <c r="CV2" i="8390" a="1"/>
  <c r="CV2" i="8390" s="1"/>
  <c r="CU6" i="8390"/>
  <c r="CU5" i="8390"/>
  <c r="CU4" i="8390"/>
  <c r="CU3" i="8390"/>
  <c r="CU2" i="8390"/>
  <c r="CT6" i="8390"/>
  <c r="CT5" i="8390"/>
  <c r="CT4" i="8390"/>
  <c r="CT3" i="8390"/>
  <c r="CT2" i="8390"/>
  <c r="CL2" i="8390" a="1"/>
  <c r="CL2" i="8390" s="1"/>
  <c r="CK6" i="8390"/>
  <c r="CK5" i="8390"/>
  <c r="CK4" i="8390"/>
  <c r="CK3" i="8390"/>
  <c r="CK2" i="8390"/>
  <c r="CJ6" i="8390"/>
  <c r="CJ5" i="8390"/>
  <c r="CJ4" i="8390"/>
  <c r="CJ3" i="8390"/>
  <c r="CJ2" i="8390"/>
  <c r="CB2" i="8390" a="1"/>
  <c r="CB2" i="8390" s="1"/>
  <c r="CA6" i="8390"/>
  <c r="CA5" i="8390"/>
  <c r="CA4" i="8390"/>
  <c r="CA3" i="8390"/>
  <c r="CA2" i="8390"/>
  <c r="BZ6" i="8390"/>
  <c r="BZ5" i="8390"/>
  <c r="BZ4" i="8390"/>
  <c r="BZ3" i="8390"/>
  <c r="BZ2" i="8390"/>
  <c r="BR2" i="8390" a="1"/>
  <c r="BR2" i="8390" s="1"/>
  <c r="BQ6" i="8390"/>
  <c r="BQ5" i="8390"/>
  <c r="BQ4" i="8390"/>
  <c r="BQ3" i="8390"/>
  <c r="BQ2" i="8390"/>
  <c r="BP6" i="8390"/>
  <c r="BP5" i="8390"/>
  <c r="BP4" i="8390"/>
  <c r="BP3" i="8390"/>
  <c r="BP2" i="8390"/>
  <c r="BH2" i="8390" a="1"/>
  <c r="BH2" i="8390" s="1"/>
  <c r="BG6" i="8390"/>
  <c r="BG5" i="8390"/>
  <c r="BG4" i="8390"/>
  <c r="BG3" i="8390"/>
  <c r="BG2" i="8390"/>
  <c r="BF6" i="8390"/>
  <c r="BF5" i="8390"/>
  <c r="BF4" i="8390"/>
  <c r="BF3" i="8390"/>
  <c r="BF2" i="8390"/>
  <c r="AX2" i="8390" a="1"/>
  <c r="AX2" i="8390" s="1"/>
  <c r="AW6" i="8390"/>
  <c r="AW5" i="8390"/>
  <c r="AW4" i="8390"/>
  <c r="AW3" i="8390"/>
  <c r="AW2" i="8390"/>
  <c r="AV6" i="8390"/>
  <c r="AV5" i="8390"/>
  <c r="AV4" i="8390"/>
  <c r="AV3" i="8390"/>
  <c r="AV2" i="8390"/>
  <c r="AN2" i="8390" a="1"/>
  <c r="AN2" i="8390" s="1"/>
  <c r="AM6" i="8390"/>
  <c r="AM5" i="8390"/>
  <c r="AM4" i="8390"/>
  <c r="AM3" i="8390"/>
  <c r="AM2" i="8390"/>
  <c r="AL6" i="8390"/>
  <c r="AL5" i="8390"/>
  <c r="AL4" i="8390"/>
  <c r="AL3" i="8390"/>
  <c r="AL2" i="8390"/>
  <c r="AD2" i="8390" a="1"/>
  <c r="AD2" i="8390" s="1"/>
  <c r="AC6" i="8390"/>
  <c r="AC5" i="8390"/>
  <c r="AC4" i="8390"/>
  <c r="AC3" i="8390"/>
  <c r="AC2" i="8390"/>
  <c r="AB6" i="8390"/>
  <c r="AB5" i="8390"/>
  <c r="AB4" i="8390"/>
  <c r="AB3" i="8390"/>
  <c r="AB2" i="8390"/>
  <c r="T2" i="8390" a="1"/>
  <c r="T2" i="8390" s="1"/>
  <c r="S6" i="8390"/>
  <c r="S5" i="8390"/>
  <c r="S4" i="8390"/>
  <c r="S3" i="8390"/>
  <c r="S2" i="8390"/>
  <c r="R6" i="8390"/>
  <c r="R5" i="8390"/>
  <c r="R4" i="8390"/>
  <c r="R3" i="8390"/>
  <c r="R2" i="8390"/>
  <c r="J2" i="8390" a="1"/>
  <c r="J2" i="8390" s="1"/>
  <c r="H61" i="8390"/>
  <c r="H60" i="8390"/>
  <c r="H59" i="8390"/>
  <c r="H58" i="8390"/>
  <c r="H57" i="8390"/>
  <c r="H56" i="8390"/>
  <c r="H55" i="8390"/>
  <c r="H54" i="8390"/>
  <c r="H53" i="8390"/>
  <c r="H52" i="8390"/>
  <c r="H51" i="8390"/>
  <c r="H50" i="8390"/>
  <c r="H49" i="8390"/>
  <c r="H48" i="8390"/>
  <c r="H47" i="8390"/>
  <c r="H46" i="8390"/>
  <c r="H45" i="8390"/>
  <c r="H44" i="8390"/>
  <c r="H43" i="8390"/>
  <c r="H42" i="8390"/>
  <c r="H41" i="8390"/>
  <c r="H40" i="8390"/>
  <c r="H39" i="8390"/>
  <c r="H38" i="8390"/>
  <c r="H37" i="8390"/>
  <c r="H36" i="8390"/>
  <c r="H35" i="8390"/>
  <c r="H34" i="8390"/>
  <c r="H33" i="8390"/>
  <c r="H32" i="8390"/>
  <c r="H31" i="8390"/>
  <c r="H30" i="8390"/>
  <c r="H29" i="8390"/>
  <c r="H28" i="8390"/>
  <c r="H27" i="8390"/>
  <c r="H26" i="8390"/>
  <c r="H25" i="8390"/>
  <c r="H24" i="8390"/>
  <c r="H23" i="8390"/>
  <c r="H22" i="8390"/>
  <c r="H21" i="8390"/>
  <c r="H20" i="8390"/>
  <c r="H19" i="8390"/>
  <c r="H18" i="8390"/>
  <c r="H17" i="8390"/>
  <c r="H16" i="8390"/>
  <c r="H15" i="8390"/>
  <c r="H14" i="8390"/>
  <c r="H13" i="8390"/>
  <c r="H12" i="8390"/>
  <c r="H11" i="8390"/>
  <c r="H10" i="8390"/>
  <c r="H9" i="8390"/>
  <c r="H8" i="8390"/>
  <c r="H7" i="8390"/>
  <c r="H6" i="8390"/>
  <c r="H5" i="8390"/>
  <c r="H4" i="8390"/>
  <c r="H3" i="8390"/>
  <c r="H2" i="8390"/>
  <c r="I1" i="8389"/>
  <c r="DY6" i="8389"/>
  <c r="DY5" i="8389"/>
  <c r="DY4" i="8389"/>
  <c r="DY3" i="8389"/>
  <c r="DY2" i="8389"/>
  <c r="DX6" i="8389"/>
  <c r="DX5" i="8389"/>
  <c r="DX4" i="8389"/>
  <c r="DX3" i="8389"/>
  <c r="DX2" i="8389"/>
  <c r="DP2" i="8389" a="1"/>
  <c r="DP2" i="8389" s="1"/>
  <c r="DO6" i="8389"/>
  <c r="DO5" i="8389"/>
  <c r="DO4" i="8389"/>
  <c r="DO3" i="8389"/>
  <c r="DO2" i="8389"/>
  <c r="DN6" i="8389"/>
  <c r="DN5" i="8389"/>
  <c r="DN4" i="8389"/>
  <c r="DN3" i="8389"/>
  <c r="DN2" i="8389"/>
  <c r="DF2" i="8389" a="1"/>
  <c r="DF2" i="8389" s="1"/>
  <c r="DE6" i="8389"/>
  <c r="DE5" i="8389"/>
  <c r="DE4" i="8389"/>
  <c r="DE3" i="8389"/>
  <c r="DE2" i="8389"/>
  <c r="DD6" i="8389"/>
  <c r="DD5" i="8389"/>
  <c r="DD4" i="8389"/>
  <c r="DD3" i="8389"/>
  <c r="DD2" i="8389"/>
  <c r="CV2" i="8389" a="1"/>
  <c r="CV2" i="8389" s="1"/>
  <c r="CU6" i="8389"/>
  <c r="CU5" i="8389"/>
  <c r="CU4" i="8389"/>
  <c r="CU3" i="8389"/>
  <c r="CU2" i="8389"/>
  <c r="CT6" i="8389"/>
  <c r="CT5" i="8389"/>
  <c r="CT4" i="8389"/>
  <c r="CT3" i="8389"/>
  <c r="CT2" i="8389"/>
  <c r="CL2" i="8389" a="1"/>
  <c r="CL2" i="8389" s="1"/>
  <c r="CK6" i="8389"/>
  <c r="CK5" i="8389"/>
  <c r="CK4" i="8389"/>
  <c r="CK3" i="8389"/>
  <c r="CK2" i="8389"/>
  <c r="CJ6" i="8389"/>
  <c r="CJ5" i="8389"/>
  <c r="CJ4" i="8389"/>
  <c r="CJ3" i="8389"/>
  <c r="CJ2" i="8389"/>
  <c r="CB2" i="8389" a="1"/>
  <c r="CB2" i="8389" s="1"/>
  <c r="CA6" i="8389"/>
  <c r="CA5" i="8389"/>
  <c r="CA4" i="8389"/>
  <c r="CA3" i="8389"/>
  <c r="CA2" i="8389"/>
  <c r="BZ6" i="8389"/>
  <c r="BZ5" i="8389"/>
  <c r="BZ4" i="8389"/>
  <c r="BZ3" i="8389"/>
  <c r="BZ2" i="8389"/>
  <c r="BR2" i="8389" a="1"/>
  <c r="BR2" i="8389" s="1"/>
  <c r="BQ6" i="8389"/>
  <c r="BQ5" i="8389"/>
  <c r="BQ4" i="8389"/>
  <c r="BQ3" i="8389"/>
  <c r="BQ2" i="8389"/>
  <c r="BP6" i="8389"/>
  <c r="BP5" i="8389"/>
  <c r="BP4" i="8389"/>
  <c r="BP3" i="8389"/>
  <c r="BP2" i="8389"/>
  <c r="BH2" i="8389" a="1"/>
  <c r="BH2" i="8389" s="1"/>
  <c r="BG6" i="8389"/>
  <c r="BG5" i="8389"/>
  <c r="BG4" i="8389"/>
  <c r="BG3" i="8389"/>
  <c r="BG2" i="8389"/>
  <c r="BF6" i="8389"/>
  <c r="BF5" i="8389"/>
  <c r="BF4" i="8389"/>
  <c r="BF3" i="8389"/>
  <c r="BF2" i="8389"/>
  <c r="AX2" i="8389" a="1"/>
  <c r="AX2" i="8389" s="1"/>
  <c r="AW6" i="8389"/>
  <c r="AW5" i="8389"/>
  <c r="AW4" i="8389"/>
  <c r="AW3" i="8389"/>
  <c r="AW2" i="8389"/>
  <c r="AV6" i="8389"/>
  <c r="AV5" i="8389"/>
  <c r="AV4" i="8389"/>
  <c r="AV3" i="8389"/>
  <c r="AV2" i="8389"/>
  <c r="AN2" i="8389" a="1"/>
  <c r="AN2" i="8389" s="1"/>
  <c r="AM6" i="8389"/>
  <c r="AM5" i="8389"/>
  <c r="AM4" i="8389"/>
  <c r="AM3" i="8389"/>
  <c r="AM2" i="8389"/>
  <c r="AL6" i="8389"/>
  <c r="AL5" i="8389"/>
  <c r="AL4" i="8389"/>
  <c r="AL3" i="8389"/>
  <c r="AL2" i="8389"/>
  <c r="AD2" i="8389" a="1"/>
  <c r="AD2" i="8389" s="1"/>
  <c r="AC6" i="8389"/>
  <c r="AC5" i="8389"/>
  <c r="AC4" i="8389"/>
  <c r="AC3" i="8389"/>
  <c r="AC2" i="8389"/>
  <c r="AB6" i="8389"/>
  <c r="AB5" i="8389"/>
  <c r="AB4" i="8389"/>
  <c r="AB3" i="8389"/>
  <c r="AB2" i="8389"/>
  <c r="T2" i="8389" a="1"/>
  <c r="T2" i="8389" s="1"/>
  <c r="S6" i="8389"/>
  <c r="S5" i="8389"/>
  <c r="S4" i="8389"/>
  <c r="S3" i="8389"/>
  <c r="S2" i="8389"/>
  <c r="R6" i="8389"/>
  <c r="R5" i="8389"/>
  <c r="R4" i="8389"/>
  <c r="R3" i="8389"/>
  <c r="R2" i="8389"/>
  <c r="J2" i="8389" a="1"/>
  <c r="J2" i="8389" s="1"/>
  <c r="H61" i="8389"/>
  <c r="H60" i="8389"/>
  <c r="H59" i="8389"/>
  <c r="H58" i="8389"/>
  <c r="H57" i="8389"/>
  <c r="H56" i="8389"/>
  <c r="H55" i="8389"/>
  <c r="H54" i="8389"/>
  <c r="H53" i="8389"/>
  <c r="H52" i="8389"/>
  <c r="H51" i="8389"/>
  <c r="H50" i="8389"/>
  <c r="H49" i="8389"/>
  <c r="H48" i="8389"/>
  <c r="H47" i="8389"/>
  <c r="H46" i="8389"/>
  <c r="H45" i="8389"/>
  <c r="H44" i="8389"/>
  <c r="H43" i="8389"/>
  <c r="H42" i="8389"/>
  <c r="H41" i="8389"/>
  <c r="H40" i="8389"/>
  <c r="H39" i="8389"/>
  <c r="H38" i="8389"/>
  <c r="H37" i="8389"/>
  <c r="H36" i="8389"/>
  <c r="H35" i="8389"/>
  <c r="H34" i="8389"/>
  <c r="H33" i="8389"/>
  <c r="H32" i="8389"/>
  <c r="H31" i="8389"/>
  <c r="H30" i="8389"/>
  <c r="H29" i="8389"/>
  <c r="H28" i="8389"/>
  <c r="H27" i="8389"/>
  <c r="H26" i="8389"/>
  <c r="H25" i="8389"/>
  <c r="H24" i="8389"/>
  <c r="H23" i="8389"/>
  <c r="H22" i="8389"/>
  <c r="H21" i="8389"/>
  <c r="H20" i="8389"/>
  <c r="H19" i="8389"/>
  <c r="H18" i="8389"/>
  <c r="H17" i="8389"/>
  <c r="H16" i="8389"/>
  <c r="H15" i="8389"/>
  <c r="H14" i="8389"/>
  <c r="H13" i="8389"/>
  <c r="H12" i="8389"/>
  <c r="H11" i="8389"/>
  <c r="H10" i="8389"/>
  <c r="H9" i="8389"/>
  <c r="H8" i="8389"/>
  <c r="H7" i="8389"/>
  <c r="H6" i="8389"/>
  <c r="H5" i="8389"/>
  <c r="H4" i="8389"/>
  <c r="H3" i="8389"/>
  <c r="H2" i="8389"/>
  <c r="I1" i="8388"/>
  <c r="DY6" i="8388"/>
  <c r="DY5" i="8388"/>
  <c r="DY4" i="8388"/>
  <c r="DY3" i="8388"/>
  <c r="DY2" i="8388"/>
  <c r="DX6" i="8388"/>
  <c r="DX5" i="8388"/>
  <c r="DX4" i="8388"/>
  <c r="DX3" i="8388"/>
  <c r="DX2" i="8388"/>
  <c r="DP2" i="8388" a="1"/>
  <c r="DP2" i="8388" s="1"/>
  <c r="DO6" i="8388"/>
  <c r="DO5" i="8388"/>
  <c r="DO4" i="8388"/>
  <c r="DO3" i="8388"/>
  <c r="DO2" i="8388"/>
  <c r="DN6" i="8388"/>
  <c r="DN5" i="8388"/>
  <c r="DN4" i="8388"/>
  <c r="DN3" i="8388"/>
  <c r="DN2" i="8388"/>
  <c r="DF2" i="8388" a="1"/>
  <c r="DF2" i="8388" s="1"/>
  <c r="DE6" i="8388"/>
  <c r="DE5" i="8388"/>
  <c r="DE4" i="8388"/>
  <c r="DE3" i="8388"/>
  <c r="DE2" i="8388"/>
  <c r="DD6" i="8388"/>
  <c r="DD5" i="8388"/>
  <c r="DD4" i="8388"/>
  <c r="DD3" i="8388"/>
  <c r="DD2" i="8388"/>
  <c r="CV2" i="8388" a="1"/>
  <c r="CV2" i="8388" s="1"/>
  <c r="CU6" i="8388"/>
  <c r="CU5" i="8388"/>
  <c r="CU4" i="8388"/>
  <c r="CU3" i="8388"/>
  <c r="CU2" i="8388"/>
  <c r="CT6" i="8388"/>
  <c r="CT5" i="8388"/>
  <c r="CT4" i="8388"/>
  <c r="CT3" i="8388"/>
  <c r="CT2" i="8388"/>
  <c r="CL2" i="8388" a="1"/>
  <c r="CL2" i="8388" s="1"/>
  <c r="CK6" i="8388"/>
  <c r="CK5" i="8388"/>
  <c r="CK4" i="8388"/>
  <c r="CK3" i="8388"/>
  <c r="CK2" i="8388"/>
  <c r="CJ6" i="8388"/>
  <c r="CJ5" i="8388"/>
  <c r="CJ4" i="8388"/>
  <c r="CJ3" i="8388"/>
  <c r="CJ2" i="8388"/>
  <c r="CB2" i="8388" a="1"/>
  <c r="CB2" i="8388" s="1"/>
  <c r="CA6" i="8388"/>
  <c r="CA5" i="8388"/>
  <c r="CA4" i="8388"/>
  <c r="CA3" i="8388"/>
  <c r="CA2" i="8388"/>
  <c r="BZ6" i="8388"/>
  <c r="BZ5" i="8388"/>
  <c r="BZ4" i="8388"/>
  <c r="BZ3" i="8388"/>
  <c r="BZ2" i="8388"/>
  <c r="BR2" i="8388" a="1"/>
  <c r="BR2" i="8388" s="1"/>
  <c r="BQ6" i="8388"/>
  <c r="BQ5" i="8388"/>
  <c r="BQ4" i="8388"/>
  <c r="BQ3" i="8388"/>
  <c r="BQ2" i="8388"/>
  <c r="BP6" i="8388"/>
  <c r="BP5" i="8388"/>
  <c r="BP4" i="8388"/>
  <c r="BP3" i="8388"/>
  <c r="BP2" i="8388"/>
  <c r="BH2" i="8388" a="1"/>
  <c r="BH2" i="8388" s="1"/>
  <c r="BG6" i="8388"/>
  <c r="BG5" i="8388"/>
  <c r="BG4" i="8388"/>
  <c r="BG3" i="8388"/>
  <c r="BG2" i="8388"/>
  <c r="BF6" i="8388"/>
  <c r="BF5" i="8388"/>
  <c r="BF4" i="8388"/>
  <c r="BF3" i="8388"/>
  <c r="BF2" i="8388"/>
  <c r="AX2" i="8388" a="1"/>
  <c r="AX2" i="8388" s="1"/>
  <c r="AW6" i="8388"/>
  <c r="AW5" i="8388"/>
  <c r="AW4" i="8388"/>
  <c r="AW3" i="8388"/>
  <c r="AW2" i="8388"/>
  <c r="AV6" i="8388"/>
  <c r="AV5" i="8388"/>
  <c r="AV4" i="8388"/>
  <c r="AV3" i="8388"/>
  <c r="AV2" i="8388"/>
  <c r="AN2" i="8388" a="1"/>
  <c r="AN2" i="8388" s="1"/>
  <c r="AM6" i="8388"/>
  <c r="AM5" i="8388"/>
  <c r="AM4" i="8388"/>
  <c r="AM3" i="8388"/>
  <c r="AM2" i="8388"/>
  <c r="AL6" i="8388"/>
  <c r="AL5" i="8388"/>
  <c r="AL4" i="8388"/>
  <c r="AL3" i="8388"/>
  <c r="AL2" i="8388"/>
  <c r="AD2" i="8388" a="1"/>
  <c r="AD2" i="8388" s="1"/>
  <c r="AC6" i="8388"/>
  <c r="AC5" i="8388"/>
  <c r="AC4" i="8388"/>
  <c r="AC3" i="8388"/>
  <c r="AC2" i="8388"/>
  <c r="AB6" i="8388"/>
  <c r="AB5" i="8388"/>
  <c r="AB4" i="8388"/>
  <c r="AB3" i="8388"/>
  <c r="AB2" i="8388"/>
  <c r="T2" i="8388" a="1"/>
  <c r="T2" i="8388" s="1"/>
  <c r="S6" i="8388"/>
  <c r="S5" i="8388"/>
  <c r="S4" i="8388"/>
  <c r="S3" i="8388"/>
  <c r="S2" i="8388"/>
  <c r="R6" i="8388"/>
  <c r="R5" i="8388"/>
  <c r="R4" i="8388"/>
  <c r="R3" i="8388"/>
  <c r="R2" i="8388"/>
  <c r="J2" i="8388" a="1"/>
  <c r="J2" i="8388" s="1"/>
  <c r="H61" i="8388"/>
  <c r="H60" i="8388"/>
  <c r="H59" i="8388"/>
  <c r="H58" i="8388"/>
  <c r="H57" i="8388"/>
  <c r="H56" i="8388"/>
  <c r="H55" i="8388"/>
  <c r="H54" i="8388"/>
  <c r="H53" i="8388"/>
  <c r="H52" i="8388"/>
  <c r="H51" i="8388"/>
  <c r="H50" i="8388"/>
  <c r="H49" i="8388"/>
  <c r="H48" i="8388"/>
  <c r="H47" i="8388"/>
  <c r="H46" i="8388"/>
  <c r="H45" i="8388"/>
  <c r="H44" i="8388"/>
  <c r="H43" i="8388"/>
  <c r="H42" i="8388"/>
  <c r="H41" i="8388"/>
  <c r="H40" i="8388"/>
  <c r="H39" i="8388"/>
  <c r="H38" i="8388"/>
  <c r="H37" i="8388"/>
  <c r="H36" i="8388"/>
  <c r="H35" i="8388"/>
  <c r="H34" i="8388"/>
  <c r="H33" i="8388"/>
  <c r="H32" i="8388"/>
  <c r="H31" i="8388"/>
  <c r="H30" i="8388"/>
  <c r="H29" i="8388"/>
  <c r="H28" i="8388"/>
  <c r="H27" i="8388"/>
  <c r="H26" i="8388"/>
  <c r="H25" i="8388"/>
  <c r="H24" i="8388"/>
  <c r="H23" i="8388"/>
  <c r="H22" i="8388"/>
  <c r="H21" i="8388"/>
  <c r="H20" i="8388"/>
  <c r="H19" i="8388"/>
  <c r="H18" i="8388"/>
  <c r="H17" i="8388"/>
  <c r="H16" i="8388"/>
  <c r="H15" i="8388"/>
  <c r="H14" i="8388"/>
  <c r="H13" i="8388"/>
  <c r="H12" i="8388"/>
  <c r="H11" i="8388"/>
  <c r="H10" i="8388"/>
  <c r="H9" i="8388"/>
  <c r="H8" i="8388"/>
  <c r="H7" i="8388"/>
  <c r="H6" i="8388"/>
  <c r="H5" i="8388"/>
  <c r="H4" i="8388"/>
  <c r="H3" i="8388"/>
  <c r="H2" i="8388"/>
  <c r="I1" i="8387"/>
  <c r="DY6" i="8387"/>
  <c r="DY5" i="8387"/>
  <c r="DY4" i="8387"/>
  <c r="DY3" i="8387"/>
  <c r="DY2" i="8387"/>
  <c r="DX6" i="8387"/>
  <c r="DX5" i="8387"/>
  <c r="DX4" i="8387"/>
  <c r="DX3" i="8387"/>
  <c r="DX2" i="8387"/>
  <c r="DP2" i="8387" a="1"/>
  <c r="DP2" i="8387" s="1"/>
  <c r="DO6" i="8387"/>
  <c r="DO5" i="8387"/>
  <c r="DO4" i="8387"/>
  <c r="DO3" i="8387"/>
  <c r="DO2" i="8387"/>
  <c r="DN6" i="8387"/>
  <c r="DN5" i="8387"/>
  <c r="DN4" i="8387"/>
  <c r="DN3" i="8387"/>
  <c r="DN2" i="8387"/>
  <c r="DF2" i="8387" a="1"/>
  <c r="DF2" i="8387" s="1"/>
  <c r="DE6" i="8387"/>
  <c r="DE5" i="8387"/>
  <c r="DE4" i="8387"/>
  <c r="DE3" i="8387"/>
  <c r="DE2" i="8387"/>
  <c r="DD6" i="8387"/>
  <c r="DD5" i="8387"/>
  <c r="DD4" i="8387"/>
  <c r="DD3" i="8387"/>
  <c r="DD2" i="8387"/>
  <c r="CV2" i="8387" a="1"/>
  <c r="CV2" i="8387" s="1"/>
  <c r="CU6" i="8387"/>
  <c r="CU5" i="8387"/>
  <c r="CU4" i="8387"/>
  <c r="CU3" i="8387"/>
  <c r="CU2" i="8387"/>
  <c r="CT6" i="8387"/>
  <c r="CT5" i="8387"/>
  <c r="CT4" i="8387"/>
  <c r="CT3" i="8387"/>
  <c r="CT2" i="8387"/>
  <c r="CL2" i="8387" a="1"/>
  <c r="CL2" i="8387" s="1"/>
  <c r="CK6" i="8387"/>
  <c r="CK5" i="8387"/>
  <c r="CK4" i="8387"/>
  <c r="CK3" i="8387"/>
  <c r="CK2" i="8387"/>
  <c r="CJ6" i="8387"/>
  <c r="CJ5" i="8387"/>
  <c r="CJ4" i="8387"/>
  <c r="CJ3" i="8387"/>
  <c r="CJ2" i="8387"/>
  <c r="CB2" i="8387" a="1"/>
  <c r="CB2" i="8387" s="1"/>
  <c r="CA6" i="8387"/>
  <c r="CA5" i="8387"/>
  <c r="CA4" i="8387"/>
  <c r="CA3" i="8387"/>
  <c r="CA2" i="8387"/>
  <c r="BZ6" i="8387"/>
  <c r="BZ5" i="8387"/>
  <c r="BZ4" i="8387"/>
  <c r="BZ3" i="8387"/>
  <c r="BZ2" i="8387"/>
  <c r="BR2" i="8387" a="1"/>
  <c r="BR2" i="8387" s="1"/>
  <c r="BQ6" i="8387"/>
  <c r="BQ5" i="8387"/>
  <c r="BQ4" i="8387"/>
  <c r="BQ3" i="8387"/>
  <c r="BQ2" i="8387"/>
  <c r="BP6" i="8387"/>
  <c r="BP5" i="8387"/>
  <c r="BP4" i="8387"/>
  <c r="BP3" i="8387"/>
  <c r="BP2" i="8387"/>
  <c r="BH2" i="8387" a="1"/>
  <c r="BH2" i="8387" s="1"/>
  <c r="BG6" i="8387"/>
  <c r="BG5" i="8387"/>
  <c r="BG4" i="8387"/>
  <c r="BG3" i="8387"/>
  <c r="BG2" i="8387"/>
  <c r="BF6" i="8387"/>
  <c r="BF5" i="8387"/>
  <c r="BF4" i="8387"/>
  <c r="BF3" i="8387"/>
  <c r="BF2" i="8387"/>
  <c r="AX2" i="8387" a="1"/>
  <c r="AX2" i="8387" s="1"/>
  <c r="AW6" i="8387"/>
  <c r="AW5" i="8387"/>
  <c r="AW4" i="8387"/>
  <c r="AW3" i="8387"/>
  <c r="AW2" i="8387"/>
  <c r="AV6" i="8387"/>
  <c r="AV5" i="8387"/>
  <c r="AV4" i="8387"/>
  <c r="AV3" i="8387"/>
  <c r="AV2" i="8387"/>
  <c r="AN2" i="8387" a="1"/>
  <c r="AN2" i="8387" s="1"/>
  <c r="AM6" i="8387"/>
  <c r="AM5" i="8387"/>
  <c r="AM4" i="8387"/>
  <c r="AM3" i="8387"/>
  <c r="AM2" i="8387"/>
  <c r="AL6" i="8387"/>
  <c r="AL5" i="8387"/>
  <c r="AL4" i="8387"/>
  <c r="AL3" i="8387"/>
  <c r="AL2" i="8387"/>
  <c r="AD2" i="8387" a="1"/>
  <c r="AD2" i="8387" s="1"/>
  <c r="AC6" i="8387"/>
  <c r="AC5" i="8387"/>
  <c r="AC4" i="8387"/>
  <c r="AC3" i="8387"/>
  <c r="AC2" i="8387"/>
  <c r="AB6" i="8387"/>
  <c r="AB5" i="8387"/>
  <c r="AB4" i="8387"/>
  <c r="AB3" i="8387"/>
  <c r="AB2" i="8387"/>
  <c r="T2" i="8387" a="1"/>
  <c r="T2" i="8387" s="1"/>
  <c r="S6" i="8387"/>
  <c r="S5" i="8387"/>
  <c r="S4" i="8387"/>
  <c r="S3" i="8387"/>
  <c r="S2" i="8387"/>
  <c r="R6" i="8387"/>
  <c r="R5" i="8387"/>
  <c r="R4" i="8387"/>
  <c r="R3" i="8387"/>
  <c r="R2" i="8387"/>
  <c r="J2" i="8387" a="1"/>
  <c r="J2" i="8387" s="1"/>
  <c r="H61" i="8387"/>
  <c r="H60" i="8387"/>
  <c r="H59" i="8387"/>
  <c r="H58" i="8387"/>
  <c r="H57" i="8387"/>
  <c r="H56" i="8387"/>
  <c r="H55" i="8387"/>
  <c r="H54" i="8387"/>
  <c r="H53" i="8387"/>
  <c r="H52" i="8387"/>
  <c r="H51" i="8387"/>
  <c r="H50" i="8387"/>
  <c r="H49" i="8387"/>
  <c r="H48" i="8387"/>
  <c r="H47" i="8387"/>
  <c r="H46" i="8387"/>
  <c r="H45" i="8387"/>
  <c r="H44" i="8387"/>
  <c r="H43" i="8387"/>
  <c r="H42" i="8387"/>
  <c r="H41" i="8387"/>
  <c r="H40" i="8387"/>
  <c r="H39" i="8387"/>
  <c r="H38" i="8387"/>
  <c r="H37" i="8387"/>
  <c r="H36" i="8387"/>
  <c r="H35" i="8387"/>
  <c r="H34" i="8387"/>
  <c r="H33" i="8387"/>
  <c r="H32" i="8387"/>
  <c r="H31" i="8387"/>
  <c r="H30" i="8387"/>
  <c r="H29" i="8387"/>
  <c r="H28" i="8387"/>
  <c r="H27" i="8387"/>
  <c r="H26" i="8387"/>
  <c r="H25" i="8387"/>
  <c r="H24" i="8387"/>
  <c r="H23" i="8387"/>
  <c r="H22" i="8387"/>
  <c r="H21" i="8387"/>
  <c r="H20" i="8387"/>
  <c r="H19" i="8387"/>
  <c r="H18" i="8387"/>
  <c r="H17" i="8387"/>
  <c r="H16" i="8387"/>
  <c r="H15" i="8387"/>
  <c r="H14" i="8387"/>
  <c r="H13" i="8387"/>
  <c r="H12" i="8387"/>
  <c r="H11" i="8387"/>
  <c r="H10" i="8387"/>
  <c r="H9" i="8387"/>
  <c r="H8" i="8387"/>
  <c r="H7" i="8387"/>
  <c r="H6" i="8387"/>
  <c r="H5" i="8387"/>
  <c r="H4" i="8387"/>
  <c r="H3" i="8387"/>
  <c r="H2" i="8387"/>
  <c r="I1" i="8386"/>
  <c r="DY6" i="8386"/>
  <c r="DY5" i="8386"/>
  <c r="DY4" i="8386"/>
  <c r="DY3" i="8386"/>
  <c r="DY2" i="8386"/>
  <c r="DX6" i="8386"/>
  <c r="DX5" i="8386"/>
  <c r="DX4" i="8386"/>
  <c r="DX3" i="8386"/>
  <c r="DX2" i="8386"/>
  <c r="DP2" i="8386" a="1"/>
  <c r="DP2" i="8386" s="1"/>
  <c r="DO6" i="8386"/>
  <c r="DO5" i="8386"/>
  <c r="DO4" i="8386"/>
  <c r="DO3" i="8386"/>
  <c r="DO2" i="8386"/>
  <c r="DN6" i="8386"/>
  <c r="DN5" i="8386"/>
  <c r="DN4" i="8386"/>
  <c r="DN3" i="8386"/>
  <c r="DN2" i="8386"/>
  <c r="DF2" i="8386" a="1"/>
  <c r="DF2" i="8386" s="1"/>
  <c r="DE6" i="8386"/>
  <c r="DE5" i="8386"/>
  <c r="DE4" i="8386"/>
  <c r="DE3" i="8386"/>
  <c r="DE2" i="8386"/>
  <c r="DD6" i="8386"/>
  <c r="DD5" i="8386"/>
  <c r="DD4" i="8386"/>
  <c r="DD3" i="8386"/>
  <c r="DD2" i="8386"/>
  <c r="CV2" i="8386" a="1"/>
  <c r="CV2" i="8386" s="1"/>
  <c r="CU6" i="8386"/>
  <c r="CU5" i="8386"/>
  <c r="CU4" i="8386"/>
  <c r="CU3" i="8386"/>
  <c r="CU2" i="8386"/>
  <c r="CT6" i="8386"/>
  <c r="CT5" i="8386"/>
  <c r="CT4" i="8386"/>
  <c r="CT3" i="8386"/>
  <c r="CT2" i="8386"/>
  <c r="CL2" i="8386" a="1"/>
  <c r="CL2" i="8386" s="1"/>
  <c r="CK6" i="8386"/>
  <c r="CK5" i="8386"/>
  <c r="CK4" i="8386"/>
  <c r="CK3" i="8386"/>
  <c r="CK2" i="8386"/>
  <c r="CJ6" i="8386"/>
  <c r="CJ5" i="8386"/>
  <c r="CJ4" i="8386"/>
  <c r="CJ3" i="8386"/>
  <c r="CJ2" i="8386"/>
  <c r="CB2" i="8386" a="1"/>
  <c r="CB2" i="8386" s="1"/>
  <c r="CA6" i="8386"/>
  <c r="CA5" i="8386"/>
  <c r="CA4" i="8386"/>
  <c r="CA3" i="8386"/>
  <c r="CA2" i="8386"/>
  <c r="BZ6" i="8386"/>
  <c r="BZ5" i="8386"/>
  <c r="BZ4" i="8386"/>
  <c r="BZ3" i="8386"/>
  <c r="BZ2" i="8386"/>
  <c r="BR2" i="8386" a="1"/>
  <c r="BR2" i="8386" s="1"/>
  <c r="BQ6" i="8386"/>
  <c r="BQ5" i="8386"/>
  <c r="BQ4" i="8386"/>
  <c r="BQ3" i="8386"/>
  <c r="BQ2" i="8386"/>
  <c r="BP6" i="8386"/>
  <c r="BP5" i="8386"/>
  <c r="BP4" i="8386"/>
  <c r="BP3" i="8386"/>
  <c r="BP2" i="8386"/>
  <c r="BH2" i="8386" a="1"/>
  <c r="BH2" i="8386" s="1"/>
  <c r="BG6" i="8386"/>
  <c r="BG5" i="8386"/>
  <c r="BG4" i="8386"/>
  <c r="BG3" i="8386"/>
  <c r="BG2" i="8386"/>
  <c r="BF6" i="8386"/>
  <c r="BF5" i="8386"/>
  <c r="BF4" i="8386"/>
  <c r="BF3" i="8386"/>
  <c r="BF2" i="8386"/>
  <c r="AX2" i="8386" a="1"/>
  <c r="AX2" i="8386" s="1"/>
  <c r="AW6" i="8386"/>
  <c r="AW5" i="8386"/>
  <c r="AW4" i="8386"/>
  <c r="AW3" i="8386"/>
  <c r="AW2" i="8386"/>
  <c r="AV6" i="8386"/>
  <c r="AV5" i="8386"/>
  <c r="AV4" i="8386"/>
  <c r="AV3" i="8386"/>
  <c r="AV2" i="8386"/>
  <c r="AN2" i="8386" a="1"/>
  <c r="AN2" i="8386" s="1"/>
  <c r="AM6" i="8386"/>
  <c r="AM5" i="8386"/>
  <c r="AM4" i="8386"/>
  <c r="AM3" i="8386"/>
  <c r="AM2" i="8386"/>
  <c r="AL6" i="8386"/>
  <c r="AL5" i="8386"/>
  <c r="AL4" i="8386"/>
  <c r="AL3" i="8386"/>
  <c r="AL2" i="8386"/>
  <c r="AD2" i="8386" a="1"/>
  <c r="AD2" i="8386" s="1"/>
  <c r="AC6" i="8386"/>
  <c r="AC5" i="8386"/>
  <c r="AC4" i="8386"/>
  <c r="AC3" i="8386"/>
  <c r="AC2" i="8386"/>
  <c r="AB6" i="8386"/>
  <c r="AB5" i="8386"/>
  <c r="AB4" i="8386"/>
  <c r="AB3" i="8386"/>
  <c r="AB2" i="8386"/>
  <c r="T2" i="8386" a="1"/>
  <c r="T2" i="8386" s="1"/>
  <c r="S6" i="8386"/>
  <c r="S5" i="8386"/>
  <c r="S4" i="8386"/>
  <c r="S3" i="8386"/>
  <c r="S2" i="8386"/>
  <c r="R6" i="8386"/>
  <c r="R5" i="8386"/>
  <c r="R4" i="8386"/>
  <c r="R3" i="8386"/>
  <c r="R2" i="8386"/>
  <c r="J2" i="8386" a="1"/>
  <c r="J2" i="8386" s="1"/>
  <c r="H61" i="8386"/>
  <c r="H60" i="8386"/>
  <c r="H59" i="8386"/>
  <c r="H58" i="8386"/>
  <c r="H57" i="8386"/>
  <c r="H56" i="8386"/>
  <c r="H55" i="8386"/>
  <c r="H54" i="8386"/>
  <c r="H53" i="8386"/>
  <c r="H52" i="8386"/>
  <c r="H51" i="8386"/>
  <c r="H50" i="8386"/>
  <c r="H49" i="8386"/>
  <c r="H48" i="8386"/>
  <c r="H47" i="8386"/>
  <c r="H46" i="8386"/>
  <c r="H45" i="8386"/>
  <c r="H44" i="8386"/>
  <c r="H43" i="8386"/>
  <c r="H42" i="8386"/>
  <c r="H41" i="8386"/>
  <c r="H40" i="8386"/>
  <c r="H39" i="8386"/>
  <c r="H38" i="8386"/>
  <c r="H37" i="8386"/>
  <c r="H36" i="8386"/>
  <c r="H35" i="8386"/>
  <c r="H34" i="8386"/>
  <c r="H33" i="8386"/>
  <c r="H32" i="8386"/>
  <c r="H31" i="8386"/>
  <c r="H30" i="8386"/>
  <c r="H29" i="8386"/>
  <c r="H28" i="8386"/>
  <c r="H27" i="8386"/>
  <c r="H26" i="8386"/>
  <c r="H25" i="8386"/>
  <c r="H24" i="8386"/>
  <c r="H23" i="8386"/>
  <c r="H22" i="8386"/>
  <c r="H21" i="8386"/>
  <c r="H20" i="8386"/>
  <c r="H19" i="8386"/>
  <c r="H18" i="8386"/>
  <c r="H17" i="8386"/>
  <c r="H16" i="8386"/>
  <c r="H15" i="8386"/>
  <c r="H14" i="8386"/>
  <c r="H13" i="8386"/>
  <c r="H12" i="8386"/>
  <c r="H11" i="8386"/>
  <c r="H10" i="8386"/>
  <c r="H9" i="8386"/>
  <c r="H8" i="8386"/>
  <c r="H7" i="8386"/>
  <c r="H6" i="8386"/>
  <c r="H5" i="8386"/>
  <c r="H4" i="8386"/>
  <c r="H3" i="8386"/>
  <c r="H2" i="8386"/>
  <c r="I1" i="8385"/>
  <c r="DY6" i="8385"/>
  <c r="DY5" i="8385"/>
  <c r="DY4" i="8385"/>
  <c r="DY3" i="8385"/>
  <c r="DY2" i="8385"/>
  <c r="DX6" i="8385"/>
  <c r="DX5" i="8385"/>
  <c r="DX4" i="8385"/>
  <c r="DX3" i="8385"/>
  <c r="DX2" i="8385"/>
  <c r="DP2" i="8385" a="1"/>
  <c r="DP2" i="8385" s="1"/>
  <c r="DO6" i="8385"/>
  <c r="DO5" i="8385"/>
  <c r="DO4" i="8385"/>
  <c r="DO3" i="8385"/>
  <c r="DO2" i="8385"/>
  <c r="DN6" i="8385"/>
  <c r="DN5" i="8385"/>
  <c r="DN4" i="8385"/>
  <c r="DN3" i="8385"/>
  <c r="DN2" i="8385"/>
  <c r="DF2" i="8385" a="1"/>
  <c r="DF2" i="8385" s="1"/>
  <c r="DE6" i="8385"/>
  <c r="DE5" i="8385"/>
  <c r="DE4" i="8385"/>
  <c r="DE3" i="8385"/>
  <c r="DE2" i="8385"/>
  <c r="DD6" i="8385"/>
  <c r="DD5" i="8385"/>
  <c r="DD4" i="8385"/>
  <c r="DD3" i="8385"/>
  <c r="DD2" i="8385"/>
  <c r="CV2" i="8385" a="1"/>
  <c r="CV2" i="8385" s="1"/>
  <c r="CU6" i="8385"/>
  <c r="CU5" i="8385"/>
  <c r="CU4" i="8385"/>
  <c r="CU3" i="8385"/>
  <c r="CU2" i="8385"/>
  <c r="CT6" i="8385"/>
  <c r="CT5" i="8385"/>
  <c r="CT4" i="8385"/>
  <c r="CT3" i="8385"/>
  <c r="CT2" i="8385"/>
  <c r="CL2" i="8385" a="1"/>
  <c r="CL2" i="8385" s="1"/>
  <c r="CK6" i="8385"/>
  <c r="CK5" i="8385"/>
  <c r="CK4" i="8385"/>
  <c r="CK3" i="8385"/>
  <c r="CK2" i="8385"/>
  <c r="CJ6" i="8385"/>
  <c r="CJ5" i="8385"/>
  <c r="CJ4" i="8385"/>
  <c r="CJ3" i="8385"/>
  <c r="CJ2" i="8385"/>
  <c r="CB2" i="8385" a="1"/>
  <c r="CB2" i="8385" s="1"/>
  <c r="CA6" i="8385"/>
  <c r="CA5" i="8385"/>
  <c r="CA4" i="8385"/>
  <c r="CA3" i="8385"/>
  <c r="CA2" i="8385"/>
  <c r="BZ6" i="8385"/>
  <c r="BZ5" i="8385"/>
  <c r="BZ4" i="8385"/>
  <c r="BZ3" i="8385"/>
  <c r="BZ2" i="8385"/>
  <c r="BR2" i="8385" a="1"/>
  <c r="BR2" i="8385" s="1"/>
  <c r="BQ6" i="8385"/>
  <c r="BQ5" i="8385"/>
  <c r="BQ4" i="8385"/>
  <c r="BQ3" i="8385"/>
  <c r="BQ2" i="8385"/>
  <c r="BP6" i="8385"/>
  <c r="BP5" i="8385"/>
  <c r="BP4" i="8385"/>
  <c r="BP3" i="8385"/>
  <c r="BP2" i="8385"/>
  <c r="BH2" i="8385" a="1"/>
  <c r="BH2" i="8385" s="1"/>
  <c r="BG6" i="8385"/>
  <c r="BG5" i="8385"/>
  <c r="BG4" i="8385"/>
  <c r="BG3" i="8385"/>
  <c r="BG2" i="8385"/>
  <c r="BF6" i="8385"/>
  <c r="BF5" i="8385"/>
  <c r="BF4" i="8385"/>
  <c r="BF3" i="8385"/>
  <c r="BF2" i="8385"/>
  <c r="AX2" i="8385" a="1"/>
  <c r="AX2" i="8385" s="1"/>
  <c r="AW6" i="8385"/>
  <c r="AW5" i="8385"/>
  <c r="AW4" i="8385"/>
  <c r="AW3" i="8385"/>
  <c r="AW2" i="8385"/>
  <c r="AV6" i="8385"/>
  <c r="AV5" i="8385"/>
  <c r="AV4" i="8385"/>
  <c r="AV3" i="8385"/>
  <c r="AV2" i="8385"/>
  <c r="AN2" i="8385" a="1"/>
  <c r="AN2" i="8385" s="1"/>
  <c r="AM6" i="8385"/>
  <c r="AM5" i="8385"/>
  <c r="AM4" i="8385"/>
  <c r="AM3" i="8385"/>
  <c r="AM2" i="8385"/>
  <c r="AL6" i="8385"/>
  <c r="AL5" i="8385"/>
  <c r="AL4" i="8385"/>
  <c r="AL3" i="8385"/>
  <c r="AL2" i="8385"/>
  <c r="AD2" i="8385" a="1"/>
  <c r="AD2" i="8385" s="1"/>
  <c r="AC6" i="8385"/>
  <c r="AC5" i="8385"/>
  <c r="AC4" i="8385"/>
  <c r="AC3" i="8385"/>
  <c r="AC2" i="8385"/>
  <c r="AB6" i="8385"/>
  <c r="AB5" i="8385"/>
  <c r="AB4" i="8385"/>
  <c r="AB3" i="8385"/>
  <c r="AB2" i="8385"/>
  <c r="T2" i="8385" a="1"/>
  <c r="T2" i="8385" s="1"/>
  <c r="S6" i="8385"/>
  <c r="S5" i="8385"/>
  <c r="S4" i="8385"/>
  <c r="S3" i="8385"/>
  <c r="S2" i="8385"/>
  <c r="R6" i="8385"/>
  <c r="R5" i="8385"/>
  <c r="R4" i="8385"/>
  <c r="R3" i="8385"/>
  <c r="R2" i="8385"/>
  <c r="J2" i="8385" a="1"/>
  <c r="J2" i="8385" s="1"/>
  <c r="H61" i="8385"/>
  <c r="H60" i="8385"/>
  <c r="H59" i="8385"/>
  <c r="H58" i="8385"/>
  <c r="H57" i="8385"/>
  <c r="H56" i="8385"/>
  <c r="H55" i="8385"/>
  <c r="H54" i="8385"/>
  <c r="H53" i="8385"/>
  <c r="H52" i="8385"/>
  <c r="H51" i="8385"/>
  <c r="H50" i="8385"/>
  <c r="H49" i="8385"/>
  <c r="H48" i="8385"/>
  <c r="H47" i="8385"/>
  <c r="H46" i="8385"/>
  <c r="H45" i="8385"/>
  <c r="H44" i="8385"/>
  <c r="H43" i="8385"/>
  <c r="H42" i="8385"/>
  <c r="H41" i="8385"/>
  <c r="H40" i="8385"/>
  <c r="H39" i="8385"/>
  <c r="H38" i="8385"/>
  <c r="H37" i="8385"/>
  <c r="H36" i="8385"/>
  <c r="H35" i="8385"/>
  <c r="H34" i="8385"/>
  <c r="H33" i="8385"/>
  <c r="H32" i="8385"/>
  <c r="H31" i="8385"/>
  <c r="H30" i="8385"/>
  <c r="H29" i="8385"/>
  <c r="H28" i="8385"/>
  <c r="H27" i="8385"/>
  <c r="H26" i="8385"/>
  <c r="H25" i="8385"/>
  <c r="H24" i="8385"/>
  <c r="H23" i="8385"/>
  <c r="H22" i="8385"/>
  <c r="H21" i="8385"/>
  <c r="H20" i="8385"/>
  <c r="H19" i="8385"/>
  <c r="H18" i="8385"/>
  <c r="H17" i="8385"/>
  <c r="H16" i="8385"/>
  <c r="H15" i="8385"/>
  <c r="H14" i="8385"/>
  <c r="H13" i="8385"/>
  <c r="H12" i="8385"/>
  <c r="H11" i="8385"/>
  <c r="H10" i="8385"/>
  <c r="H9" i="8385"/>
  <c r="H8" i="8385"/>
  <c r="H7" i="8385"/>
  <c r="H6" i="8385"/>
  <c r="H5" i="8385"/>
  <c r="H4" i="8385"/>
  <c r="H3" i="8385"/>
  <c r="H2" i="8385"/>
  <c r="I1" i="8384"/>
  <c r="DY6" i="8384"/>
  <c r="DY5" i="8384"/>
  <c r="DY4" i="8384"/>
  <c r="DY3" i="8384"/>
  <c r="DY2" i="8384"/>
  <c r="DX6" i="8384"/>
  <c r="DX5" i="8384"/>
  <c r="DX4" i="8384"/>
  <c r="DX3" i="8384"/>
  <c r="DX2" i="8384"/>
  <c r="DP2" i="8384" a="1"/>
  <c r="DP2" i="8384" s="1"/>
  <c r="DO6" i="8384"/>
  <c r="DO5" i="8384"/>
  <c r="DO4" i="8384"/>
  <c r="DO3" i="8384"/>
  <c r="DO2" i="8384"/>
  <c r="DN6" i="8384"/>
  <c r="DN5" i="8384"/>
  <c r="DN4" i="8384"/>
  <c r="DN3" i="8384"/>
  <c r="DN2" i="8384"/>
  <c r="DF2" i="8384" a="1"/>
  <c r="DF2" i="8384" s="1"/>
  <c r="DE6" i="8384"/>
  <c r="DE5" i="8384"/>
  <c r="DE4" i="8384"/>
  <c r="DE3" i="8384"/>
  <c r="DE2" i="8384"/>
  <c r="DD6" i="8384"/>
  <c r="DD5" i="8384"/>
  <c r="DD4" i="8384"/>
  <c r="DD3" i="8384"/>
  <c r="DD2" i="8384"/>
  <c r="CV2" i="8384" a="1"/>
  <c r="CV2" i="8384" s="1"/>
  <c r="CU6" i="8384"/>
  <c r="CU5" i="8384"/>
  <c r="CU4" i="8384"/>
  <c r="CU3" i="8384"/>
  <c r="CU2" i="8384"/>
  <c r="CT6" i="8384"/>
  <c r="CT5" i="8384"/>
  <c r="CT4" i="8384"/>
  <c r="CT3" i="8384"/>
  <c r="CT2" i="8384"/>
  <c r="CL2" i="8384" a="1"/>
  <c r="CL2" i="8384" s="1"/>
  <c r="CK6" i="8384"/>
  <c r="CK5" i="8384"/>
  <c r="CK4" i="8384"/>
  <c r="CK3" i="8384"/>
  <c r="CK2" i="8384"/>
  <c r="CJ6" i="8384"/>
  <c r="CJ5" i="8384"/>
  <c r="CJ4" i="8384"/>
  <c r="CJ3" i="8384"/>
  <c r="CJ2" i="8384"/>
  <c r="CB2" i="8384" a="1"/>
  <c r="CB2" i="8384" s="1"/>
  <c r="CA6" i="8384"/>
  <c r="CA5" i="8384"/>
  <c r="CA4" i="8384"/>
  <c r="CA3" i="8384"/>
  <c r="CA2" i="8384"/>
  <c r="BZ6" i="8384"/>
  <c r="BZ5" i="8384"/>
  <c r="BZ4" i="8384"/>
  <c r="BZ3" i="8384"/>
  <c r="BZ2" i="8384"/>
  <c r="BR2" i="8384" a="1"/>
  <c r="BR2" i="8384" s="1"/>
  <c r="BQ6" i="8384"/>
  <c r="BQ5" i="8384"/>
  <c r="BQ4" i="8384"/>
  <c r="BQ3" i="8384"/>
  <c r="BQ2" i="8384"/>
  <c r="BP6" i="8384"/>
  <c r="BP5" i="8384"/>
  <c r="BP4" i="8384"/>
  <c r="BP3" i="8384"/>
  <c r="BP2" i="8384"/>
  <c r="BH2" i="8384" a="1"/>
  <c r="BH2" i="8384" s="1"/>
  <c r="BG6" i="8384"/>
  <c r="BG5" i="8384"/>
  <c r="BG4" i="8384"/>
  <c r="BG3" i="8384"/>
  <c r="BG2" i="8384"/>
  <c r="BF6" i="8384"/>
  <c r="BF5" i="8384"/>
  <c r="BF4" i="8384"/>
  <c r="BF3" i="8384"/>
  <c r="BF2" i="8384"/>
  <c r="AX2" i="8384" a="1"/>
  <c r="AX2" i="8384" s="1"/>
  <c r="AW6" i="8384"/>
  <c r="AW5" i="8384"/>
  <c r="AW4" i="8384"/>
  <c r="AW3" i="8384"/>
  <c r="AW2" i="8384"/>
  <c r="AV6" i="8384"/>
  <c r="AV5" i="8384"/>
  <c r="AV4" i="8384"/>
  <c r="AV3" i="8384"/>
  <c r="AV2" i="8384"/>
  <c r="AN2" i="8384" a="1"/>
  <c r="AN2" i="8384" s="1"/>
  <c r="AM6" i="8384"/>
  <c r="AM5" i="8384"/>
  <c r="AM4" i="8384"/>
  <c r="AM3" i="8384"/>
  <c r="AM2" i="8384"/>
  <c r="AL6" i="8384"/>
  <c r="AL5" i="8384"/>
  <c r="AL4" i="8384"/>
  <c r="AL3" i="8384"/>
  <c r="AL2" i="8384"/>
  <c r="AD2" i="8384" a="1"/>
  <c r="AD2" i="8384" s="1"/>
  <c r="AC6" i="8384"/>
  <c r="AC5" i="8384"/>
  <c r="AC4" i="8384"/>
  <c r="AC3" i="8384"/>
  <c r="AC2" i="8384"/>
  <c r="AB6" i="8384"/>
  <c r="AB5" i="8384"/>
  <c r="AB4" i="8384"/>
  <c r="AB3" i="8384"/>
  <c r="AB2" i="8384"/>
  <c r="T2" i="8384" a="1"/>
  <c r="T2" i="8384" s="1"/>
  <c r="S6" i="8384"/>
  <c r="S5" i="8384"/>
  <c r="S4" i="8384"/>
  <c r="S3" i="8384"/>
  <c r="S2" i="8384"/>
  <c r="R6" i="8384"/>
  <c r="R5" i="8384"/>
  <c r="R4" i="8384"/>
  <c r="R3" i="8384"/>
  <c r="R2" i="8384"/>
  <c r="J2" i="8384" a="1"/>
  <c r="J2" i="8384" s="1"/>
  <c r="H61" i="8384"/>
  <c r="H60" i="8384"/>
  <c r="H59" i="8384"/>
  <c r="H58" i="8384"/>
  <c r="H57" i="8384"/>
  <c r="H56" i="8384"/>
  <c r="H55" i="8384"/>
  <c r="H54" i="8384"/>
  <c r="H53" i="8384"/>
  <c r="H52" i="8384"/>
  <c r="H51" i="8384"/>
  <c r="H50" i="8384"/>
  <c r="H49" i="8384"/>
  <c r="H48" i="8384"/>
  <c r="H47" i="8384"/>
  <c r="H46" i="8384"/>
  <c r="H45" i="8384"/>
  <c r="H44" i="8384"/>
  <c r="H43" i="8384"/>
  <c r="H42" i="8384"/>
  <c r="H41" i="8384"/>
  <c r="H40" i="8384"/>
  <c r="H39" i="8384"/>
  <c r="H38" i="8384"/>
  <c r="H37" i="8384"/>
  <c r="H36" i="8384"/>
  <c r="H35" i="8384"/>
  <c r="H34" i="8384"/>
  <c r="H33" i="8384"/>
  <c r="H32" i="8384"/>
  <c r="H31" i="8384"/>
  <c r="H30" i="8384"/>
  <c r="H29" i="8384"/>
  <c r="H28" i="8384"/>
  <c r="H27" i="8384"/>
  <c r="H26" i="8384"/>
  <c r="H25" i="8384"/>
  <c r="H24" i="8384"/>
  <c r="H23" i="8384"/>
  <c r="H22" i="8384"/>
  <c r="H21" i="8384"/>
  <c r="H20" i="8384"/>
  <c r="H19" i="8384"/>
  <c r="H18" i="8384"/>
  <c r="H17" i="8384"/>
  <c r="H16" i="8384"/>
  <c r="H15" i="8384"/>
  <c r="H14" i="8384"/>
  <c r="H13" i="8384"/>
  <c r="H12" i="8384"/>
  <c r="H11" i="8384"/>
  <c r="H10" i="8384"/>
  <c r="H9" i="8384"/>
  <c r="H8" i="8384"/>
  <c r="H7" i="8384"/>
  <c r="H6" i="8384"/>
  <c r="H5" i="8384"/>
  <c r="H4" i="8384"/>
  <c r="H3" i="8384"/>
  <c r="H2" i="8384"/>
  <c r="I1" i="8383"/>
  <c r="DY6" i="8383"/>
  <c r="DY5" i="8383"/>
  <c r="DY4" i="8383"/>
  <c r="DY3" i="8383"/>
  <c r="DY2" i="8383"/>
  <c r="DX6" i="8383"/>
  <c r="DX5" i="8383"/>
  <c r="DX4" i="8383"/>
  <c r="DX3" i="8383"/>
  <c r="DX2" i="8383"/>
  <c r="DP2" i="8383" a="1"/>
  <c r="DP2" i="8383" s="1"/>
  <c r="DO6" i="8383"/>
  <c r="DO5" i="8383"/>
  <c r="DO4" i="8383"/>
  <c r="DO3" i="8383"/>
  <c r="DO2" i="8383"/>
  <c r="DN6" i="8383"/>
  <c r="DN5" i="8383"/>
  <c r="DN4" i="8383"/>
  <c r="DN3" i="8383"/>
  <c r="DN2" i="8383"/>
  <c r="DF2" i="8383" a="1"/>
  <c r="DF2" i="8383" s="1"/>
  <c r="DE6" i="8383"/>
  <c r="DE5" i="8383"/>
  <c r="DE4" i="8383"/>
  <c r="DE3" i="8383"/>
  <c r="DE2" i="8383"/>
  <c r="DD6" i="8383"/>
  <c r="DD5" i="8383"/>
  <c r="DD4" i="8383"/>
  <c r="DD3" i="8383"/>
  <c r="DD2" i="8383"/>
  <c r="CV2" i="8383" a="1"/>
  <c r="CV2" i="8383" s="1"/>
  <c r="CU6" i="8383"/>
  <c r="CU5" i="8383"/>
  <c r="CU4" i="8383"/>
  <c r="CU3" i="8383"/>
  <c r="CU2" i="8383"/>
  <c r="CT6" i="8383"/>
  <c r="CT5" i="8383"/>
  <c r="CT4" i="8383"/>
  <c r="CT3" i="8383"/>
  <c r="CT2" i="8383"/>
  <c r="CL2" i="8383" a="1"/>
  <c r="CL2" i="8383" s="1"/>
  <c r="CK6" i="8383"/>
  <c r="CK5" i="8383"/>
  <c r="CK4" i="8383"/>
  <c r="CK3" i="8383"/>
  <c r="CK2" i="8383"/>
  <c r="CJ6" i="8383"/>
  <c r="CJ5" i="8383"/>
  <c r="CJ4" i="8383"/>
  <c r="CJ3" i="8383"/>
  <c r="CJ2" i="8383"/>
  <c r="CB2" i="8383" a="1"/>
  <c r="CB2" i="8383" s="1"/>
  <c r="CA6" i="8383"/>
  <c r="CA5" i="8383"/>
  <c r="CA4" i="8383"/>
  <c r="CA3" i="8383"/>
  <c r="CA2" i="8383"/>
  <c r="BZ6" i="8383"/>
  <c r="BZ5" i="8383"/>
  <c r="BZ4" i="8383"/>
  <c r="BZ3" i="8383"/>
  <c r="BZ2" i="8383"/>
  <c r="BR2" i="8383" a="1"/>
  <c r="BR2" i="8383" s="1"/>
  <c r="BQ6" i="8383"/>
  <c r="BQ5" i="8383"/>
  <c r="BQ4" i="8383"/>
  <c r="BQ3" i="8383"/>
  <c r="BQ2" i="8383"/>
  <c r="BP6" i="8383"/>
  <c r="BP5" i="8383"/>
  <c r="BP4" i="8383"/>
  <c r="BP3" i="8383"/>
  <c r="BP2" i="8383"/>
  <c r="BH2" i="8383" a="1"/>
  <c r="BH2" i="8383" s="1"/>
  <c r="BG6" i="8383"/>
  <c r="BG5" i="8383"/>
  <c r="BG4" i="8383"/>
  <c r="BG3" i="8383"/>
  <c r="BG2" i="8383"/>
  <c r="BF6" i="8383"/>
  <c r="BF5" i="8383"/>
  <c r="BF4" i="8383"/>
  <c r="BF3" i="8383"/>
  <c r="BF2" i="8383"/>
  <c r="AX2" i="8383" a="1"/>
  <c r="AX2" i="8383" s="1"/>
  <c r="AW6" i="8383"/>
  <c r="AW5" i="8383"/>
  <c r="AW4" i="8383"/>
  <c r="AW3" i="8383"/>
  <c r="AW2" i="8383"/>
  <c r="AV6" i="8383"/>
  <c r="AV5" i="8383"/>
  <c r="AV4" i="8383"/>
  <c r="AV3" i="8383"/>
  <c r="AV2" i="8383"/>
  <c r="AN2" i="8383" a="1"/>
  <c r="AN2" i="8383" s="1"/>
  <c r="AM6" i="8383"/>
  <c r="AM5" i="8383"/>
  <c r="AM4" i="8383"/>
  <c r="AM3" i="8383"/>
  <c r="AM2" i="8383"/>
  <c r="AL6" i="8383"/>
  <c r="AL5" i="8383"/>
  <c r="AL4" i="8383"/>
  <c r="AL3" i="8383"/>
  <c r="AL2" i="8383"/>
  <c r="AD2" i="8383" a="1"/>
  <c r="AD2" i="8383" s="1"/>
  <c r="AC6" i="8383"/>
  <c r="AC5" i="8383"/>
  <c r="AC4" i="8383"/>
  <c r="AC3" i="8383"/>
  <c r="AC2" i="8383"/>
  <c r="AB6" i="8383"/>
  <c r="AB5" i="8383"/>
  <c r="AB4" i="8383"/>
  <c r="AB3" i="8383"/>
  <c r="AB2" i="8383"/>
  <c r="T2" i="8383" a="1"/>
  <c r="T2" i="8383" s="1"/>
  <c r="S6" i="8383"/>
  <c r="S5" i="8383"/>
  <c r="S4" i="8383"/>
  <c r="S3" i="8383"/>
  <c r="S2" i="8383"/>
  <c r="R6" i="8383"/>
  <c r="R5" i="8383"/>
  <c r="R4" i="8383"/>
  <c r="R3" i="8383"/>
  <c r="R2" i="8383"/>
  <c r="J2" i="8383" a="1"/>
  <c r="J2" i="8383" s="1"/>
  <c r="H61" i="8383"/>
  <c r="H60" i="8383"/>
  <c r="H59" i="8383"/>
  <c r="H58" i="8383"/>
  <c r="H57" i="8383"/>
  <c r="H56" i="8383"/>
  <c r="H55" i="8383"/>
  <c r="H54" i="8383"/>
  <c r="H53" i="8383"/>
  <c r="H52" i="8383"/>
  <c r="H51" i="8383"/>
  <c r="H50" i="8383"/>
  <c r="H49" i="8383"/>
  <c r="H48" i="8383"/>
  <c r="H47" i="8383"/>
  <c r="H46" i="8383"/>
  <c r="H45" i="8383"/>
  <c r="H44" i="8383"/>
  <c r="H43" i="8383"/>
  <c r="H42" i="8383"/>
  <c r="H41" i="8383"/>
  <c r="H40" i="8383"/>
  <c r="H39" i="8383"/>
  <c r="H38" i="8383"/>
  <c r="H37" i="8383"/>
  <c r="H36" i="8383"/>
  <c r="H35" i="8383"/>
  <c r="H34" i="8383"/>
  <c r="H33" i="8383"/>
  <c r="H32" i="8383"/>
  <c r="H31" i="8383"/>
  <c r="H30" i="8383"/>
  <c r="H29" i="8383"/>
  <c r="H28" i="8383"/>
  <c r="H27" i="8383"/>
  <c r="H26" i="8383"/>
  <c r="H25" i="8383"/>
  <c r="H24" i="8383"/>
  <c r="H23" i="8383"/>
  <c r="H22" i="8383"/>
  <c r="H21" i="8383"/>
  <c r="H20" i="8383"/>
  <c r="H19" i="8383"/>
  <c r="H18" i="8383"/>
  <c r="H17" i="8383"/>
  <c r="H16" i="8383"/>
  <c r="H15" i="8383"/>
  <c r="H14" i="8383"/>
  <c r="H13" i="8383"/>
  <c r="H12" i="8383"/>
  <c r="H11" i="8383"/>
  <c r="H10" i="8383"/>
  <c r="H9" i="8383"/>
  <c r="H8" i="8383"/>
  <c r="H7" i="8383"/>
  <c r="H6" i="8383"/>
  <c r="H5" i="8383"/>
  <c r="H4" i="8383"/>
  <c r="H3" i="8383"/>
  <c r="H2" i="8383"/>
  <c r="I1" i="8382"/>
  <c r="DY6" i="8382"/>
  <c r="DY5" i="8382"/>
  <c r="DY4" i="8382"/>
  <c r="DY3" i="8382"/>
  <c r="DY2" i="8382"/>
  <c r="DX6" i="8382"/>
  <c r="DX5" i="8382"/>
  <c r="DX4" i="8382"/>
  <c r="DX3" i="8382"/>
  <c r="DX2" i="8382"/>
  <c r="DP2" i="8382" a="1"/>
  <c r="DP2" i="8382" s="1"/>
  <c r="DO6" i="8382"/>
  <c r="DO5" i="8382"/>
  <c r="DO4" i="8382"/>
  <c r="DO3" i="8382"/>
  <c r="DO2" i="8382"/>
  <c r="DN6" i="8382"/>
  <c r="DN5" i="8382"/>
  <c r="DN4" i="8382"/>
  <c r="DN3" i="8382"/>
  <c r="DN2" i="8382"/>
  <c r="DF2" i="8382" a="1"/>
  <c r="DF2" i="8382" s="1"/>
  <c r="DE6" i="8382"/>
  <c r="DE5" i="8382"/>
  <c r="DE4" i="8382"/>
  <c r="DE3" i="8382"/>
  <c r="DE2" i="8382"/>
  <c r="DD6" i="8382"/>
  <c r="DD5" i="8382"/>
  <c r="DD4" i="8382"/>
  <c r="DD3" i="8382"/>
  <c r="DD2" i="8382"/>
  <c r="CV2" i="8382" a="1"/>
  <c r="CV2" i="8382" s="1"/>
  <c r="CU6" i="8382"/>
  <c r="CU5" i="8382"/>
  <c r="CU4" i="8382"/>
  <c r="CU3" i="8382"/>
  <c r="CU2" i="8382"/>
  <c r="CT6" i="8382"/>
  <c r="CT5" i="8382"/>
  <c r="CT4" i="8382"/>
  <c r="CT3" i="8382"/>
  <c r="CT2" i="8382"/>
  <c r="CL2" i="8382" a="1"/>
  <c r="CL2" i="8382" s="1"/>
  <c r="CK6" i="8382"/>
  <c r="CK5" i="8382"/>
  <c r="CK4" i="8382"/>
  <c r="CK3" i="8382"/>
  <c r="CK2" i="8382"/>
  <c r="CJ6" i="8382"/>
  <c r="CJ5" i="8382"/>
  <c r="CJ4" i="8382"/>
  <c r="CJ3" i="8382"/>
  <c r="CJ2" i="8382"/>
  <c r="CB2" i="8382" a="1"/>
  <c r="CB2" i="8382" s="1"/>
  <c r="CA6" i="8382"/>
  <c r="CA5" i="8382"/>
  <c r="CA4" i="8382"/>
  <c r="CA3" i="8382"/>
  <c r="CA2" i="8382"/>
  <c r="BZ6" i="8382"/>
  <c r="BZ5" i="8382"/>
  <c r="BZ4" i="8382"/>
  <c r="BZ3" i="8382"/>
  <c r="BZ2" i="8382"/>
  <c r="BR2" i="8382" a="1"/>
  <c r="BR2" i="8382" s="1"/>
  <c r="BQ6" i="8382"/>
  <c r="BQ5" i="8382"/>
  <c r="BQ4" i="8382"/>
  <c r="BQ3" i="8382"/>
  <c r="BQ2" i="8382"/>
  <c r="BP6" i="8382"/>
  <c r="BP5" i="8382"/>
  <c r="BP4" i="8382"/>
  <c r="BP3" i="8382"/>
  <c r="BP2" i="8382"/>
  <c r="BH2" i="8382" a="1"/>
  <c r="BH2" i="8382" s="1"/>
  <c r="BG6" i="8382"/>
  <c r="BG5" i="8382"/>
  <c r="BG4" i="8382"/>
  <c r="BG3" i="8382"/>
  <c r="BG2" i="8382"/>
  <c r="BF6" i="8382"/>
  <c r="BF5" i="8382"/>
  <c r="BF4" i="8382"/>
  <c r="BF3" i="8382"/>
  <c r="BF2" i="8382"/>
  <c r="AX2" i="8382" a="1"/>
  <c r="AX2" i="8382" s="1"/>
  <c r="AW6" i="8382"/>
  <c r="AW5" i="8382"/>
  <c r="AW4" i="8382"/>
  <c r="AW3" i="8382"/>
  <c r="AW2" i="8382"/>
  <c r="AV6" i="8382"/>
  <c r="AV5" i="8382"/>
  <c r="AV4" i="8382"/>
  <c r="AV3" i="8382"/>
  <c r="AV2" i="8382"/>
  <c r="AN2" i="8382" a="1"/>
  <c r="AN2" i="8382" s="1"/>
  <c r="AM6" i="8382"/>
  <c r="AM5" i="8382"/>
  <c r="AM4" i="8382"/>
  <c r="AM3" i="8382"/>
  <c r="AM2" i="8382"/>
  <c r="AL6" i="8382"/>
  <c r="AL5" i="8382"/>
  <c r="AL4" i="8382"/>
  <c r="AL3" i="8382"/>
  <c r="AL2" i="8382"/>
  <c r="AD2" i="8382" a="1"/>
  <c r="AD2" i="8382" s="1"/>
  <c r="AC6" i="8382"/>
  <c r="AC5" i="8382"/>
  <c r="AC4" i="8382"/>
  <c r="AC3" i="8382"/>
  <c r="AC2" i="8382"/>
  <c r="AB6" i="8382"/>
  <c r="AB5" i="8382"/>
  <c r="AB4" i="8382"/>
  <c r="AB3" i="8382"/>
  <c r="AB2" i="8382"/>
  <c r="T2" i="8382" a="1"/>
  <c r="T2" i="8382" s="1"/>
  <c r="S6" i="8382"/>
  <c r="S5" i="8382"/>
  <c r="S4" i="8382"/>
  <c r="S3" i="8382"/>
  <c r="S2" i="8382"/>
  <c r="R6" i="8382"/>
  <c r="R5" i="8382"/>
  <c r="R4" i="8382"/>
  <c r="R3" i="8382"/>
  <c r="R2" i="8382"/>
  <c r="J2" i="8382" a="1"/>
  <c r="J2" i="8382" s="1"/>
  <c r="H61" i="8382"/>
  <c r="H60" i="8382"/>
  <c r="H59" i="8382"/>
  <c r="H58" i="8382"/>
  <c r="H57" i="8382"/>
  <c r="H56" i="8382"/>
  <c r="H55" i="8382"/>
  <c r="H54" i="8382"/>
  <c r="H53" i="8382"/>
  <c r="H52" i="8382"/>
  <c r="H51" i="8382"/>
  <c r="H50" i="8382"/>
  <c r="H49" i="8382"/>
  <c r="H48" i="8382"/>
  <c r="H47" i="8382"/>
  <c r="H46" i="8382"/>
  <c r="H45" i="8382"/>
  <c r="H44" i="8382"/>
  <c r="H43" i="8382"/>
  <c r="H42" i="8382"/>
  <c r="H41" i="8382"/>
  <c r="H40" i="8382"/>
  <c r="H39" i="8382"/>
  <c r="H38" i="8382"/>
  <c r="H37" i="8382"/>
  <c r="H36" i="8382"/>
  <c r="H35" i="8382"/>
  <c r="H34" i="8382"/>
  <c r="H33" i="8382"/>
  <c r="H32" i="8382"/>
  <c r="H31" i="8382"/>
  <c r="H30" i="8382"/>
  <c r="H29" i="8382"/>
  <c r="H28" i="8382"/>
  <c r="H27" i="8382"/>
  <c r="H26" i="8382"/>
  <c r="H25" i="8382"/>
  <c r="H24" i="8382"/>
  <c r="H23" i="8382"/>
  <c r="H22" i="8382"/>
  <c r="H21" i="8382"/>
  <c r="H20" i="8382"/>
  <c r="H19" i="8382"/>
  <c r="H18" i="8382"/>
  <c r="H17" i="8382"/>
  <c r="H16" i="8382"/>
  <c r="H15" i="8382"/>
  <c r="H14" i="8382"/>
  <c r="H13" i="8382"/>
  <c r="H12" i="8382"/>
  <c r="H11" i="8382"/>
  <c r="H10" i="8382"/>
  <c r="H9" i="8382"/>
  <c r="H8" i="8382"/>
  <c r="H7" i="8382"/>
  <c r="H6" i="8382"/>
  <c r="H5" i="8382"/>
  <c r="H4" i="8382"/>
  <c r="H3" i="8382"/>
  <c r="H2" i="8382"/>
  <c r="I1" i="8381"/>
  <c r="DY6" i="8381"/>
  <c r="DY5" i="8381"/>
  <c r="DY4" i="8381"/>
  <c r="DY3" i="8381"/>
  <c r="DY2" i="8381"/>
  <c r="DX6" i="8381"/>
  <c r="DX5" i="8381"/>
  <c r="DX4" i="8381"/>
  <c r="DX3" i="8381"/>
  <c r="DX2" i="8381"/>
  <c r="DP2" i="8381" a="1"/>
  <c r="DP2" i="8381" s="1"/>
  <c r="DO6" i="8381"/>
  <c r="DO5" i="8381"/>
  <c r="DO4" i="8381"/>
  <c r="DO3" i="8381"/>
  <c r="DO2" i="8381"/>
  <c r="DN6" i="8381"/>
  <c r="DN5" i="8381"/>
  <c r="DN4" i="8381"/>
  <c r="DN3" i="8381"/>
  <c r="DN2" i="8381"/>
  <c r="DF2" i="8381" a="1"/>
  <c r="DF2" i="8381" s="1"/>
  <c r="DE6" i="8381"/>
  <c r="DE5" i="8381"/>
  <c r="DE4" i="8381"/>
  <c r="DE3" i="8381"/>
  <c r="DE2" i="8381"/>
  <c r="DD6" i="8381"/>
  <c r="DD5" i="8381"/>
  <c r="DD4" i="8381"/>
  <c r="DD3" i="8381"/>
  <c r="DD2" i="8381"/>
  <c r="CV2" i="8381" a="1"/>
  <c r="CV2" i="8381" s="1"/>
  <c r="CU6" i="8381"/>
  <c r="CU5" i="8381"/>
  <c r="CU4" i="8381"/>
  <c r="CU3" i="8381"/>
  <c r="CU2" i="8381"/>
  <c r="CT6" i="8381"/>
  <c r="CT5" i="8381"/>
  <c r="CT4" i="8381"/>
  <c r="CT3" i="8381"/>
  <c r="CT2" i="8381"/>
  <c r="CL2" i="8381" a="1"/>
  <c r="CL2" i="8381" s="1"/>
  <c r="CK6" i="8381"/>
  <c r="CK5" i="8381"/>
  <c r="CK4" i="8381"/>
  <c r="CK3" i="8381"/>
  <c r="CK2" i="8381"/>
  <c r="CJ6" i="8381"/>
  <c r="CJ5" i="8381"/>
  <c r="CJ4" i="8381"/>
  <c r="CJ3" i="8381"/>
  <c r="CJ2" i="8381"/>
  <c r="CB2" i="8381" a="1"/>
  <c r="CB2" i="8381" s="1"/>
  <c r="CA6" i="8381"/>
  <c r="CA5" i="8381"/>
  <c r="CA4" i="8381"/>
  <c r="CA3" i="8381"/>
  <c r="CA2" i="8381"/>
  <c r="BZ6" i="8381"/>
  <c r="BZ5" i="8381"/>
  <c r="BZ4" i="8381"/>
  <c r="BZ3" i="8381"/>
  <c r="BZ2" i="8381"/>
  <c r="BR2" i="8381" a="1"/>
  <c r="BR2" i="8381" s="1"/>
  <c r="BQ6" i="8381"/>
  <c r="BQ5" i="8381"/>
  <c r="BQ4" i="8381"/>
  <c r="BQ3" i="8381"/>
  <c r="BQ2" i="8381"/>
  <c r="BP6" i="8381"/>
  <c r="BP5" i="8381"/>
  <c r="BP4" i="8381"/>
  <c r="BP3" i="8381"/>
  <c r="BP2" i="8381"/>
  <c r="BH2" i="8381" a="1"/>
  <c r="BH2" i="8381" s="1"/>
  <c r="BG6" i="8381"/>
  <c r="BG5" i="8381"/>
  <c r="BG4" i="8381"/>
  <c r="BG3" i="8381"/>
  <c r="BG2" i="8381"/>
  <c r="BF6" i="8381"/>
  <c r="BF5" i="8381"/>
  <c r="BF4" i="8381"/>
  <c r="BF3" i="8381"/>
  <c r="BF2" i="8381"/>
  <c r="AX2" i="8381" a="1"/>
  <c r="AX2" i="8381" s="1"/>
  <c r="AW6" i="8381"/>
  <c r="AW5" i="8381"/>
  <c r="AW4" i="8381"/>
  <c r="AW3" i="8381"/>
  <c r="AW2" i="8381"/>
  <c r="AV6" i="8381"/>
  <c r="AV5" i="8381"/>
  <c r="AV4" i="8381"/>
  <c r="AV3" i="8381"/>
  <c r="AV2" i="8381"/>
  <c r="AN2" i="8381" a="1"/>
  <c r="AN2" i="8381" s="1"/>
  <c r="AM6" i="8381"/>
  <c r="AM5" i="8381"/>
  <c r="AM4" i="8381"/>
  <c r="AM3" i="8381"/>
  <c r="AM2" i="8381"/>
  <c r="AL6" i="8381"/>
  <c r="AL5" i="8381"/>
  <c r="AL4" i="8381"/>
  <c r="AL3" i="8381"/>
  <c r="AL2" i="8381"/>
  <c r="AD2" i="8381" a="1"/>
  <c r="AD2" i="8381" s="1"/>
  <c r="AC6" i="8381"/>
  <c r="AC5" i="8381"/>
  <c r="AC4" i="8381"/>
  <c r="AC3" i="8381"/>
  <c r="AC2" i="8381"/>
  <c r="AB6" i="8381"/>
  <c r="AB5" i="8381"/>
  <c r="AB4" i="8381"/>
  <c r="AB3" i="8381"/>
  <c r="AB2" i="8381"/>
  <c r="T2" i="8381" a="1"/>
  <c r="T2" i="8381" s="1"/>
  <c r="S6" i="8381"/>
  <c r="S5" i="8381"/>
  <c r="S4" i="8381"/>
  <c r="S3" i="8381"/>
  <c r="S2" i="8381"/>
  <c r="R6" i="8381"/>
  <c r="R5" i="8381"/>
  <c r="R4" i="8381"/>
  <c r="R3" i="8381"/>
  <c r="R2" i="8381"/>
  <c r="J2" i="8381" a="1"/>
  <c r="J2" i="8381" s="1"/>
  <c r="H61" i="8381"/>
  <c r="H60" i="8381"/>
  <c r="H59" i="8381"/>
  <c r="H58" i="8381"/>
  <c r="H57" i="8381"/>
  <c r="H56" i="8381"/>
  <c r="H55" i="8381"/>
  <c r="H54" i="8381"/>
  <c r="H53" i="8381"/>
  <c r="H52" i="8381"/>
  <c r="H51" i="8381"/>
  <c r="H50" i="8381"/>
  <c r="H49" i="8381"/>
  <c r="H48" i="8381"/>
  <c r="H47" i="8381"/>
  <c r="H46" i="8381"/>
  <c r="H45" i="8381"/>
  <c r="H44" i="8381"/>
  <c r="H43" i="8381"/>
  <c r="H42" i="8381"/>
  <c r="H41" i="8381"/>
  <c r="H40" i="8381"/>
  <c r="H39" i="8381"/>
  <c r="H38" i="8381"/>
  <c r="H37" i="8381"/>
  <c r="H36" i="8381"/>
  <c r="H35" i="8381"/>
  <c r="H34" i="8381"/>
  <c r="H33" i="8381"/>
  <c r="H32" i="8381"/>
  <c r="H31" i="8381"/>
  <c r="H30" i="8381"/>
  <c r="H29" i="8381"/>
  <c r="H28" i="8381"/>
  <c r="H27" i="8381"/>
  <c r="H26" i="8381"/>
  <c r="H25" i="8381"/>
  <c r="H24" i="8381"/>
  <c r="H23" i="8381"/>
  <c r="H22" i="8381"/>
  <c r="H21" i="8381"/>
  <c r="H20" i="8381"/>
  <c r="H19" i="8381"/>
  <c r="H18" i="8381"/>
  <c r="H17" i="8381"/>
  <c r="H16" i="8381"/>
  <c r="H15" i="8381"/>
  <c r="H14" i="8381"/>
  <c r="H13" i="8381"/>
  <c r="H12" i="8381"/>
  <c r="H11" i="8381"/>
  <c r="H10" i="8381"/>
  <c r="H9" i="8381"/>
  <c r="H8" i="8381"/>
  <c r="H7" i="8381"/>
  <c r="H6" i="8381"/>
  <c r="H5" i="8381"/>
  <c r="H4" i="8381"/>
  <c r="H3" i="8381"/>
  <c r="H2" i="8381"/>
  <c r="I1" i="8380"/>
  <c r="DY4" i="8380"/>
  <c r="DY3" i="8380"/>
  <c r="DY2" i="8380"/>
  <c r="DX2" i="8380"/>
  <c r="DP2" i="8380" a="1"/>
  <c r="DP2" i="8380" s="1"/>
  <c r="DO4" i="8380"/>
  <c r="DO3" i="8380"/>
  <c r="DO2" i="8380"/>
  <c r="DN2" i="8380"/>
  <c r="DF2" i="8380" a="1"/>
  <c r="DF2" i="8380" s="1"/>
  <c r="DE4" i="8380"/>
  <c r="DE3" i="8380"/>
  <c r="DE2" i="8380"/>
  <c r="DD2" i="8380"/>
  <c r="CV2" i="8380" a="1"/>
  <c r="CV2" i="8380" s="1"/>
  <c r="CU4" i="8380"/>
  <c r="CU3" i="8380"/>
  <c r="CU2" i="8380"/>
  <c r="CT2" i="8380"/>
  <c r="CL2" i="8380" a="1"/>
  <c r="CL2" i="8380" s="1"/>
  <c r="CK4" i="8380"/>
  <c r="CK3" i="8380"/>
  <c r="CK2" i="8380"/>
  <c r="CJ2" i="8380"/>
  <c r="CB2" i="8380" a="1"/>
  <c r="CB2" i="8380" s="1"/>
  <c r="CA4" i="8380"/>
  <c r="CA3" i="8380"/>
  <c r="CA2" i="8380"/>
  <c r="BZ2" i="8380"/>
  <c r="BR2" i="8380" a="1"/>
  <c r="BR2" i="8380" s="1"/>
  <c r="BQ4" i="8380"/>
  <c r="BQ3" i="8380"/>
  <c r="BQ2" i="8380"/>
  <c r="BH2" i="8380" a="1"/>
  <c r="BH2" i="8380" s="1"/>
  <c r="BG4" i="8380"/>
  <c r="BG3" i="8380"/>
  <c r="BG2" i="8380"/>
  <c r="AX2" i="8380" a="1"/>
  <c r="AX2" i="8380" s="1"/>
  <c r="AW4" i="8380"/>
  <c r="AW3" i="8380"/>
  <c r="AW2" i="8380"/>
  <c r="AN2" i="8380" a="1"/>
  <c r="AN2" i="8380" s="1"/>
  <c r="AM4" i="8380"/>
  <c r="AM3" i="8380"/>
  <c r="AM2" i="8380"/>
  <c r="AD2" i="8380" a="1"/>
  <c r="AD2" i="8380" s="1"/>
  <c r="AC4" i="8380"/>
  <c r="AC3" i="8380"/>
  <c r="AC2" i="8380"/>
  <c r="T2" i="8380" a="1"/>
  <c r="T2" i="8380" s="1"/>
  <c r="S4" i="8380"/>
  <c r="S3" i="8380"/>
  <c r="S2" i="8380"/>
  <c r="J2" i="8380" a="1"/>
  <c r="J2" i="8380" s="1"/>
  <c r="H7" i="8380"/>
  <c r="H6" i="8380"/>
  <c r="H5" i="8380"/>
  <c r="H4" i="8380"/>
  <c r="H3" i="8380"/>
  <c r="H2" i="8380"/>
  <c r="I1" i="8379"/>
  <c r="DY6" i="8379"/>
  <c r="DY5" i="8379"/>
  <c r="DY4" i="8379"/>
  <c r="DY3" i="8379"/>
  <c r="DY2" i="8379"/>
  <c r="DX6" i="8379"/>
  <c r="DX5" i="8379"/>
  <c r="DX4" i="8379"/>
  <c r="DX3" i="8379"/>
  <c r="DX2" i="8379"/>
  <c r="DP2" i="8379" a="1"/>
  <c r="DP2" i="8379" s="1"/>
  <c r="DO6" i="8379"/>
  <c r="DO5" i="8379"/>
  <c r="DO4" i="8379"/>
  <c r="DO3" i="8379"/>
  <c r="DO2" i="8379"/>
  <c r="DN6" i="8379"/>
  <c r="DN5" i="8379"/>
  <c r="DN4" i="8379"/>
  <c r="DN3" i="8379"/>
  <c r="DN2" i="8379"/>
  <c r="DF2" i="8379" a="1"/>
  <c r="DF2" i="8379" s="1"/>
  <c r="DE6" i="8379"/>
  <c r="DE5" i="8379"/>
  <c r="DE4" i="8379"/>
  <c r="DE3" i="8379"/>
  <c r="DE2" i="8379"/>
  <c r="DD6" i="8379"/>
  <c r="DD5" i="8379"/>
  <c r="DD4" i="8379"/>
  <c r="DD3" i="8379"/>
  <c r="DD2" i="8379"/>
  <c r="CV2" i="8379" a="1"/>
  <c r="CV2" i="8379" s="1"/>
  <c r="CU6" i="8379"/>
  <c r="CU5" i="8379"/>
  <c r="CU4" i="8379"/>
  <c r="CU3" i="8379"/>
  <c r="CU2" i="8379"/>
  <c r="CT6" i="8379"/>
  <c r="CT5" i="8379"/>
  <c r="CT4" i="8379"/>
  <c r="CT3" i="8379"/>
  <c r="CT2" i="8379"/>
  <c r="CL2" i="8379" a="1"/>
  <c r="CL2" i="8379" s="1"/>
  <c r="CK6" i="8379"/>
  <c r="CK5" i="8379"/>
  <c r="CK4" i="8379"/>
  <c r="CK3" i="8379"/>
  <c r="CK2" i="8379"/>
  <c r="CJ6" i="8379"/>
  <c r="CJ5" i="8379"/>
  <c r="CJ4" i="8379"/>
  <c r="CJ3" i="8379"/>
  <c r="CJ2" i="8379"/>
  <c r="CB2" i="8379" a="1"/>
  <c r="CB2" i="8379" s="1"/>
  <c r="CA6" i="8379"/>
  <c r="CA5" i="8379"/>
  <c r="CA4" i="8379"/>
  <c r="CA3" i="8379"/>
  <c r="CA2" i="8379"/>
  <c r="BZ6" i="8379"/>
  <c r="BZ5" i="8379"/>
  <c r="BZ4" i="8379"/>
  <c r="BZ3" i="8379"/>
  <c r="BZ2" i="8379"/>
  <c r="BR2" i="8379" a="1"/>
  <c r="BR2" i="8379" s="1"/>
  <c r="BQ6" i="8379"/>
  <c r="BQ5" i="8379"/>
  <c r="BQ4" i="8379"/>
  <c r="BQ3" i="8379"/>
  <c r="BQ2" i="8379"/>
  <c r="BP6" i="8379"/>
  <c r="BP5" i="8379"/>
  <c r="BP4" i="8379"/>
  <c r="BP3" i="8379"/>
  <c r="BP2" i="8379"/>
  <c r="BH2" i="8379" a="1"/>
  <c r="BH2" i="8379" s="1"/>
  <c r="BG6" i="8379"/>
  <c r="BG5" i="8379"/>
  <c r="BG4" i="8379"/>
  <c r="BG3" i="8379"/>
  <c r="BG2" i="8379"/>
  <c r="BF6" i="8379"/>
  <c r="BF5" i="8379"/>
  <c r="BF4" i="8379"/>
  <c r="BF3" i="8379"/>
  <c r="BF2" i="8379"/>
  <c r="AX2" i="8379" a="1"/>
  <c r="AX2" i="8379" s="1"/>
  <c r="AW6" i="8379"/>
  <c r="AW5" i="8379"/>
  <c r="AW4" i="8379"/>
  <c r="AW3" i="8379"/>
  <c r="AW2" i="8379"/>
  <c r="AV6" i="8379"/>
  <c r="AV5" i="8379"/>
  <c r="AV4" i="8379"/>
  <c r="AV3" i="8379"/>
  <c r="AV2" i="8379"/>
  <c r="AN2" i="8379" a="1"/>
  <c r="AN2" i="8379" s="1"/>
  <c r="AM6" i="8379"/>
  <c r="AM5" i="8379"/>
  <c r="AM4" i="8379"/>
  <c r="AM3" i="8379"/>
  <c r="AM2" i="8379"/>
  <c r="AL6" i="8379"/>
  <c r="AL5" i="8379"/>
  <c r="AL4" i="8379"/>
  <c r="AL3" i="8379"/>
  <c r="AL2" i="8379"/>
  <c r="AD2" i="8379" a="1"/>
  <c r="AD2" i="8379" s="1"/>
  <c r="AC6" i="8379"/>
  <c r="AC5" i="8379"/>
  <c r="AC4" i="8379"/>
  <c r="AC3" i="8379"/>
  <c r="AC2" i="8379"/>
  <c r="AB6" i="8379"/>
  <c r="AB5" i="8379"/>
  <c r="AB4" i="8379"/>
  <c r="AB3" i="8379"/>
  <c r="AB2" i="8379"/>
  <c r="T2" i="8379" a="1"/>
  <c r="T2" i="8379" s="1"/>
  <c r="S6" i="8379"/>
  <c r="S5" i="8379"/>
  <c r="S4" i="8379"/>
  <c r="S3" i="8379"/>
  <c r="S2" i="8379"/>
  <c r="R6" i="8379"/>
  <c r="R5" i="8379"/>
  <c r="R4" i="8379"/>
  <c r="R3" i="8379"/>
  <c r="R2" i="8379"/>
  <c r="J2" i="8379" a="1"/>
  <c r="J2" i="8379" s="1"/>
  <c r="H61" i="8379"/>
  <c r="H60" i="8379"/>
  <c r="H59" i="8379"/>
  <c r="H58" i="8379"/>
  <c r="H57" i="8379"/>
  <c r="H56" i="8379"/>
  <c r="H55" i="8379"/>
  <c r="H54" i="8379"/>
  <c r="H53" i="8379"/>
  <c r="H52" i="8379"/>
  <c r="H51" i="8379"/>
  <c r="H50" i="8379"/>
  <c r="H49" i="8379"/>
  <c r="H48" i="8379"/>
  <c r="H47" i="8379"/>
  <c r="H46" i="8379"/>
  <c r="H45" i="8379"/>
  <c r="H44" i="8379"/>
  <c r="H43" i="8379"/>
  <c r="H42" i="8379"/>
  <c r="H41" i="8379"/>
  <c r="H40" i="8379"/>
  <c r="H39" i="8379"/>
  <c r="H38" i="8379"/>
  <c r="H37" i="8379"/>
  <c r="H36" i="8379"/>
  <c r="H35" i="8379"/>
  <c r="H34" i="8379"/>
  <c r="H33" i="8379"/>
  <c r="H32" i="8379"/>
  <c r="H31" i="8379"/>
  <c r="H30" i="8379"/>
  <c r="H29" i="8379"/>
  <c r="H28" i="8379"/>
  <c r="H27" i="8379"/>
  <c r="H26" i="8379"/>
  <c r="H25" i="8379"/>
  <c r="H24" i="8379"/>
  <c r="H23" i="8379"/>
  <c r="H22" i="8379"/>
  <c r="H21" i="8379"/>
  <c r="H20" i="8379"/>
  <c r="H19" i="8379"/>
  <c r="H18" i="8379"/>
  <c r="H17" i="8379"/>
  <c r="H16" i="8379"/>
  <c r="H15" i="8379"/>
  <c r="H14" i="8379"/>
  <c r="H13" i="8379"/>
  <c r="H12" i="8379"/>
  <c r="H11" i="8379"/>
  <c r="H10" i="8379"/>
  <c r="H9" i="8379"/>
  <c r="H8" i="8379"/>
  <c r="H7" i="8379"/>
  <c r="H6" i="8379"/>
  <c r="H5" i="8379"/>
  <c r="H4" i="8379"/>
  <c r="H3" i="8379"/>
  <c r="H2" i="837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<sst xmlns="http://schemas.openxmlformats.org/spreadsheetml/2006/main" count="313" uniqueCount="61">
  <si>
    <t>Date</t>
  </si>
  <si>
    <t>Open</t>
  </si>
  <si>
    <t>High</t>
  </si>
  <si>
    <t>Low</t>
  </si>
  <si>
    <t>Close</t>
  </si>
  <si>
    <t>AdjClose</t>
  </si>
  <si>
    <t>Volume</t>
  </si>
  <si>
    <t>コード</t>
  </si>
  <si>
    <t>会社名</t>
  </si>
  <si>
    <t>URL</t>
  </si>
  <si>
    <t>株主優待</t>
  </si>
  <si>
    <t>データシート</t>
  </si>
  <si>
    <t>1月勝率(%)</t>
  </si>
  <si>
    <t>2月勝率(%)</t>
  </si>
  <si>
    <t>3月勝率(%)</t>
  </si>
  <si>
    <t>4月勝率(%)</t>
  </si>
  <si>
    <t>5月勝率(%)</t>
  </si>
  <si>
    <t>6月勝率(%)</t>
  </si>
  <si>
    <t>7月勝率(%)</t>
  </si>
  <si>
    <t>8月勝率(%)</t>
  </si>
  <si>
    <t>9月勝率(%)</t>
  </si>
  <si>
    <t>10月勝率(%)</t>
  </si>
  <si>
    <t>11月勝率(%)</t>
  </si>
  <si>
    <t>12月勝率(%)</t>
  </si>
  <si>
    <t>光世証券</t>
  </si>
  <si>
    <t>岡三証券グループ</t>
  </si>
  <si>
    <t>福島銀行</t>
  </si>
  <si>
    <t>東建コーポレーション</t>
  </si>
  <si>
    <t>オーエス</t>
  </si>
  <si>
    <t>きんえい</t>
  </si>
  <si>
    <t>スバル興業</t>
  </si>
  <si>
    <t>東京楽天地</t>
  </si>
  <si>
    <t>トーホー</t>
  </si>
  <si>
    <t>菱洋エレクトロ</t>
  </si>
  <si>
    <t>ナイガイ</t>
  </si>
  <si>
    <t>ダブルエー</t>
  </si>
  <si>
    <t>ＮＡＴＴＹ</t>
  </si>
  <si>
    <t>オーエムツー</t>
  </si>
  <si>
    <t>タカショー</t>
  </si>
  <si>
    <t>不二電機工業</t>
  </si>
  <si>
    <t>ネオジャパン</t>
  </si>
  <si>
    <t>いちごホテル</t>
  </si>
  <si>
    <t>ヘルスケアＭ</t>
  </si>
  <si>
    <t>稲葉製作所</t>
  </si>
  <si>
    <t>バルニバービ</t>
  </si>
  <si>
    <t>ＴＯＫＹＯ　ＢＡＳＥ</t>
  </si>
  <si>
    <t>丸千代山岡家</t>
  </si>
  <si>
    <t>クロスプラス</t>
  </si>
  <si>
    <t>ケネディレジ</t>
  </si>
  <si>
    <t>コーセーアールイー</t>
  </si>
  <si>
    <t>鳥貴族ホールディングス</t>
  </si>
  <si>
    <t>ミサワ</t>
  </si>
  <si>
    <t>ストリーム</t>
  </si>
  <si>
    <t>アマガサ</t>
  </si>
  <si>
    <t>ゼットン</t>
  </si>
  <si>
    <t>ＤｙＤｏ</t>
  </si>
  <si>
    <t>日本駐車場開発</t>
  </si>
  <si>
    <t>ウェルネオシュガー</t>
  </si>
  <si>
    <t>積水ハウス</t>
  </si>
  <si>
    <t>ニッソウ</t>
  </si>
  <si>
    <t>ベステラ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</si>
</sst>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"/>
    <numFmt numFmtId="177" formatCode="0.0"/>
  </numFmts>
  <fonts count="3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name val="Yu Gothic"/>
      <family val="2"/>
      <scheme val="minor"/>
    </font>
    <font>
      <u/>
      <sz val="11"/>
      <color theme="10"/>
      <name val="Yu Gothic"/>
      <family val="2"/>
      <scheme val="minor"/>
    </font>
    <font>
      <sz val="11"/>
      <name val="Yu Gothic"/>
      <family val="2"/>
      <charset val="128"/>
      <scheme val="minor"/>
    </font>
    <font>
      <sz val="11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4">
    <xf numFmtId="0" fontId="0" fillId="0" borderId="0"/>
    <xf numFmtId="0" fontId="31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38" fontId="3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35" fillId="0" borderId="0" applyNumberFormat="0" applyFill="0" applyBorder="0" applyAlignment="0" applyProtection="0"/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0">
    <xf numFmtId="0" fontId="0" fillId="0" borderId="0" xfId="0"/>
    <xf numFmtId="38" fontId="34" fillId="0" borderId="0" xfId="14" applyFont="1" applyFill="1" applyAlignment="1"/>
    <xf numFmtId="0" fontId="35" fillId="0" borderId="0" xfId="21" applyFill="1"/>
    <xf numFmtId="0" fontId="35" fillId="0" borderId="0" xfId="21" applyAlignment="1">
      <alignment vertical="center"/>
    </xf>
    <xf numFmtId="0" fontId="34" fillId="0" borderId="0" xfId="0" applyFont="1"/>
    <xf numFmtId="0" fontId="10" fillId="0" borderId="0" xfId="9" applyFont="1">
      <alignment vertical="center"/>
    </xf>
    <xf numFmtId="177" fontId="34" fillId="0" borderId="0" xfId="0" applyNumberFormat="1" applyFont="1"/>
    <xf numFmtId="0" fontId="37" fillId="0" borderId="0" xfId="0" applyFont="1"/>
    <xf numFmtId="0" fontId="37" fillId="0" borderId="0" xfId="9" applyFont="1">
      <alignment vertical="center"/>
    </xf>
    <xf numFmtId="177" fontId="37" fillId="0" borderId="0" xfId="0" applyNumberFormat="1" applyFont="1"/>
    <xf numFmtId="0" fontId="23" fillId="0" borderId="0" xfId="9">
      <alignment vertical="center"/>
    </xf>
    <xf numFmtId="0" fontId="36" fillId="0" borderId="0" xfId="9" applyFont="1">
      <alignment vertical="center"/>
    </xf>
    <xf numFmtId="0" fontId="35" fillId="0" borderId="0" xfId="21"/>
    <xf numFmtId="177" fontId="35" fillId="0" borderId="0" xfId="21" applyNumberFormat="1"/>
    <xf numFmtId="177" fontId="37" fillId="0" borderId="0" xfId="14" applyNumberFormat="1" applyFont="1" applyFill="1" applyAlignment="1"/>
    <xf numFmtId="177" fontId="34" fillId="0" borderId="0" xfId="14" applyNumberFormat="1" applyFont="1" applyFill="1" applyAlignment="1"/>
    <xf numFmtId="0" fontId="1" fillId="0" borderId="0" xfId="33">
      <alignment vertical="center"/>
    </xf>
    <xf numFmtId="22" fontId="1" fillId="0" borderId="0" xfId="33" applyNumberFormat="1">
      <alignment vertical="center"/>
    </xf>
    <xf numFmtId="176" fontId="1" fillId="0" borderId="0" xfId="33" applyNumberFormat="1">
      <alignment vertical="center"/>
    </xf>
    <xf numFmtId="177" fontId="1" fillId="0" borderId="0" xfId="33" applyNumberFormat="1">
      <alignment vertical="center"/>
    </xf>
  </cellXfs>
  <cellStyles count="34">
    <cellStyle name="ハイパーリンク" xfId="21" builtinId="8"/>
    <cellStyle name="桁区切り" xfId="14" builtinId="6"/>
    <cellStyle name="標準" xfId="0" builtinId="0"/>
    <cellStyle name="標準 10" xfId="9" xr:uid="{6C478EF4-7BEC-4609-BAB3-327384C23F7A}"/>
    <cellStyle name="標準 11" xfId="10" xr:uid="{2CC67B5E-CD9D-4AE4-8C16-382F2E298707}"/>
    <cellStyle name="標準 12" xfId="11" xr:uid="{C765F824-2B46-4FA9-8EF0-4CBF2FA72045}"/>
    <cellStyle name="標準 13" xfId="12" xr:uid="{45A42607-0244-4D64-97A3-2F028B0F61A2}"/>
    <cellStyle name="標準 14" xfId="13" xr:uid="{EE69A9AE-6AB8-4A56-A41D-CAD8CABBB762}"/>
    <cellStyle name="標準 15" xfId="15" xr:uid="{3D983DA9-EC19-4784-BD08-0421BE47D0B2}"/>
    <cellStyle name="標準 16" xfId="16" xr:uid="{F533D32E-ED66-4AE9-99A8-C13BF91A15D4}"/>
    <cellStyle name="標準 17" xfId="17" xr:uid="{657B1FB5-799A-462E-A04D-418FD95F340E}"/>
    <cellStyle name="標準 18" xfId="18" xr:uid="{C0A0F67C-57C7-44DE-BC51-DF888ED54B22}"/>
    <cellStyle name="標準 19" xfId="19" xr:uid="{69978E94-66DD-4D7B-8347-34AD1BB1A4B9}"/>
    <cellStyle name="標準 2" xfId="1" xr:uid="{26A915CD-0991-4184-8A0B-42EECF4A1942}"/>
    <cellStyle name="標準 20" xfId="20" xr:uid="{0EF45E7F-4A02-48D1-B630-99DF9DB3B2FC}"/>
    <cellStyle name="標準 21" xfId="22" xr:uid="{7C814AA8-F284-49F5-83D6-4B1EBA24A12A}"/>
    <cellStyle name="標準 22" xfId="23" xr:uid="{3BC1F5BF-5FD2-4F15-A109-EA8056D63CB6}"/>
    <cellStyle name="標準 23" xfId="24" xr:uid="{26976DC6-0DC9-4464-B8D8-E9D5D35C1BAC}"/>
    <cellStyle name="標準 24" xfId="25" xr:uid="{A0936ECC-5DF6-480C-BEDA-2CBBAD46BCAA}"/>
    <cellStyle name="標準 25" xfId="26" xr:uid="{C4BDF952-EEE8-45FF-9D61-AE8435D86A58}"/>
    <cellStyle name="標準 26" xfId="27" xr:uid="{A7866CB0-170B-4A43-AB27-8FB9D63B5FCF}"/>
    <cellStyle name="標準 27" xfId="28" xr:uid="{6D724CE9-A353-4FBF-B8B5-042DC4EA2228}"/>
    <cellStyle name="標準 28" xfId="29" xr:uid="{37B9E10A-8BEE-4F77-9DFB-6EB011AC1918}"/>
    <cellStyle name="標準 29" xfId="30" xr:uid="{E4621D06-64C1-4C31-A292-B8C448B370BC}"/>
    <cellStyle name="標準 3" xfId="2" xr:uid="{51792D4F-C3DE-4272-B3B9-0AE79B7FBA0B}"/>
    <cellStyle name="標準 30" xfId="31" xr:uid="{094B921A-CC86-4351-AAF2-637C8CB2560B}"/>
    <cellStyle name="標準 31" xfId="32" xr:uid="{08E94864-EE6F-4BB9-B41A-D8B6F8F1BE1B}"/>
    <cellStyle name="標準 32" xfId="33" xr:uid="{6441D2EB-7F99-411D-BEF7-B7ECDBF89427}"/>
    <cellStyle name="標準 4" xfId="3" xr:uid="{51A82B93-0924-4029-B1EF-B6783F66D10A}"/>
    <cellStyle name="標準 5" xfId="4" xr:uid="{AD331FF5-A25C-43BD-AF4B-7B52BD74B50F}"/>
    <cellStyle name="標準 6" xfId="5" xr:uid="{FADACB7F-B3EE-4FE2-AC8E-4663CE2A525B}"/>
    <cellStyle name="標準 7" xfId="6" xr:uid="{9FE42ABD-54FA-4315-AB9D-42345A5A826B}"/>
    <cellStyle name="標準 8" xfId="7" xr:uid="{222F7ACD-A73B-4CF2-8993-50ADFEAD8B43}"/>
    <cellStyle name="標準 9" xfId="8" xr:uid="{E4A973A5-9762-47DA-AF7C-0F89BDF7EED5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04"/>
  <sheetViews>
    <sheetView tabSelected="1" zoomScale="70" zoomScaleNormal="70" workbookViewId="0"/>
  </sheetViews>
  <sheetFormatPr defaultRowHeight="18.75"/>
  <cols>
    <col min="1" max="1" width="9" style="4"/>
    <col min="2" max="2" width="42.625" style="10" customWidth="1"/>
    <col min="3" max="3" width="40.625" style="4" customWidth="1"/>
    <col min="4" max="5" width="12.75" style="4" customWidth="1"/>
    <col min="6" max="6" width="13.625" style="4" customWidth="1"/>
    <col min="7" max="10" width="13.625" style="1" customWidth="1"/>
    <col min="11" max="17" width="13.625" style="4" customWidth="1"/>
    <col min="18" max="16384" width="9" style="4"/>
  </cols>
  <sheetData>
    <row r="1" spans="1:17">
      <c r="A1" s="4" t="s">
        <v>7</v>
      </c>
      <c r="B1" s="5" t="s">
        <v>8</v>
      </c>
      <c r="C1" s="4" t="s">
        <v>9</v>
      </c>
      <c r="D1" s="4" t="s">
        <v>10</v>
      </c>
      <c r="E1" s="6" t="s">
        <v>11</v>
      </c>
      <c r="F1" s="4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4" t="s">
        <v>17</v>
      </c>
      <c r="L1" s="4" t="s">
        <v>18</v>
      </c>
      <c r="M1" s="4" t="s">
        <v>19</v>
      </c>
      <c r="N1" s="4" t="s">
        <v>20</v>
      </c>
      <c r="O1" s="4" t="s">
        <v>21</v>
      </c>
      <c r="P1" s="4" t="s">
        <v>22</v>
      </c>
      <c r="Q1" s="4" t="s">
        <v>23</v>
      </c>
    </row>
    <row r="2" spans="1:17" s="7" customFormat="1">
      <c r="A2" s="4">
        <v>1444</v>
      </c>
      <c r="B2" s="10" t="s">
        <v>59</v>
      </c>
      <c r="C2" s="2" t="str">
        <f>HYPERLINK("https://kabutan.jp/stock/chart?code=1444")</f>
        <v>https://kabutan.jp/stock/chart?code=1444</v>
      </c>
      <c r="D2" s="12" t="str">
        <f>HYPERLINK("https://minkabu.jp/stock/1444/yutai")</f>
        <v>https://minkabu.jp/stock/1444/yutai</v>
      </c>
      <c r="E2" s="12" t="str">
        <f>HYPERLINK("#1444_data!A1")</f>
        <v>#1444_data!A1</v>
      </c>
      <c r="F2" s="6" t="e">
        <v>#DIV/0!</v>
      </c>
      <c r="G2" s="15" t="e">
        <v>#DIV/0!</v>
      </c>
      <c r="H2" s="15" t="e">
        <v>#DIV/0!</v>
      </c>
      <c r="I2" s="15" t="e">
        <v>#DIV/0!</v>
      </c>
      <c r="J2" s="15" t="e">
        <v>#DIV/0!</v>
      </c>
      <c r="K2" s="6" t="e">
        <v>#DIV/0!</v>
      </c>
      <c r="L2" s="6">
        <v>0</v>
      </c>
      <c r="M2" s="6">
        <v>0</v>
      </c>
      <c r="N2" s="6">
        <v>0</v>
      </c>
      <c r="O2" s="6">
        <v>100</v>
      </c>
      <c r="P2" s="6">
        <v>0</v>
      </c>
      <c r="Q2" s="6">
        <v>100</v>
      </c>
    </row>
    <row r="3" spans="1:17" s="7" customFormat="1">
      <c r="A3" s="4">
        <v>3071</v>
      </c>
      <c r="B3" s="10" t="s">
        <v>52</v>
      </c>
      <c r="C3" s="2" t="str">
        <f>HYPERLINK("https://kabutan.jp/stock/chart?code=3071")</f>
        <v>https://kabutan.jp/stock/chart?code=3071</v>
      </c>
      <c r="D3" s="12" t="str">
        <f>HYPERLINK("https://minkabu.jp/stock/3071/yutai")</f>
        <v>https://minkabu.jp/stock/3071/yutai</v>
      </c>
      <c r="E3" s="12" t="str">
        <f>HYPERLINK("#3071_data!A1")</f>
        <v>#3071_data!A1</v>
      </c>
      <c r="F3" s="6">
        <v>80</v>
      </c>
      <c r="G3" s="15">
        <v>40</v>
      </c>
      <c r="H3" s="15">
        <v>40</v>
      </c>
      <c r="I3" s="15">
        <v>20</v>
      </c>
      <c r="J3" s="15">
        <v>100</v>
      </c>
      <c r="K3" s="6">
        <v>20</v>
      </c>
      <c r="L3" s="6">
        <v>40</v>
      </c>
      <c r="M3" s="6">
        <v>60</v>
      </c>
      <c r="N3" s="6">
        <v>20</v>
      </c>
      <c r="O3" s="6">
        <v>20</v>
      </c>
      <c r="P3" s="6">
        <v>60</v>
      </c>
      <c r="Q3" s="6">
        <v>20</v>
      </c>
    </row>
    <row r="4" spans="1:17">
      <c r="A4" s="4">
        <v>8562</v>
      </c>
      <c r="B4" s="10" t="s">
        <v>26</v>
      </c>
      <c r="C4" s="2" t="str">
        <f>HYPERLINK("https://kabutan.jp/stock/chart?code=8562")</f>
        <v>https://kabutan.jp/stock/chart?code=8562</v>
      </c>
      <c r="D4" s="12" t="str">
        <f>HYPERLINK("https://minkabu.jp/stock/8562/yutai")</f>
        <v>https://minkabu.jp/stock/8562/yutai</v>
      </c>
      <c r="E4" s="12" t="str">
        <f>HYPERLINK("#8562_data!A1")</f>
        <v>#8562_data!A1</v>
      </c>
      <c r="F4" s="6">
        <v>75</v>
      </c>
      <c r="G4" s="15">
        <v>20</v>
      </c>
      <c r="H4" s="15">
        <v>20</v>
      </c>
      <c r="I4" s="15">
        <v>40</v>
      </c>
      <c r="J4" s="15">
        <v>40</v>
      </c>
      <c r="K4" s="6">
        <v>60</v>
      </c>
      <c r="L4" s="6">
        <v>0</v>
      </c>
      <c r="M4" s="6">
        <v>60</v>
      </c>
      <c r="N4" s="6">
        <v>80</v>
      </c>
      <c r="O4" s="6">
        <v>20</v>
      </c>
      <c r="P4" s="6">
        <v>60</v>
      </c>
      <c r="Q4" s="6">
        <v>40</v>
      </c>
    </row>
    <row r="5" spans="1:17">
      <c r="A5" s="4">
        <v>3921</v>
      </c>
      <c r="B5" s="10" t="s">
        <v>40</v>
      </c>
      <c r="C5" s="2" t="str">
        <f>HYPERLINK("https://kabutan.jp/stock/chart?code=3921")</f>
        <v>https://kabutan.jp/stock/chart?code=3921</v>
      </c>
      <c r="D5" s="12" t="str">
        <f>HYPERLINK("https://minkabu.jp/stock/3921/yutai")</f>
        <v>https://minkabu.jp/stock/3921/yutai</v>
      </c>
      <c r="E5" s="12" t="str">
        <f>HYPERLINK("#3921_data!A1")</f>
        <v>#3921_data!A1</v>
      </c>
      <c r="F5" s="6">
        <v>60</v>
      </c>
      <c r="G5" s="15">
        <v>60</v>
      </c>
      <c r="H5" s="15">
        <v>40</v>
      </c>
      <c r="I5" s="15">
        <v>40</v>
      </c>
      <c r="J5" s="15">
        <v>80</v>
      </c>
      <c r="K5" s="6">
        <v>40</v>
      </c>
      <c r="L5" s="6">
        <v>40</v>
      </c>
      <c r="M5" s="6">
        <v>60</v>
      </c>
      <c r="N5" s="6">
        <v>20</v>
      </c>
      <c r="O5" s="6">
        <v>40</v>
      </c>
      <c r="P5" s="6">
        <v>60</v>
      </c>
      <c r="Q5" s="6">
        <v>40</v>
      </c>
    </row>
    <row r="6" spans="1:17">
      <c r="A6" s="4">
        <v>3193</v>
      </c>
      <c r="B6" s="10" t="s">
        <v>50</v>
      </c>
      <c r="C6" s="2" t="str">
        <f>HYPERLINK("https://kabutan.jp/stock/chart?code=3193")</f>
        <v>https://kabutan.jp/stock/chart?code=3193</v>
      </c>
      <c r="D6" s="12" t="str">
        <f>HYPERLINK("https://minkabu.jp/stock/3193/yutai")</f>
        <v>https://minkabu.jp/stock/3193/yutai</v>
      </c>
      <c r="E6" s="12" t="str">
        <f>HYPERLINK("#3193_data!A1")</f>
        <v>#3193_data!A1</v>
      </c>
      <c r="F6" s="6">
        <v>60</v>
      </c>
      <c r="G6" s="15">
        <v>60</v>
      </c>
      <c r="H6" s="15">
        <v>40</v>
      </c>
      <c r="I6" s="15">
        <v>20</v>
      </c>
      <c r="J6" s="15">
        <v>60</v>
      </c>
      <c r="K6" s="6">
        <v>60</v>
      </c>
      <c r="L6" s="6">
        <v>0</v>
      </c>
      <c r="M6" s="6">
        <v>40</v>
      </c>
      <c r="N6" s="6">
        <v>100</v>
      </c>
      <c r="O6" s="6">
        <v>20</v>
      </c>
      <c r="P6" s="6">
        <v>40</v>
      </c>
      <c r="Q6" s="6">
        <v>60</v>
      </c>
    </row>
    <row r="7" spans="1:17">
      <c r="A7" s="4">
        <v>3057</v>
      </c>
      <c r="B7" s="10" t="s">
        <v>54</v>
      </c>
      <c r="C7" s="2" t="str">
        <f>HYPERLINK("https://kabutan.jp/stock/chart?code=3057")</f>
        <v>https://kabutan.jp/stock/chart?code=3057</v>
      </c>
      <c r="D7" s="12" t="str">
        <f>HYPERLINK("https://minkabu.jp/stock/3057/yutai")</f>
        <v>https://minkabu.jp/stock/3057/yutai</v>
      </c>
      <c r="E7" s="12" t="str">
        <f>HYPERLINK("#3057_data!A1")</f>
        <v>#3057_data!A1</v>
      </c>
      <c r="F7" s="6">
        <v>60</v>
      </c>
      <c r="G7" s="15">
        <v>0</v>
      </c>
      <c r="H7" s="15">
        <v>0</v>
      </c>
      <c r="I7" s="15">
        <v>40</v>
      </c>
      <c r="J7" s="15">
        <v>80</v>
      </c>
      <c r="K7" s="6">
        <v>60</v>
      </c>
      <c r="L7" s="6">
        <v>60</v>
      </c>
      <c r="M7" s="6">
        <v>60</v>
      </c>
      <c r="N7" s="6">
        <v>80</v>
      </c>
      <c r="O7" s="6">
        <v>40</v>
      </c>
      <c r="P7" s="6">
        <v>80</v>
      </c>
      <c r="Q7" s="6">
        <v>80</v>
      </c>
    </row>
    <row r="8" spans="1:17">
      <c r="A8" s="4">
        <v>9632</v>
      </c>
      <c r="B8" s="10" t="s">
        <v>30</v>
      </c>
      <c r="C8" s="2" t="str">
        <f>HYPERLINK("https://kabutan.jp/stock/chart?code=9632")</f>
        <v>https://kabutan.jp/stock/chart?code=9632</v>
      </c>
      <c r="D8" s="12" t="str">
        <f>HYPERLINK("https://minkabu.jp/stock/9632/yutai")</f>
        <v>https://minkabu.jp/stock/9632/yutai</v>
      </c>
      <c r="E8" s="12" t="str">
        <f>HYPERLINK("#9632_data!A1")</f>
        <v>#9632_data!A1</v>
      </c>
      <c r="F8" s="6">
        <v>50</v>
      </c>
      <c r="G8" s="15">
        <v>40</v>
      </c>
      <c r="H8" s="15">
        <v>80</v>
      </c>
      <c r="I8" s="15">
        <v>40</v>
      </c>
      <c r="J8" s="15">
        <v>60</v>
      </c>
      <c r="K8" s="6">
        <v>60</v>
      </c>
      <c r="L8" s="6">
        <v>20</v>
      </c>
      <c r="M8" s="6">
        <v>40</v>
      </c>
      <c r="N8" s="6">
        <v>100</v>
      </c>
      <c r="O8" s="6">
        <v>60</v>
      </c>
      <c r="P8" s="6">
        <v>80</v>
      </c>
      <c r="Q8" s="6">
        <v>80</v>
      </c>
    </row>
    <row r="9" spans="1:17">
      <c r="A9" s="4">
        <v>3421</v>
      </c>
      <c r="B9" s="10" t="s">
        <v>43</v>
      </c>
      <c r="C9" s="2" t="str">
        <f>HYPERLINK("https://kabutan.jp/stock/chart?code=3421")</f>
        <v>https://kabutan.jp/stock/chart?code=3421</v>
      </c>
      <c r="D9" s="12" t="str">
        <f>HYPERLINK("https://minkabu.jp/stock/3421/yutai")</f>
        <v>https://minkabu.jp/stock/3421/yutai</v>
      </c>
      <c r="E9" s="12" t="str">
        <f>HYPERLINK("#3421_data!A1")</f>
        <v>#3421_data!A1</v>
      </c>
      <c r="F9" s="6">
        <v>40</v>
      </c>
      <c r="G9" s="15">
        <v>40</v>
      </c>
      <c r="H9" s="15">
        <v>100</v>
      </c>
      <c r="I9" s="15">
        <v>40</v>
      </c>
      <c r="J9" s="15">
        <v>60</v>
      </c>
      <c r="K9" s="6">
        <v>80</v>
      </c>
      <c r="L9" s="6">
        <v>0</v>
      </c>
      <c r="M9" s="6">
        <v>60</v>
      </c>
      <c r="N9" s="6">
        <v>80</v>
      </c>
      <c r="O9" s="6">
        <v>40</v>
      </c>
      <c r="P9" s="6">
        <v>40</v>
      </c>
      <c r="Q9" s="6">
        <v>40</v>
      </c>
    </row>
    <row r="10" spans="1:17">
      <c r="A10" s="4">
        <v>3169</v>
      </c>
      <c r="B10" s="10" t="s">
        <v>51</v>
      </c>
      <c r="C10" s="2" t="str">
        <f>HYPERLINK("https://kabutan.jp/stock/chart?code=3169")</f>
        <v>https://kabutan.jp/stock/chart?code=3169</v>
      </c>
      <c r="D10" s="12" t="str">
        <f>HYPERLINK("https://minkabu.jp/stock/3169/yutai")</f>
        <v>https://minkabu.jp/stock/3169/yutai</v>
      </c>
      <c r="E10" s="12" t="str">
        <f>HYPERLINK("#3169_data!A1")</f>
        <v>#3169_data!A1</v>
      </c>
      <c r="F10" s="6">
        <v>40</v>
      </c>
      <c r="G10" s="15">
        <v>20</v>
      </c>
      <c r="H10" s="15">
        <v>20</v>
      </c>
      <c r="I10" s="15">
        <v>40</v>
      </c>
      <c r="J10" s="15">
        <v>80</v>
      </c>
      <c r="K10" s="6">
        <v>40</v>
      </c>
      <c r="L10" s="6">
        <v>20</v>
      </c>
      <c r="M10" s="6">
        <v>60</v>
      </c>
      <c r="N10" s="6">
        <v>40</v>
      </c>
      <c r="O10" s="6">
        <v>40</v>
      </c>
      <c r="P10" s="6">
        <v>80</v>
      </c>
      <c r="Q10" s="6">
        <v>40</v>
      </c>
    </row>
    <row r="11" spans="1:17">
      <c r="A11" s="4">
        <v>1928</v>
      </c>
      <c r="B11" s="10" t="s">
        <v>58</v>
      </c>
      <c r="C11" s="2" t="str">
        <f>HYPERLINK("https://kabutan.jp/stock/chart?code=1928")</f>
        <v>https://kabutan.jp/stock/chart?code=1928</v>
      </c>
      <c r="D11" s="12" t="str">
        <f>HYPERLINK("https://minkabu.jp/stock/1928/yutai")</f>
        <v>https://minkabu.jp/stock/1928/yutai</v>
      </c>
      <c r="E11" s="12" t="str">
        <f>HYPERLINK("#1928_data!A1")</f>
        <v>#1928_data!A1</v>
      </c>
      <c r="F11" s="6">
        <v>40</v>
      </c>
      <c r="G11" s="15">
        <v>40</v>
      </c>
      <c r="H11" s="15">
        <v>80</v>
      </c>
      <c r="I11" s="15">
        <v>40</v>
      </c>
      <c r="J11" s="15">
        <v>60</v>
      </c>
      <c r="K11" s="6">
        <v>80</v>
      </c>
      <c r="L11" s="6">
        <v>20</v>
      </c>
      <c r="M11" s="6">
        <v>80</v>
      </c>
      <c r="N11" s="6">
        <v>40</v>
      </c>
      <c r="O11" s="6">
        <v>60</v>
      </c>
      <c r="P11" s="6">
        <v>80</v>
      </c>
      <c r="Q11" s="6">
        <v>40</v>
      </c>
    </row>
    <row r="12" spans="1:17">
      <c r="A12" s="4">
        <v>1766</v>
      </c>
      <c r="B12" s="10" t="s">
        <v>27</v>
      </c>
      <c r="C12" s="2" t="str">
        <f>HYPERLINK("https://kabutan.jp/stock/chart?code=1766")</f>
        <v>https://kabutan.jp/stock/chart?code=1766</v>
      </c>
      <c r="D12" s="12" t="str">
        <f>HYPERLINK("https://minkabu.jp/stock/1766/yutai")</f>
        <v>https://minkabu.jp/stock/1766/yutai</v>
      </c>
      <c r="E12" s="12" t="str">
        <f>HYPERLINK("#1766_data!A1")</f>
        <v>#1766_data!A1</v>
      </c>
      <c r="F12" s="6">
        <v>40</v>
      </c>
      <c r="G12" s="15">
        <v>60</v>
      </c>
      <c r="H12" s="15">
        <v>60</v>
      </c>
      <c r="I12" s="15">
        <v>0</v>
      </c>
      <c r="J12" s="15">
        <v>20</v>
      </c>
      <c r="K12" s="6">
        <v>20</v>
      </c>
      <c r="L12" s="6">
        <v>40</v>
      </c>
      <c r="M12" s="6">
        <v>80</v>
      </c>
      <c r="N12" s="6">
        <v>40</v>
      </c>
      <c r="O12" s="6">
        <v>20</v>
      </c>
      <c r="P12" s="6">
        <v>80</v>
      </c>
      <c r="Q12" s="6">
        <v>60</v>
      </c>
    </row>
    <row r="13" spans="1:17">
      <c r="A13" s="4">
        <v>7674</v>
      </c>
      <c r="B13" s="10" t="s">
        <v>36</v>
      </c>
      <c r="C13" s="2" t="str">
        <f>HYPERLINK("https://kabutan.jp/stock/chart?code=7674")</f>
        <v>https://kabutan.jp/stock/chart?code=7674</v>
      </c>
      <c r="D13" s="12" t="str">
        <f>HYPERLINK("https://minkabu.jp/stock/7674/yutai")</f>
        <v>https://minkabu.jp/stock/7674/yutai</v>
      </c>
      <c r="E13" s="12" t="str">
        <f>HYPERLINK("#7674_data!A1")</f>
        <v>#7674_data!A1</v>
      </c>
      <c r="F13" s="6">
        <v>33.333333333333329</v>
      </c>
      <c r="G13" s="15">
        <v>66.666666666666657</v>
      </c>
      <c r="H13" s="15">
        <v>25</v>
      </c>
      <c r="I13" s="15">
        <v>50</v>
      </c>
      <c r="J13" s="15">
        <v>75</v>
      </c>
      <c r="K13" s="6">
        <v>25</v>
      </c>
      <c r="L13" s="6">
        <v>50</v>
      </c>
      <c r="M13" s="6">
        <v>50</v>
      </c>
      <c r="N13" s="6">
        <v>75</v>
      </c>
      <c r="O13" s="6">
        <v>25</v>
      </c>
      <c r="P13" s="6">
        <v>50</v>
      </c>
      <c r="Q13" s="6">
        <v>75</v>
      </c>
    </row>
    <row r="14" spans="1:17">
      <c r="A14" s="4">
        <v>8617</v>
      </c>
      <c r="B14" s="10" t="s">
        <v>24</v>
      </c>
      <c r="C14" s="2" t="str">
        <f>HYPERLINK("https://kabutan.jp/stock/chart?code=8617")</f>
        <v>https://kabutan.jp/stock/chart?code=8617</v>
      </c>
      <c r="D14" s="12" t="str">
        <f>HYPERLINK("https://minkabu.jp/stock/8617/yutai")</f>
        <v>https://minkabu.jp/stock/8617/yutai</v>
      </c>
      <c r="E14" s="12" t="str">
        <f>HYPERLINK("#8617_data!A1")</f>
        <v>#8617_data!A1</v>
      </c>
      <c r="F14" s="6">
        <v>25</v>
      </c>
      <c r="G14" s="15">
        <v>40</v>
      </c>
      <c r="H14" s="15">
        <v>40</v>
      </c>
      <c r="I14" s="15">
        <v>40</v>
      </c>
      <c r="J14" s="15">
        <v>20</v>
      </c>
      <c r="K14" s="6">
        <v>40</v>
      </c>
      <c r="L14" s="6">
        <v>0</v>
      </c>
      <c r="M14" s="6">
        <v>40</v>
      </c>
      <c r="N14" s="6">
        <v>80</v>
      </c>
      <c r="O14" s="6">
        <v>20</v>
      </c>
      <c r="P14" s="6">
        <v>60</v>
      </c>
      <c r="Q14" s="6">
        <v>20</v>
      </c>
    </row>
    <row r="15" spans="1:17">
      <c r="A15" s="4">
        <v>8142</v>
      </c>
      <c r="B15" s="10" t="s">
        <v>32</v>
      </c>
      <c r="C15" s="2" t="str">
        <f>HYPERLINK("https://kabutan.jp/stock/chart?code=8142")</f>
        <v>https://kabutan.jp/stock/chart?code=8142</v>
      </c>
      <c r="D15" s="12" t="str">
        <f>HYPERLINK("https://minkabu.jp/stock/8142/yutai")</f>
        <v>https://minkabu.jp/stock/8142/yutai</v>
      </c>
      <c r="E15" s="12" t="str">
        <f>HYPERLINK("#8142_data!A1")</f>
        <v>#8142_data!A1</v>
      </c>
      <c r="F15" s="6">
        <v>25</v>
      </c>
      <c r="G15" s="15">
        <v>20</v>
      </c>
      <c r="H15" s="15">
        <v>80</v>
      </c>
      <c r="I15" s="15">
        <v>60</v>
      </c>
      <c r="J15" s="15">
        <v>40</v>
      </c>
      <c r="K15" s="6">
        <v>40</v>
      </c>
      <c r="L15" s="6">
        <v>0</v>
      </c>
      <c r="M15" s="6">
        <v>60</v>
      </c>
      <c r="N15" s="6">
        <v>100</v>
      </c>
      <c r="O15" s="6">
        <v>40</v>
      </c>
      <c r="P15" s="6">
        <v>80</v>
      </c>
      <c r="Q15" s="6">
        <v>20</v>
      </c>
    </row>
    <row r="16" spans="1:17">
      <c r="A16" s="4">
        <v>8013</v>
      </c>
      <c r="B16" s="10" t="s">
        <v>34</v>
      </c>
      <c r="C16" s="2" t="str">
        <f>HYPERLINK("https://kabutan.jp/stock/chart?code=8013")</f>
        <v>https://kabutan.jp/stock/chart?code=8013</v>
      </c>
      <c r="D16" s="12" t="str">
        <f>HYPERLINK("https://minkabu.jp/stock/8013/yutai")</f>
        <v>https://minkabu.jp/stock/8013/yutai</v>
      </c>
      <c r="E16" s="12" t="str">
        <f>HYPERLINK("#8013_data!A1")</f>
        <v>#8013_data!A1</v>
      </c>
      <c r="F16" s="6">
        <v>20</v>
      </c>
      <c r="G16" s="15">
        <v>40</v>
      </c>
      <c r="H16" s="15">
        <v>80</v>
      </c>
      <c r="I16" s="15">
        <v>60</v>
      </c>
      <c r="J16" s="15">
        <v>40</v>
      </c>
      <c r="K16" s="6">
        <v>20</v>
      </c>
      <c r="L16" s="6">
        <v>20</v>
      </c>
      <c r="M16" s="6">
        <v>40</v>
      </c>
      <c r="N16" s="6">
        <v>60</v>
      </c>
      <c r="O16" s="6">
        <v>40</v>
      </c>
      <c r="P16" s="6">
        <v>20</v>
      </c>
      <c r="Q16" s="6">
        <v>40</v>
      </c>
    </row>
    <row r="17" spans="1:17">
      <c r="A17" s="4">
        <v>6654</v>
      </c>
      <c r="B17" s="10" t="s">
        <v>39</v>
      </c>
      <c r="C17" s="2" t="str">
        <f>HYPERLINK("https://kabutan.jp/stock/chart?code=6654")</f>
        <v>https://kabutan.jp/stock/chart?code=6654</v>
      </c>
      <c r="D17" s="12" t="str">
        <f>HYPERLINK("https://minkabu.jp/stock/6654/yutai")</f>
        <v>https://minkabu.jp/stock/6654/yutai</v>
      </c>
      <c r="E17" s="12" t="str">
        <f>HYPERLINK("#6654_data!A1")</f>
        <v>#6654_data!A1</v>
      </c>
      <c r="F17" s="6">
        <v>20</v>
      </c>
      <c r="G17" s="15">
        <v>20</v>
      </c>
      <c r="H17" s="15">
        <v>80</v>
      </c>
      <c r="I17" s="15">
        <v>60</v>
      </c>
      <c r="J17" s="15">
        <v>80</v>
      </c>
      <c r="K17" s="6">
        <v>60</v>
      </c>
      <c r="L17" s="6">
        <v>0</v>
      </c>
      <c r="M17" s="6">
        <v>40</v>
      </c>
      <c r="N17" s="6">
        <v>40</v>
      </c>
      <c r="O17" s="6">
        <v>40</v>
      </c>
      <c r="P17" s="6">
        <v>80</v>
      </c>
      <c r="Q17" s="6">
        <v>40</v>
      </c>
    </row>
    <row r="18" spans="1:17">
      <c r="A18" s="4">
        <v>3418</v>
      </c>
      <c r="B18" s="10" t="s">
        <v>44</v>
      </c>
      <c r="C18" s="2" t="str">
        <f>HYPERLINK("https://kabutan.jp/stock/chart?code=3418")</f>
        <v>https://kabutan.jp/stock/chart?code=3418</v>
      </c>
      <c r="D18" s="12" t="str">
        <f>HYPERLINK("https://minkabu.jp/stock/3418/yutai")</f>
        <v>https://minkabu.jp/stock/3418/yutai</v>
      </c>
      <c r="E18" s="12" t="str">
        <f>HYPERLINK("#3418_data!A1")</f>
        <v>#3418_data!A1</v>
      </c>
      <c r="F18" s="6">
        <v>20</v>
      </c>
      <c r="G18" s="15">
        <v>0</v>
      </c>
      <c r="H18" s="15">
        <v>60</v>
      </c>
      <c r="I18" s="15">
        <v>80</v>
      </c>
      <c r="J18" s="15">
        <v>60</v>
      </c>
      <c r="K18" s="6">
        <v>60</v>
      </c>
      <c r="L18" s="6">
        <v>0</v>
      </c>
      <c r="M18" s="6">
        <v>20</v>
      </c>
      <c r="N18" s="6">
        <v>80</v>
      </c>
      <c r="O18" s="6">
        <v>80</v>
      </c>
      <c r="P18" s="6">
        <v>40</v>
      </c>
      <c r="Q18" s="6">
        <v>60</v>
      </c>
    </row>
    <row r="19" spans="1:17">
      <c r="A19" s="4">
        <v>3415</v>
      </c>
      <c r="B19" s="10" t="s">
        <v>45</v>
      </c>
      <c r="C19" s="2" t="str">
        <f>HYPERLINK("https://kabutan.jp/stock/chart?code=3415")</f>
        <v>https://kabutan.jp/stock/chart?code=3415</v>
      </c>
      <c r="D19" s="12" t="str">
        <f>HYPERLINK("https://minkabu.jp/stock/3415/yutai")</f>
        <v>https://minkabu.jp/stock/3415/yutai</v>
      </c>
      <c r="E19" s="12" t="str">
        <f>HYPERLINK("#3415_data!A1")</f>
        <v>#3415_data!A1</v>
      </c>
      <c r="F19" s="6">
        <v>20</v>
      </c>
      <c r="G19" s="15">
        <v>40</v>
      </c>
      <c r="H19" s="15">
        <v>40</v>
      </c>
      <c r="I19" s="15">
        <v>40</v>
      </c>
      <c r="J19" s="15">
        <v>40</v>
      </c>
      <c r="K19" s="6">
        <v>40</v>
      </c>
      <c r="L19" s="6">
        <v>20</v>
      </c>
      <c r="M19" s="6">
        <v>80</v>
      </c>
      <c r="N19" s="6">
        <v>40</v>
      </c>
      <c r="O19" s="6">
        <v>40</v>
      </c>
      <c r="P19" s="6">
        <v>40</v>
      </c>
      <c r="Q19" s="6">
        <v>20</v>
      </c>
    </row>
    <row r="20" spans="1:17">
      <c r="A20" s="4">
        <v>3399</v>
      </c>
      <c r="B20" s="10" t="s">
        <v>46</v>
      </c>
      <c r="C20" s="2" t="str">
        <f>HYPERLINK("https://kabutan.jp/stock/chart?code=3399")</f>
        <v>https://kabutan.jp/stock/chart?code=3399</v>
      </c>
      <c r="D20" s="12" t="str">
        <f>HYPERLINK("https://minkabu.jp/stock/3399/yutai")</f>
        <v>https://minkabu.jp/stock/3399/yutai</v>
      </c>
      <c r="E20" s="13" t="str">
        <f>HYPERLINK("#3399_data!A1")</f>
        <v>#3399_data!A1</v>
      </c>
      <c r="F20" s="6">
        <v>20</v>
      </c>
      <c r="G20" s="15">
        <v>20</v>
      </c>
      <c r="H20" s="15">
        <v>80</v>
      </c>
      <c r="I20" s="15">
        <v>100</v>
      </c>
      <c r="J20" s="15">
        <v>80</v>
      </c>
      <c r="K20" s="6">
        <v>80</v>
      </c>
      <c r="L20" s="6">
        <v>0</v>
      </c>
      <c r="M20" s="6">
        <v>80</v>
      </c>
      <c r="N20" s="6">
        <v>100</v>
      </c>
      <c r="O20" s="6">
        <v>80</v>
      </c>
      <c r="P20" s="6">
        <v>80</v>
      </c>
      <c r="Q20" s="6">
        <v>80</v>
      </c>
    </row>
    <row r="21" spans="1:17">
      <c r="A21" s="4">
        <v>3320</v>
      </c>
      <c r="B21" s="10" t="s">
        <v>47</v>
      </c>
      <c r="C21" s="2" t="str">
        <f>HYPERLINK("https://kabutan.jp/stock/chart?code=3320")</f>
        <v>https://kabutan.jp/stock/chart?code=3320</v>
      </c>
      <c r="D21" s="12" t="str">
        <f>HYPERLINK("https://minkabu.jp/stock/3320/yutai")</f>
        <v>https://minkabu.jp/stock/3320/yutai</v>
      </c>
      <c r="E21" s="13" t="str">
        <f>HYPERLINK("#3320_data!A1")</f>
        <v>#3320_data!A1</v>
      </c>
      <c r="F21" s="6">
        <v>20</v>
      </c>
      <c r="G21" s="15">
        <v>20</v>
      </c>
      <c r="H21" s="15">
        <v>0</v>
      </c>
      <c r="I21" s="15">
        <v>60</v>
      </c>
      <c r="J21" s="15">
        <v>60</v>
      </c>
      <c r="K21" s="6">
        <v>60</v>
      </c>
      <c r="L21" s="6">
        <v>20</v>
      </c>
      <c r="M21" s="6">
        <v>80</v>
      </c>
      <c r="N21" s="6">
        <v>40</v>
      </c>
      <c r="O21" s="6">
        <v>40</v>
      </c>
      <c r="P21" s="6">
        <v>80</v>
      </c>
      <c r="Q21" s="6">
        <v>60</v>
      </c>
    </row>
    <row r="22" spans="1:17">
      <c r="A22" s="4">
        <v>3246</v>
      </c>
      <c r="B22" s="10" t="s">
        <v>49</v>
      </c>
      <c r="C22" s="2" t="str">
        <f>HYPERLINK("https://kabutan.jp/stock/chart?code=3246")</f>
        <v>https://kabutan.jp/stock/chart?code=3246</v>
      </c>
      <c r="D22" s="12" t="str">
        <f>HYPERLINK("https://minkabu.jp/stock/3246/yutai")</f>
        <v>https://minkabu.jp/stock/3246/yutai</v>
      </c>
      <c r="E22" s="12" t="str">
        <f>HYPERLINK("#3246_data!A1")</f>
        <v>#3246_data!A1</v>
      </c>
      <c r="F22" s="6">
        <v>20</v>
      </c>
      <c r="G22" s="15">
        <v>20</v>
      </c>
      <c r="H22" s="15">
        <v>40</v>
      </c>
      <c r="I22" s="15">
        <v>60</v>
      </c>
      <c r="J22" s="15">
        <v>60</v>
      </c>
      <c r="K22" s="6">
        <v>40</v>
      </c>
      <c r="L22" s="6">
        <v>20</v>
      </c>
      <c r="M22" s="6">
        <v>40</v>
      </c>
      <c r="N22" s="6">
        <v>80</v>
      </c>
      <c r="O22" s="6">
        <v>60</v>
      </c>
      <c r="P22" s="6">
        <v>100</v>
      </c>
      <c r="Q22" s="6">
        <v>80</v>
      </c>
    </row>
    <row r="23" spans="1:17">
      <c r="A23" s="4">
        <v>3070</v>
      </c>
      <c r="B23" s="10" t="s">
        <v>53</v>
      </c>
      <c r="C23" s="2" t="str">
        <f>HYPERLINK("https://kabutan.jp/stock/chart?code=3070")</f>
        <v>https://kabutan.jp/stock/chart?code=3070</v>
      </c>
      <c r="D23" s="12" t="str">
        <f>HYPERLINK("https://minkabu.jp/stock/3070/yutai")</f>
        <v>https://minkabu.jp/stock/3070/yutai</v>
      </c>
      <c r="E23" s="12" t="str">
        <f>HYPERLINK("#3070_data!A1")</f>
        <v>#3070_data!A1</v>
      </c>
      <c r="F23" s="6">
        <v>20</v>
      </c>
      <c r="G23" s="15">
        <v>20</v>
      </c>
      <c r="H23" s="15">
        <v>40</v>
      </c>
      <c r="I23" s="15">
        <v>20</v>
      </c>
      <c r="J23" s="15">
        <v>80</v>
      </c>
      <c r="K23" s="6">
        <v>60</v>
      </c>
      <c r="L23" s="6">
        <v>0</v>
      </c>
      <c r="M23" s="6">
        <v>40</v>
      </c>
      <c r="N23" s="6">
        <v>60</v>
      </c>
      <c r="O23" s="6">
        <v>80</v>
      </c>
      <c r="P23" s="6">
        <v>20</v>
      </c>
      <c r="Q23" s="6">
        <v>40</v>
      </c>
    </row>
    <row r="24" spans="1:17">
      <c r="A24" s="4">
        <v>2590</v>
      </c>
      <c r="B24" s="10" t="s">
        <v>55</v>
      </c>
      <c r="C24" s="2" t="str">
        <f>HYPERLINK("https://kabutan.jp/stock/chart?code=2590")</f>
        <v>https://kabutan.jp/stock/chart?code=2590</v>
      </c>
      <c r="D24" s="12" t="str">
        <f>HYPERLINK("https://minkabu.jp/stock/2590/yutai")</f>
        <v>https://minkabu.jp/stock/2590/yutai</v>
      </c>
      <c r="E24" s="12" t="str">
        <f>HYPERLINK("#2590_data!A1")</f>
        <v>#2590_data!A1</v>
      </c>
      <c r="F24" s="6">
        <v>20</v>
      </c>
      <c r="G24" s="15">
        <v>60</v>
      </c>
      <c r="H24" s="15">
        <v>60</v>
      </c>
      <c r="I24" s="15">
        <v>60</v>
      </c>
      <c r="J24" s="15">
        <v>20</v>
      </c>
      <c r="K24" s="6">
        <v>80</v>
      </c>
      <c r="L24" s="6">
        <v>40</v>
      </c>
      <c r="M24" s="6">
        <v>60</v>
      </c>
      <c r="N24" s="6">
        <v>100</v>
      </c>
      <c r="O24" s="6">
        <v>40</v>
      </c>
      <c r="P24" s="6">
        <v>80</v>
      </c>
      <c r="Q24" s="6">
        <v>0</v>
      </c>
    </row>
    <row r="25" spans="1:17">
      <c r="A25" s="4">
        <v>2353</v>
      </c>
      <c r="B25" s="10" t="s">
        <v>56</v>
      </c>
      <c r="C25" s="2" t="str">
        <f>HYPERLINK("https://kabutan.jp/stock/chart?code=2353")</f>
        <v>https://kabutan.jp/stock/chart?code=2353</v>
      </c>
      <c r="D25" s="12" t="str">
        <f>HYPERLINK("https://minkabu.jp/stock/2353/yutai")</f>
        <v>https://minkabu.jp/stock/2353/yutai</v>
      </c>
      <c r="E25" s="12" t="str">
        <f>HYPERLINK("#2353_data!A1")</f>
        <v>#2353_data!A1</v>
      </c>
      <c r="F25" s="6">
        <v>20</v>
      </c>
      <c r="G25" s="15">
        <v>20</v>
      </c>
      <c r="H25" s="15">
        <v>80</v>
      </c>
      <c r="I25" s="15">
        <v>80</v>
      </c>
      <c r="J25" s="15">
        <v>40</v>
      </c>
      <c r="K25" s="6">
        <v>60</v>
      </c>
      <c r="L25" s="6">
        <v>0</v>
      </c>
      <c r="M25" s="6">
        <v>40</v>
      </c>
      <c r="N25" s="6">
        <v>60</v>
      </c>
      <c r="O25" s="6">
        <v>20</v>
      </c>
      <c r="P25" s="6">
        <v>40</v>
      </c>
      <c r="Q25" s="6">
        <v>60</v>
      </c>
    </row>
    <row r="26" spans="1:17">
      <c r="A26" s="4">
        <v>2117</v>
      </c>
      <c r="B26" s="10" t="s">
        <v>57</v>
      </c>
      <c r="C26" s="2" t="str">
        <f>HYPERLINK("https://kabutan.jp/stock/chart?code=2117")</f>
        <v>https://kabutan.jp/stock/chart?code=2117</v>
      </c>
      <c r="D26" s="12" t="str">
        <f>HYPERLINK("https://minkabu.jp/stock/2117/yutai")</f>
        <v>https://minkabu.jp/stock/2117/yutai</v>
      </c>
      <c r="E26" s="12" t="str">
        <f>HYPERLINK("#2117_data!A1")</f>
        <v>#2117_data!A1</v>
      </c>
      <c r="F26" s="6">
        <v>20</v>
      </c>
      <c r="G26" s="15">
        <v>60</v>
      </c>
      <c r="H26" s="15">
        <v>20</v>
      </c>
      <c r="I26" s="15">
        <v>40</v>
      </c>
      <c r="J26" s="15">
        <v>40</v>
      </c>
      <c r="K26" s="6">
        <v>20</v>
      </c>
      <c r="L26" s="6">
        <v>60</v>
      </c>
      <c r="M26" s="6">
        <v>40</v>
      </c>
      <c r="N26" s="6">
        <v>80</v>
      </c>
      <c r="O26" s="6">
        <v>20</v>
      </c>
      <c r="P26" s="6">
        <v>40</v>
      </c>
      <c r="Q26" s="6">
        <v>40</v>
      </c>
    </row>
    <row r="27" spans="1:17">
      <c r="A27" s="4">
        <v>1433</v>
      </c>
      <c r="B27" s="10" t="s">
        <v>60</v>
      </c>
      <c r="C27" s="2" t="str">
        <f>HYPERLINK("https://kabutan.jp/stock/chart?code=1433")</f>
        <v>https://kabutan.jp/stock/chart?code=1433</v>
      </c>
      <c r="D27" s="12" t="str">
        <f>HYPERLINK("https://minkabu.jp/stock/1433/yutai")</f>
        <v>https://minkabu.jp/stock/1433/yutai</v>
      </c>
      <c r="E27" s="12" t="str">
        <f>HYPERLINK("#1433_data!A1")</f>
        <v>#1433_data!A1</v>
      </c>
      <c r="F27" s="6">
        <v>20</v>
      </c>
      <c r="G27" s="15">
        <v>20</v>
      </c>
      <c r="H27" s="15">
        <v>40</v>
      </c>
      <c r="I27" s="15">
        <v>20</v>
      </c>
      <c r="J27" s="15">
        <v>40</v>
      </c>
      <c r="K27" s="6">
        <v>40</v>
      </c>
      <c r="L27" s="6">
        <v>60</v>
      </c>
      <c r="M27" s="6">
        <v>40</v>
      </c>
      <c r="N27" s="6">
        <v>60</v>
      </c>
      <c r="O27" s="6">
        <v>40</v>
      </c>
      <c r="P27" s="6">
        <v>80</v>
      </c>
      <c r="Q27" s="6">
        <v>40</v>
      </c>
    </row>
    <row r="28" spans="1:17">
      <c r="A28" s="4">
        <v>9637</v>
      </c>
      <c r="B28" s="10" t="s">
        <v>28</v>
      </c>
      <c r="C28" s="2" t="str">
        <f>HYPERLINK("https://kabutan.jp/stock/chart?code=9637")</f>
        <v>https://kabutan.jp/stock/chart?code=9637</v>
      </c>
      <c r="D28" s="12" t="str">
        <f>HYPERLINK("https://minkabu.jp/stock/9637/yutai")</f>
        <v>https://minkabu.jp/stock/9637/yutai</v>
      </c>
      <c r="E28" s="12" t="str">
        <f>HYPERLINK("#9637_data!A1")</f>
        <v>#9637_data!A1</v>
      </c>
      <c r="F28" s="6">
        <v>0</v>
      </c>
      <c r="G28" s="15">
        <v>20</v>
      </c>
      <c r="H28" s="15">
        <v>80</v>
      </c>
      <c r="I28" s="15">
        <v>80</v>
      </c>
      <c r="J28" s="15">
        <v>80</v>
      </c>
      <c r="K28" s="6">
        <v>80</v>
      </c>
      <c r="L28" s="6">
        <v>0</v>
      </c>
      <c r="M28" s="6">
        <v>80</v>
      </c>
      <c r="N28" s="6">
        <v>100</v>
      </c>
      <c r="O28" s="6">
        <v>100</v>
      </c>
      <c r="P28" s="6">
        <v>40</v>
      </c>
      <c r="Q28" s="6">
        <v>60</v>
      </c>
    </row>
    <row r="29" spans="1:17">
      <c r="A29" s="4">
        <v>9636</v>
      </c>
      <c r="B29" s="10" t="s">
        <v>29</v>
      </c>
      <c r="C29" s="2" t="str">
        <f>HYPERLINK("https://kabutan.jp/stock/chart?code=9636")</f>
        <v>https://kabutan.jp/stock/chart?code=9636</v>
      </c>
      <c r="D29" s="12" t="str">
        <f>HYPERLINK("https://minkabu.jp/stock/9636/yutai")</f>
        <v>https://minkabu.jp/stock/9636/yutai</v>
      </c>
      <c r="E29" s="12" t="str">
        <f>HYPERLINK("#9636_data!A1")</f>
        <v>#9636_data!A1</v>
      </c>
      <c r="F29" s="6">
        <v>0</v>
      </c>
      <c r="G29" s="15">
        <v>40</v>
      </c>
      <c r="H29" s="15">
        <v>100</v>
      </c>
      <c r="I29" s="15">
        <v>60</v>
      </c>
      <c r="J29" s="15">
        <v>40</v>
      </c>
      <c r="K29" s="6">
        <v>60</v>
      </c>
      <c r="L29" s="6">
        <v>0</v>
      </c>
      <c r="M29" s="6">
        <v>40</v>
      </c>
      <c r="N29" s="6">
        <v>80</v>
      </c>
      <c r="O29" s="6">
        <v>40</v>
      </c>
      <c r="P29" s="6">
        <v>80</v>
      </c>
      <c r="Q29" s="6">
        <v>60</v>
      </c>
    </row>
    <row r="30" spans="1:17">
      <c r="A30" s="4">
        <v>8842</v>
      </c>
      <c r="B30" s="10" t="s">
        <v>31</v>
      </c>
      <c r="C30" s="2" t="str">
        <f>HYPERLINK("https://kabutan.jp/stock/chart?code=8842")</f>
        <v>https://kabutan.jp/stock/chart?code=8842</v>
      </c>
      <c r="D30" s="12" t="str">
        <f>HYPERLINK("https://minkabu.jp/stock/8842/yutai")</f>
        <v>https://minkabu.jp/stock/8842/yutai</v>
      </c>
      <c r="E30" s="12" t="str">
        <f>HYPERLINK("#8842_data!A1")</f>
        <v>#8842_data!A1</v>
      </c>
      <c r="F30" s="6">
        <v>0</v>
      </c>
      <c r="G30" s="15">
        <v>40</v>
      </c>
      <c r="H30" s="15">
        <v>60</v>
      </c>
      <c r="I30" s="15">
        <v>60</v>
      </c>
      <c r="J30" s="15">
        <v>80</v>
      </c>
      <c r="K30" s="6">
        <v>40</v>
      </c>
      <c r="L30" s="6">
        <v>40</v>
      </c>
      <c r="M30" s="6">
        <v>80</v>
      </c>
      <c r="N30" s="6">
        <v>60</v>
      </c>
      <c r="O30" s="6">
        <v>40</v>
      </c>
      <c r="P30" s="6">
        <v>60</v>
      </c>
      <c r="Q30" s="6">
        <v>40</v>
      </c>
    </row>
    <row r="31" spans="1:17">
      <c r="A31" s="4">
        <v>8609</v>
      </c>
      <c r="B31" s="10" t="s">
        <v>25</v>
      </c>
      <c r="C31" s="2" t="str">
        <f>HYPERLINK("https://kabutan.jp/stock/chart?code=8609")</f>
        <v>https://kabutan.jp/stock/chart?code=8609</v>
      </c>
      <c r="D31" s="12" t="str">
        <f>HYPERLINK("https://minkabu.jp/stock/8609/yutai")</f>
        <v>https://minkabu.jp/stock/8609/yutai</v>
      </c>
      <c r="E31" s="12" t="str">
        <f>HYPERLINK("#8609_data!A1")</f>
        <v>#8609_data!A1</v>
      </c>
      <c r="F31" s="6">
        <v>0</v>
      </c>
      <c r="G31" s="15">
        <v>60</v>
      </c>
      <c r="H31" s="15">
        <v>40</v>
      </c>
      <c r="I31" s="15">
        <v>20</v>
      </c>
      <c r="J31" s="15">
        <v>20</v>
      </c>
      <c r="K31" s="6">
        <v>20</v>
      </c>
      <c r="L31" s="6">
        <v>20</v>
      </c>
      <c r="M31" s="6">
        <v>40</v>
      </c>
      <c r="N31" s="6">
        <v>80</v>
      </c>
      <c r="O31" s="6">
        <v>40</v>
      </c>
      <c r="P31" s="6">
        <v>80</v>
      </c>
      <c r="Q31" s="6">
        <v>40</v>
      </c>
    </row>
    <row r="32" spans="1:17">
      <c r="A32" s="4">
        <v>8068</v>
      </c>
      <c r="B32" s="10" t="s">
        <v>33</v>
      </c>
      <c r="C32" s="2" t="str">
        <f>HYPERLINK("https://kabutan.jp/stock/chart?code=8068")</f>
        <v>https://kabutan.jp/stock/chart?code=8068</v>
      </c>
      <c r="D32" s="12" t="str">
        <f>HYPERLINK("https://minkabu.jp/stock/8068/yutai")</f>
        <v>https://minkabu.jp/stock/8068/yutai</v>
      </c>
      <c r="E32" s="12" t="str">
        <f>HYPERLINK("#8068_data!A1")</f>
        <v>#8068_data!A1</v>
      </c>
      <c r="F32" s="6">
        <v>0</v>
      </c>
      <c r="G32" s="15">
        <v>40</v>
      </c>
      <c r="H32" s="15">
        <v>40</v>
      </c>
      <c r="I32" s="15">
        <v>100</v>
      </c>
      <c r="J32" s="15">
        <v>40</v>
      </c>
      <c r="K32" s="6">
        <v>60</v>
      </c>
      <c r="L32" s="6">
        <v>40</v>
      </c>
      <c r="M32" s="6">
        <v>40</v>
      </c>
      <c r="N32" s="6">
        <v>40</v>
      </c>
      <c r="O32" s="6">
        <v>60</v>
      </c>
      <c r="P32" s="6">
        <v>60</v>
      </c>
      <c r="Q32" s="6">
        <v>40</v>
      </c>
    </row>
    <row r="33" spans="1:17">
      <c r="A33" s="4">
        <v>7683</v>
      </c>
      <c r="B33" s="10" t="s">
        <v>35</v>
      </c>
      <c r="C33" s="2" t="str">
        <f>HYPERLINK("https://kabutan.jp/stock/chart?code=7683")</f>
        <v>https://kabutan.jp/stock/chart?code=7683</v>
      </c>
      <c r="D33" s="12" t="str">
        <f>HYPERLINK("https://minkabu.jp/stock/7683/yutai")</f>
        <v>https://minkabu.jp/stock/7683/yutai</v>
      </c>
      <c r="E33" s="13" t="str">
        <f>HYPERLINK("#7683_data!A1")</f>
        <v>#7683_data!A1</v>
      </c>
      <c r="F33" s="6">
        <v>0</v>
      </c>
      <c r="G33" s="15">
        <v>66.666666666666657</v>
      </c>
      <c r="H33" s="15">
        <v>33.333333333333329</v>
      </c>
      <c r="I33" s="15">
        <v>0</v>
      </c>
      <c r="J33" s="15">
        <v>66.666666666666657</v>
      </c>
      <c r="K33" s="6">
        <v>66.666666666666657</v>
      </c>
      <c r="L33" s="6">
        <v>33.333333333333329</v>
      </c>
      <c r="M33" s="6">
        <v>66.666666666666657</v>
      </c>
      <c r="N33" s="6">
        <v>66.666666666666657</v>
      </c>
      <c r="O33" s="6">
        <v>33.333333333333329</v>
      </c>
      <c r="P33" s="6">
        <v>25</v>
      </c>
      <c r="Q33" s="6">
        <v>50</v>
      </c>
    </row>
    <row r="34" spans="1:17">
      <c r="A34" s="4">
        <v>7614</v>
      </c>
      <c r="B34" s="10" t="s">
        <v>37</v>
      </c>
      <c r="C34" s="2" t="str">
        <f>HYPERLINK("https://kabutan.jp/stock/chart?code=7614")</f>
        <v>https://kabutan.jp/stock/chart?code=7614</v>
      </c>
      <c r="D34" s="12" t="str">
        <f>HYPERLINK("https://minkabu.jp/stock/7614/yutai")</f>
        <v>https://minkabu.jp/stock/7614/yutai</v>
      </c>
      <c r="E34" s="12" t="str">
        <f>HYPERLINK("#7614_data!A1")</f>
        <v>#7614_data!A1</v>
      </c>
      <c r="F34" s="6">
        <v>0</v>
      </c>
      <c r="G34" s="15">
        <v>80</v>
      </c>
      <c r="H34" s="15">
        <v>20</v>
      </c>
      <c r="I34" s="15">
        <v>80</v>
      </c>
      <c r="J34" s="15">
        <v>60</v>
      </c>
      <c r="K34" s="6">
        <v>60</v>
      </c>
      <c r="L34" s="6">
        <v>0</v>
      </c>
      <c r="M34" s="6">
        <v>20</v>
      </c>
      <c r="N34" s="6">
        <v>60</v>
      </c>
      <c r="O34" s="6">
        <v>80</v>
      </c>
      <c r="P34" s="6">
        <v>60</v>
      </c>
      <c r="Q34" s="6">
        <v>20</v>
      </c>
    </row>
    <row r="35" spans="1:17">
      <c r="A35" s="4">
        <v>7590</v>
      </c>
      <c r="B35" s="10" t="s">
        <v>38</v>
      </c>
      <c r="C35" s="2" t="str">
        <f>HYPERLINK("https://kabutan.jp/stock/chart?code=7590")</f>
        <v>https://kabutan.jp/stock/chart?code=7590</v>
      </c>
      <c r="D35" s="12" t="str">
        <f>HYPERLINK("https://minkabu.jp/stock/7590/yutai")</f>
        <v>https://minkabu.jp/stock/7590/yutai</v>
      </c>
      <c r="E35" s="12" t="str">
        <f>HYPERLINK("#7590_data!A1")</f>
        <v>#7590_data!A1</v>
      </c>
      <c r="F35" s="6">
        <v>0</v>
      </c>
      <c r="G35" s="15">
        <v>60</v>
      </c>
      <c r="H35" s="15">
        <v>60</v>
      </c>
      <c r="I35" s="15">
        <v>80</v>
      </c>
      <c r="J35" s="15">
        <v>100</v>
      </c>
      <c r="K35" s="6">
        <v>80</v>
      </c>
      <c r="L35" s="6">
        <v>20</v>
      </c>
      <c r="M35" s="6">
        <v>60</v>
      </c>
      <c r="N35" s="6">
        <v>40</v>
      </c>
      <c r="O35" s="6">
        <v>40</v>
      </c>
      <c r="P35" s="6">
        <v>60</v>
      </c>
      <c r="Q35" s="6">
        <v>60</v>
      </c>
    </row>
    <row r="36" spans="1:17">
      <c r="A36" s="4">
        <v>3463</v>
      </c>
      <c r="B36" s="10" t="s">
        <v>41</v>
      </c>
      <c r="C36" s="2" t="str">
        <f>HYPERLINK("https://kabutan.jp/stock/chart?code=3463")</f>
        <v>https://kabutan.jp/stock/chart?code=3463</v>
      </c>
      <c r="D36" s="12" t="str">
        <f>HYPERLINK("https://minkabu.jp/stock/3463/yutai")</f>
        <v>https://minkabu.jp/stock/3463/yutai</v>
      </c>
      <c r="E36" s="12" t="str">
        <f>HYPERLINK("#3463_data!A1")</f>
        <v>#3463_data!A1</v>
      </c>
      <c r="F36" s="6"/>
      <c r="G36" s="15"/>
      <c r="H36" s="15"/>
      <c r="I36" s="15"/>
      <c r="J36" s="15"/>
      <c r="K36" s="6"/>
      <c r="L36" s="6"/>
      <c r="M36" s="6"/>
      <c r="N36" s="6"/>
      <c r="O36" s="6"/>
      <c r="P36" s="6"/>
      <c r="Q36" s="6"/>
    </row>
    <row r="37" spans="1:17">
      <c r="A37" s="4">
        <v>3455</v>
      </c>
      <c r="B37" s="10" t="s">
        <v>42</v>
      </c>
      <c r="C37" s="2" t="str">
        <f>HYPERLINK("https://kabutan.jp/stock/chart?code=3455")</f>
        <v>https://kabutan.jp/stock/chart?code=3455</v>
      </c>
      <c r="D37" s="12" t="str">
        <f>HYPERLINK("https://minkabu.jp/stock/3455/yutai")</f>
        <v>https://minkabu.jp/stock/3455/yutai</v>
      </c>
      <c r="E37" s="12" t="str">
        <f>HYPERLINK("#3455_data!A1")</f>
        <v>#3455_data!A1</v>
      </c>
      <c r="F37" s="6"/>
      <c r="G37" s="15"/>
      <c r="H37" s="15"/>
      <c r="I37" s="15"/>
      <c r="J37" s="15"/>
      <c r="K37" s="6"/>
      <c r="L37" s="6"/>
      <c r="M37" s="6"/>
      <c r="N37" s="6"/>
      <c r="O37" s="6"/>
      <c r="P37" s="6"/>
      <c r="Q37" s="6"/>
    </row>
    <row r="38" spans="1:17">
      <c r="A38" s="4">
        <v>3278</v>
      </c>
      <c r="B38" s="10" t="s">
        <v>48</v>
      </c>
      <c r="C38" s="2" t="str">
        <f>HYPERLINK("https://kabutan.jp/stock/chart?code=3278")</f>
        <v>https://kabutan.jp/stock/chart?code=3278</v>
      </c>
      <c r="D38" s="12" t="str">
        <f>HYPERLINK("https://minkabu.jp/stock/3278/yutai")</f>
        <v>https://minkabu.jp/stock/3278/yutai</v>
      </c>
      <c r="E38" s="12" t="str">
        <f>HYPERLINK("#3278_data!A1")</f>
        <v>#3278_data!A1</v>
      </c>
      <c r="F38" s="6"/>
      <c r="G38" s="15"/>
      <c r="H38" s="15"/>
      <c r="I38" s="15"/>
      <c r="J38" s="15"/>
      <c r="K38" s="6"/>
      <c r="L38" s="6"/>
      <c r="M38" s="6"/>
      <c r="N38" s="6"/>
      <c r="O38" s="6"/>
      <c r="P38" s="6"/>
      <c r="Q38" s="6"/>
    </row>
    <row r="39" spans="1:17">
      <c r="C39" s="2"/>
      <c r="D39" s="12"/>
      <c r="E39" s="12"/>
      <c r="F39" s="6"/>
      <c r="G39" s="15"/>
      <c r="H39" s="15"/>
      <c r="I39" s="15"/>
      <c r="J39" s="15"/>
      <c r="K39" s="6"/>
      <c r="L39" s="6"/>
      <c r="M39" s="6"/>
      <c r="N39" s="6"/>
      <c r="O39" s="6"/>
      <c r="P39" s="6"/>
      <c r="Q39" s="6"/>
    </row>
    <row r="40" spans="1:17">
      <c r="C40" s="2"/>
      <c r="D40" s="12"/>
      <c r="E40" s="12"/>
      <c r="F40" s="6"/>
      <c r="G40" s="15"/>
      <c r="H40" s="15"/>
      <c r="I40" s="15"/>
      <c r="J40" s="15"/>
      <c r="K40" s="6"/>
      <c r="L40" s="6"/>
      <c r="M40" s="6"/>
      <c r="N40" s="6"/>
      <c r="O40" s="6"/>
      <c r="P40" s="6"/>
      <c r="Q40" s="6"/>
    </row>
    <row r="41" spans="1:17">
      <c r="C41" s="2"/>
      <c r="D41" s="12"/>
      <c r="E41" s="12"/>
      <c r="F41" s="6"/>
      <c r="G41" s="15"/>
      <c r="H41" s="15"/>
      <c r="I41" s="15"/>
      <c r="J41" s="15"/>
      <c r="K41" s="6"/>
      <c r="L41" s="6"/>
      <c r="M41" s="6"/>
      <c r="N41" s="6"/>
      <c r="O41" s="6"/>
      <c r="P41" s="6"/>
      <c r="Q41" s="6"/>
    </row>
    <row r="42" spans="1:17">
      <c r="C42" s="2"/>
      <c r="D42" s="12"/>
      <c r="E42" s="12"/>
      <c r="F42" s="6"/>
      <c r="G42" s="15"/>
      <c r="H42" s="15"/>
      <c r="I42" s="15"/>
      <c r="J42" s="15"/>
      <c r="K42" s="6"/>
      <c r="L42" s="6"/>
      <c r="M42" s="6"/>
      <c r="N42" s="6"/>
      <c r="O42" s="6"/>
      <c r="P42" s="6"/>
      <c r="Q42" s="6"/>
    </row>
    <row r="43" spans="1:17">
      <c r="C43" s="2"/>
      <c r="D43" s="12"/>
      <c r="E43" s="13"/>
      <c r="F43" s="6"/>
      <c r="G43" s="15"/>
      <c r="H43" s="15"/>
      <c r="I43" s="15"/>
      <c r="J43" s="15"/>
      <c r="K43" s="6"/>
      <c r="L43" s="6"/>
      <c r="M43" s="6"/>
      <c r="N43" s="6"/>
      <c r="O43" s="6"/>
      <c r="P43" s="6"/>
      <c r="Q43" s="6"/>
    </row>
    <row r="44" spans="1:17">
      <c r="C44" s="2"/>
      <c r="D44" s="12"/>
      <c r="E44" s="12"/>
      <c r="F44" s="6"/>
      <c r="G44" s="15"/>
      <c r="H44" s="15"/>
      <c r="I44" s="15"/>
      <c r="J44" s="15"/>
      <c r="K44" s="6"/>
      <c r="L44" s="6"/>
      <c r="M44" s="6"/>
      <c r="N44" s="6"/>
      <c r="O44" s="6"/>
      <c r="P44" s="6"/>
      <c r="Q44" s="6"/>
    </row>
    <row r="45" spans="1:17">
      <c r="C45" s="2"/>
      <c r="D45" s="12"/>
      <c r="E45" s="12"/>
      <c r="F45" s="6"/>
      <c r="G45" s="15"/>
      <c r="H45" s="15"/>
      <c r="I45" s="15"/>
      <c r="J45" s="15"/>
      <c r="K45" s="6"/>
      <c r="L45" s="6"/>
      <c r="M45" s="6"/>
      <c r="N45" s="6"/>
      <c r="O45" s="6"/>
      <c r="P45" s="6"/>
      <c r="Q45" s="6"/>
    </row>
    <row r="46" spans="1:17">
      <c r="C46" s="2"/>
      <c r="D46" s="12"/>
      <c r="E46" s="12"/>
      <c r="F46" s="6"/>
      <c r="G46" s="15"/>
      <c r="H46" s="15"/>
      <c r="I46" s="15"/>
      <c r="J46" s="15"/>
      <c r="K46" s="6"/>
      <c r="L46" s="6"/>
      <c r="M46" s="6"/>
      <c r="N46" s="6"/>
      <c r="O46" s="6"/>
      <c r="P46" s="6"/>
      <c r="Q46" s="6"/>
    </row>
    <row r="47" spans="1:17">
      <c r="C47" s="2"/>
      <c r="D47" s="12"/>
      <c r="E47" s="12"/>
      <c r="F47" s="6"/>
      <c r="G47" s="15"/>
      <c r="H47" s="15"/>
      <c r="I47" s="15"/>
      <c r="J47" s="15"/>
      <c r="K47" s="6"/>
      <c r="L47" s="6"/>
      <c r="M47" s="6"/>
      <c r="N47" s="6"/>
      <c r="O47" s="6"/>
      <c r="P47" s="6"/>
      <c r="Q47" s="6"/>
    </row>
    <row r="48" spans="1:17">
      <c r="C48" s="2"/>
      <c r="D48" s="12"/>
      <c r="E48" s="12"/>
      <c r="F48" s="6"/>
      <c r="G48" s="15"/>
      <c r="H48" s="15"/>
      <c r="I48" s="15"/>
      <c r="J48" s="15"/>
      <c r="K48" s="6"/>
      <c r="L48" s="6"/>
      <c r="M48" s="6"/>
      <c r="N48" s="6"/>
      <c r="O48" s="6"/>
      <c r="P48" s="6"/>
      <c r="Q48" s="6"/>
    </row>
    <row r="49" spans="3:17">
      <c r="C49" s="2"/>
      <c r="D49" s="12"/>
      <c r="E49" s="12"/>
      <c r="F49" s="6"/>
      <c r="G49" s="15"/>
      <c r="H49" s="15"/>
      <c r="I49" s="15"/>
      <c r="J49" s="15"/>
      <c r="K49" s="6"/>
      <c r="L49" s="6"/>
      <c r="M49" s="6"/>
      <c r="N49" s="6"/>
      <c r="O49" s="6"/>
      <c r="P49" s="6"/>
      <c r="Q49" s="6"/>
    </row>
    <row r="50" spans="3:17">
      <c r="C50" s="2"/>
      <c r="D50" s="12"/>
      <c r="E50" s="12"/>
      <c r="F50" s="6"/>
      <c r="G50" s="15"/>
      <c r="H50" s="15"/>
      <c r="I50" s="15"/>
      <c r="J50" s="15"/>
      <c r="K50" s="6"/>
      <c r="L50" s="6"/>
      <c r="M50" s="6"/>
      <c r="N50" s="6"/>
      <c r="O50" s="6"/>
      <c r="P50" s="6"/>
      <c r="Q50" s="6"/>
    </row>
    <row r="51" spans="3:17">
      <c r="C51" s="2"/>
      <c r="D51" s="12"/>
      <c r="E51" s="12"/>
      <c r="F51" s="6"/>
      <c r="G51" s="15"/>
      <c r="H51" s="15"/>
      <c r="I51" s="15"/>
      <c r="J51" s="15"/>
      <c r="K51" s="6"/>
      <c r="L51" s="6"/>
      <c r="M51" s="6"/>
      <c r="N51" s="6"/>
      <c r="O51" s="6"/>
      <c r="P51" s="6"/>
      <c r="Q51" s="6"/>
    </row>
    <row r="52" spans="3:17">
      <c r="C52" s="2"/>
      <c r="D52" s="12"/>
      <c r="E52" s="12"/>
      <c r="F52" s="6"/>
      <c r="G52" s="15"/>
      <c r="H52" s="15"/>
      <c r="I52" s="15"/>
      <c r="J52" s="15"/>
      <c r="K52" s="6"/>
      <c r="L52" s="6"/>
      <c r="M52" s="6"/>
      <c r="N52" s="6"/>
      <c r="O52" s="6"/>
      <c r="P52" s="6"/>
      <c r="Q52" s="6"/>
    </row>
    <row r="53" spans="3:17">
      <c r="C53" s="2"/>
      <c r="D53" s="12"/>
      <c r="E53" s="12"/>
      <c r="F53" s="6"/>
      <c r="G53" s="15"/>
      <c r="H53" s="15"/>
      <c r="I53" s="15"/>
      <c r="J53" s="15"/>
      <c r="K53" s="6"/>
      <c r="L53" s="6"/>
      <c r="M53" s="6"/>
      <c r="N53" s="6"/>
      <c r="O53" s="6"/>
      <c r="P53" s="6"/>
      <c r="Q53" s="6"/>
    </row>
    <row r="54" spans="3:17">
      <c r="C54" s="2"/>
      <c r="D54" s="12"/>
      <c r="E54" s="12"/>
      <c r="F54" s="6"/>
      <c r="G54" s="15"/>
      <c r="H54" s="15"/>
      <c r="I54" s="15"/>
      <c r="J54" s="15"/>
      <c r="K54" s="6"/>
      <c r="L54" s="6"/>
      <c r="M54" s="6"/>
      <c r="N54" s="6"/>
      <c r="O54" s="6"/>
      <c r="P54" s="6"/>
      <c r="Q54" s="6"/>
    </row>
    <row r="55" spans="3:17">
      <c r="C55" s="2"/>
      <c r="D55" s="12"/>
      <c r="E55" s="12"/>
      <c r="F55" s="6"/>
      <c r="G55" s="15"/>
      <c r="H55" s="15"/>
      <c r="I55" s="15"/>
      <c r="J55" s="15"/>
      <c r="K55" s="6"/>
      <c r="L55" s="6"/>
      <c r="M55" s="6"/>
      <c r="N55" s="6"/>
      <c r="O55" s="6"/>
      <c r="P55" s="6"/>
      <c r="Q55" s="6"/>
    </row>
    <row r="56" spans="3:17">
      <c r="C56" s="2"/>
      <c r="D56" s="12"/>
      <c r="E56" s="12"/>
      <c r="F56" s="6"/>
      <c r="G56" s="15"/>
      <c r="H56" s="15"/>
      <c r="I56" s="15"/>
      <c r="J56" s="15"/>
      <c r="K56" s="6"/>
      <c r="L56" s="6"/>
      <c r="M56" s="6"/>
      <c r="N56" s="6"/>
      <c r="O56" s="6"/>
      <c r="P56" s="6"/>
      <c r="Q56" s="6"/>
    </row>
    <row r="57" spans="3:17">
      <c r="C57" s="2"/>
      <c r="D57" s="12"/>
      <c r="E57" s="12"/>
      <c r="F57" s="6"/>
      <c r="G57" s="15"/>
      <c r="H57" s="15"/>
      <c r="I57" s="15"/>
      <c r="J57" s="15"/>
      <c r="K57" s="6"/>
      <c r="L57" s="6"/>
      <c r="M57" s="6"/>
      <c r="N57" s="6"/>
      <c r="O57" s="6"/>
      <c r="P57" s="6"/>
      <c r="Q57" s="6"/>
    </row>
    <row r="58" spans="3:17">
      <c r="C58" s="2"/>
      <c r="D58" s="12"/>
      <c r="E58" s="12"/>
      <c r="F58" s="6"/>
      <c r="G58" s="15"/>
      <c r="H58" s="15"/>
      <c r="I58" s="15"/>
      <c r="J58" s="15"/>
      <c r="K58" s="6"/>
      <c r="L58" s="6"/>
      <c r="M58" s="6"/>
      <c r="N58" s="6"/>
      <c r="O58" s="6"/>
      <c r="P58" s="6"/>
      <c r="Q58" s="6"/>
    </row>
    <row r="59" spans="3:17">
      <c r="C59" s="2"/>
      <c r="D59" s="12"/>
      <c r="E59" s="12"/>
      <c r="F59" s="6"/>
      <c r="G59" s="15"/>
      <c r="H59" s="15"/>
      <c r="I59" s="15"/>
      <c r="J59" s="15"/>
      <c r="K59" s="6"/>
      <c r="L59" s="6"/>
      <c r="M59" s="6"/>
      <c r="N59" s="6"/>
      <c r="O59" s="6"/>
      <c r="P59" s="6"/>
      <c r="Q59" s="6"/>
    </row>
    <row r="60" spans="3:17">
      <c r="C60" s="2"/>
      <c r="D60" s="12"/>
      <c r="E60" s="12"/>
      <c r="F60" s="6"/>
      <c r="G60" s="15"/>
      <c r="H60" s="15"/>
      <c r="I60" s="15"/>
      <c r="J60" s="15"/>
      <c r="K60" s="6"/>
      <c r="L60" s="6"/>
      <c r="M60" s="6"/>
      <c r="N60" s="6"/>
      <c r="O60" s="6"/>
      <c r="P60" s="6"/>
      <c r="Q60" s="6"/>
    </row>
    <row r="61" spans="3:17">
      <c r="C61" s="2"/>
      <c r="D61" s="12"/>
      <c r="E61" s="12"/>
      <c r="F61" s="6"/>
      <c r="G61" s="15"/>
      <c r="H61" s="15"/>
      <c r="I61" s="15"/>
      <c r="J61" s="15"/>
      <c r="K61" s="6"/>
      <c r="L61" s="6"/>
      <c r="M61" s="6"/>
      <c r="N61" s="6"/>
      <c r="O61" s="6"/>
      <c r="P61" s="6"/>
      <c r="Q61" s="6"/>
    </row>
    <row r="62" spans="3:17">
      <c r="C62" s="2"/>
      <c r="D62" s="12"/>
      <c r="E62" s="12"/>
      <c r="F62" s="6"/>
      <c r="G62" s="15"/>
      <c r="H62" s="15"/>
      <c r="I62" s="15"/>
      <c r="J62" s="15"/>
      <c r="K62" s="6"/>
      <c r="L62" s="6"/>
      <c r="M62" s="6"/>
      <c r="N62" s="6"/>
      <c r="O62" s="6"/>
      <c r="P62" s="6"/>
      <c r="Q62" s="6"/>
    </row>
    <row r="63" spans="3:17">
      <c r="C63" s="2"/>
      <c r="D63" s="12"/>
      <c r="E63" s="12"/>
      <c r="F63" s="6"/>
      <c r="G63" s="15"/>
      <c r="H63" s="15"/>
      <c r="I63" s="15"/>
      <c r="J63" s="15"/>
      <c r="K63" s="6"/>
      <c r="L63" s="6"/>
      <c r="M63" s="6"/>
      <c r="N63" s="6"/>
      <c r="O63" s="6"/>
      <c r="P63" s="6"/>
      <c r="Q63" s="6"/>
    </row>
    <row r="64" spans="3:17">
      <c r="C64" s="2"/>
      <c r="D64" s="12"/>
      <c r="E64" s="12"/>
      <c r="F64" s="6"/>
      <c r="G64" s="15"/>
      <c r="H64" s="15"/>
      <c r="I64" s="15"/>
      <c r="J64" s="15"/>
      <c r="K64" s="6"/>
      <c r="L64" s="6"/>
      <c r="M64" s="6"/>
      <c r="N64" s="6"/>
      <c r="O64" s="6"/>
      <c r="P64" s="6"/>
      <c r="Q64" s="6"/>
    </row>
    <row r="65" spans="3:17">
      <c r="C65" s="2"/>
      <c r="D65" s="12"/>
      <c r="E65" s="12"/>
      <c r="F65" s="6"/>
      <c r="G65" s="15"/>
      <c r="H65" s="15"/>
      <c r="I65" s="15"/>
      <c r="J65" s="15"/>
      <c r="K65" s="6"/>
      <c r="L65" s="6"/>
      <c r="M65" s="6"/>
      <c r="N65" s="6"/>
      <c r="O65" s="6"/>
      <c r="P65" s="6"/>
      <c r="Q65" s="6"/>
    </row>
    <row r="66" spans="3:17">
      <c r="C66" s="2"/>
      <c r="D66" s="12"/>
      <c r="E66" s="12"/>
      <c r="F66" s="6"/>
      <c r="G66" s="15"/>
      <c r="H66" s="15"/>
      <c r="I66" s="15"/>
      <c r="J66" s="15"/>
      <c r="K66" s="6"/>
      <c r="L66" s="6"/>
      <c r="M66" s="6"/>
      <c r="N66" s="6"/>
      <c r="O66" s="6"/>
      <c r="P66" s="6"/>
      <c r="Q66" s="6"/>
    </row>
    <row r="67" spans="3:17">
      <c r="C67" s="2"/>
      <c r="D67" s="12"/>
      <c r="E67" s="13"/>
      <c r="F67" s="6"/>
      <c r="G67" s="14"/>
      <c r="H67" s="14"/>
      <c r="I67" s="14"/>
      <c r="J67" s="14"/>
      <c r="K67" s="9"/>
      <c r="L67" s="9"/>
      <c r="M67" s="9"/>
      <c r="N67" s="9"/>
      <c r="O67" s="9"/>
      <c r="P67" s="9"/>
      <c r="Q67" s="9"/>
    </row>
    <row r="68" spans="3:17">
      <c r="C68" s="2"/>
      <c r="D68" s="12"/>
      <c r="E68" s="12"/>
      <c r="F68" s="6"/>
      <c r="G68" s="15"/>
      <c r="H68" s="15"/>
      <c r="I68" s="15"/>
      <c r="J68" s="15"/>
      <c r="K68" s="6"/>
      <c r="L68" s="6"/>
      <c r="M68" s="6"/>
      <c r="N68" s="6"/>
      <c r="O68" s="6"/>
      <c r="P68" s="6"/>
      <c r="Q68" s="6"/>
    </row>
    <row r="69" spans="3:17">
      <c r="C69" s="2"/>
      <c r="D69" s="12"/>
      <c r="E69" s="12"/>
      <c r="F69" s="6"/>
      <c r="G69" s="15"/>
      <c r="H69" s="15"/>
      <c r="I69" s="15"/>
      <c r="J69" s="15"/>
      <c r="K69" s="6"/>
      <c r="L69" s="6"/>
      <c r="M69" s="6"/>
      <c r="N69" s="6"/>
      <c r="O69" s="6"/>
      <c r="P69" s="6"/>
      <c r="Q69" s="6"/>
    </row>
    <row r="70" spans="3:17">
      <c r="C70" s="2"/>
      <c r="D70" s="12"/>
      <c r="E70" s="12"/>
      <c r="F70" s="6"/>
      <c r="G70" s="15"/>
      <c r="H70" s="15"/>
      <c r="I70" s="15"/>
      <c r="J70" s="15"/>
      <c r="K70" s="6"/>
      <c r="L70" s="6"/>
      <c r="M70" s="6"/>
      <c r="N70" s="6"/>
      <c r="O70" s="6"/>
      <c r="P70" s="6"/>
      <c r="Q70" s="6"/>
    </row>
    <row r="71" spans="3:17">
      <c r="C71" s="2"/>
      <c r="D71" s="12"/>
      <c r="E71" s="12"/>
      <c r="F71" s="6"/>
      <c r="G71" s="14"/>
      <c r="H71" s="14"/>
      <c r="I71" s="14"/>
      <c r="J71" s="14"/>
      <c r="K71" s="9"/>
      <c r="L71" s="9"/>
      <c r="M71" s="9"/>
      <c r="N71" s="9"/>
      <c r="O71" s="9"/>
      <c r="P71" s="9"/>
      <c r="Q71" s="9"/>
    </row>
    <row r="72" spans="3:17">
      <c r="C72" s="2"/>
      <c r="D72" s="12"/>
      <c r="E72" s="12"/>
      <c r="F72" s="6"/>
      <c r="G72" s="15"/>
      <c r="H72" s="15"/>
      <c r="I72" s="15"/>
      <c r="J72" s="15"/>
      <c r="K72" s="6"/>
      <c r="L72" s="6"/>
      <c r="M72" s="6"/>
      <c r="N72" s="6"/>
      <c r="O72" s="6"/>
      <c r="P72" s="6"/>
      <c r="Q72" s="6"/>
    </row>
    <row r="73" spans="3:17">
      <c r="C73" s="2"/>
      <c r="D73" s="12"/>
      <c r="E73" s="12"/>
      <c r="F73" s="6"/>
      <c r="G73" s="15"/>
      <c r="H73" s="15"/>
      <c r="I73" s="15"/>
      <c r="J73" s="15"/>
      <c r="K73" s="6"/>
      <c r="L73" s="6"/>
      <c r="M73" s="6"/>
      <c r="N73" s="6"/>
      <c r="O73" s="6"/>
      <c r="P73" s="6"/>
      <c r="Q73" s="6"/>
    </row>
    <row r="74" spans="3:17">
      <c r="C74" s="2"/>
      <c r="D74" s="12"/>
      <c r="E74" s="12"/>
      <c r="F74" s="6"/>
      <c r="G74" s="15"/>
      <c r="H74" s="15"/>
      <c r="I74" s="15"/>
      <c r="J74" s="15"/>
      <c r="K74" s="6"/>
      <c r="L74" s="6"/>
      <c r="M74" s="6"/>
      <c r="N74" s="6"/>
      <c r="O74" s="6"/>
      <c r="P74" s="6"/>
      <c r="Q74" s="6"/>
    </row>
    <row r="75" spans="3:17">
      <c r="C75" s="2"/>
      <c r="D75" s="12"/>
      <c r="E75" s="12"/>
      <c r="F75" s="6"/>
      <c r="G75" s="15"/>
      <c r="H75" s="15"/>
      <c r="I75" s="15"/>
      <c r="J75" s="15"/>
      <c r="K75" s="6"/>
      <c r="L75" s="6"/>
      <c r="M75" s="6"/>
      <c r="N75" s="6"/>
      <c r="O75" s="6"/>
      <c r="P75" s="6"/>
      <c r="Q75" s="6"/>
    </row>
    <row r="76" spans="3:17">
      <c r="C76" s="2"/>
      <c r="D76" s="12"/>
      <c r="E76" s="12"/>
      <c r="F76" s="6"/>
      <c r="G76" s="15"/>
      <c r="H76" s="15"/>
      <c r="I76" s="15"/>
      <c r="J76" s="15"/>
      <c r="K76" s="6"/>
      <c r="L76" s="6"/>
      <c r="M76" s="6"/>
      <c r="N76" s="6"/>
      <c r="O76" s="6"/>
      <c r="P76" s="6"/>
      <c r="Q76" s="6"/>
    </row>
    <row r="77" spans="3:17">
      <c r="C77" s="2"/>
      <c r="D77" s="12"/>
      <c r="E77" s="12"/>
      <c r="F77" s="6"/>
      <c r="G77" s="15"/>
      <c r="H77" s="15"/>
      <c r="I77" s="15"/>
      <c r="J77" s="15"/>
      <c r="K77" s="6"/>
      <c r="L77" s="6"/>
      <c r="M77" s="6"/>
      <c r="N77" s="6"/>
      <c r="O77" s="6"/>
      <c r="P77" s="6"/>
      <c r="Q77" s="6"/>
    </row>
    <row r="78" spans="3:17">
      <c r="C78" s="2"/>
      <c r="D78" s="12"/>
      <c r="E78" s="12"/>
      <c r="F78" s="6"/>
      <c r="G78" s="15"/>
      <c r="H78" s="15"/>
      <c r="I78" s="15"/>
      <c r="J78" s="15"/>
      <c r="K78" s="6"/>
      <c r="L78" s="6"/>
      <c r="M78" s="6"/>
      <c r="N78" s="6"/>
      <c r="O78" s="6"/>
      <c r="P78" s="6"/>
      <c r="Q78" s="6"/>
    </row>
    <row r="79" spans="3:17">
      <c r="C79" s="2"/>
      <c r="D79" s="12"/>
      <c r="E79" s="12"/>
      <c r="F79" s="6"/>
      <c r="G79" s="15"/>
      <c r="H79" s="15"/>
      <c r="I79" s="15"/>
      <c r="J79" s="15"/>
      <c r="K79" s="6"/>
      <c r="L79" s="6"/>
      <c r="M79" s="6"/>
      <c r="N79" s="6"/>
      <c r="O79" s="6"/>
      <c r="P79" s="6"/>
      <c r="Q79" s="6"/>
    </row>
    <row r="80" spans="3:17">
      <c r="C80" s="2"/>
      <c r="D80" s="12"/>
      <c r="E80" s="12"/>
      <c r="F80" s="6"/>
      <c r="G80" s="15"/>
      <c r="H80" s="15"/>
      <c r="I80" s="15"/>
      <c r="J80" s="15"/>
      <c r="K80" s="6"/>
      <c r="L80" s="6"/>
      <c r="M80" s="6"/>
      <c r="N80" s="6"/>
      <c r="O80" s="6"/>
      <c r="P80" s="6"/>
      <c r="Q80" s="6"/>
    </row>
    <row r="81" spans="3:17">
      <c r="C81" s="2"/>
      <c r="D81" s="12"/>
      <c r="E81" s="12"/>
      <c r="F81" s="6"/>
      <c r="G81" s="15"/>
      <c r="H81" s="15"/>
      <c r="I81" s="15"/>
      <c r="J81" s="15"/>
      <c r="K81" s="6"/>
      <c r="L81" s="6"/>
      <c r="M81" s="6"/>
      <c r="N81" s="6"/>
      <c r="O81" s="6"/>
      <c r="P81" s="6"/>
      <c r="Q81" s="6"/>
    </row>
    <row r="82" spans="3:17">
      <c r="C82" s="2"/>
      <c r="D82" s="12"/>
      <c r="E82" s="12"/>
      <c r="F82" s="6"/>
      <c r="G82" s="15"/>
      <c r="H82" s="15"/>
      <c r="I82" s="15"/>
      <c r="J82" s="15"/>
      <c r="K82" s="6"/>
      <c r="L82" s="6"/>
      <c r="M82" s="6"/>
      <c r="N82" s="6"/>
      <c r="O82" s="6"/>
      <c r="P82" s="6"/>
      <c r="Q82" s="6"/>
    </row>
    <row r="83" spans="3:17">
      <c r="C83" s="2"/>
      <c r="D83" s="12"/>
      <c r="E83" s="12"/>
      <c r="F83" s="6"/>
      <c r="G83" s="15"/>
      <c r="H83" s="15"/>
      <c r="I83" s="15"/>
      <c r="J83" s="15"/>
      <c r="K83" s="6"/>
      <c r="L83" s="6"/>
      <c r="M83" s="6"/>
      <c r="N83" s="6"/>
      <c r="O83" s="6"/>
      <c r="P83" s="6"/>
      <c r="Q83" s="6"/>
    </row>
    <row r="84" spans="3:17">
      <c r="C84" s="2"/>
      <c r="D84" s="12"/>
      <c r="E84" s="12"/>
      <c r="F84" s="6"/>
      <c r="G84" s="15"/>
      <c r="H84" s="15"/>
      <c r="I84" s="15"/>
      <c r="J84" s="15"/>
      <c r="K84" s="6"/>
      <c r="L84" s="6"/>
      <c r="M84" s="6"/>
      <c r="N84" s="6"/>
      <c r="O84" s="6"/>
      <c r="P84" s="6"/>
      <c r="Q84" s="6"/>
    </row>
    <row r="85" spans="3:17">
      <c r="C85" s="2"/>
      <c r="D85" s="12"/>
      <c r="E85" s="12"/>
      <c r="F85" s="6"/>
      <c r="G85" s="15"/>
      <c r="H85" s="15"/>
      <c r="I85" s="15"/>
      <c r="J85" s="15"/>
      <c r="K85" s="6"/>
      <c r="L85" s="6"/>
      <c r="M85" s="6"/>
      <c r="N85" s="6"/>
      <c r="O85" s="6"/>
      <c r="P85" s="6"/>
      <c r="Q85" s="6"/>
    </row>
    <row r="86" spans="3:17">
      <c r="C86" s="2"/>
      <c r="D86" s="12"/>
      <c r="E86" s="12"/>
      <c r="F86" s="6"/>
      <c r="G86" s="15"/>
      <c r="H86" s="15"/>
      <c r="I86" s="15"/>
      <c r="J86" s="15"/>
      <c r="K86" s="6"/>
      <c r="L86" s="6"/>
      <c r="M86" s="6"/>
      <c r="N86" s="6"/>
      <c r="O86" s="6"/>
      <c r="P86" s="6"/>
      <c r="Q86" s="6"/>
    </row>
    <row r="87" spans="3:17">
      <c r="C87" s="2"/>
      <c r="D87" s="12"/>
      <c r="E87" s="12"/>
      <c r="F87" s="6"/>
      <c r="G87" s="15"/>
      <c r="H87" s="15"/>
      <c r="I87" s="15"/>
      <c r="J87" s="15"/>
      <c r="K87" s="6"/>
      <c r="L87" s="6"/>
      <c r="M87" s="6"/>
      <c r="N87" s="6"/>
      <c r="O87" s="6"/>
      <c r="P87" s="6"/>
      <c r="Q87" s="6"/>
    </row>
    <row r="88" spans="3:17">
      <c r="C88" s="2"/>
      <c r="D88" s="12"/>
      <c r="E88" s="12"/>
      <c r="F88" s="6"/>
      <c r="G88" s="15"/>
      <c r="H88" s="15"/>
      <c r="I88" s="15"/>
      <c r="J88" s="15"/>
      <c r="K88" s="6"/>
      <c r="L88" s="6"/>
      <c r="M88" s="6"/>
      <c r="N88" s="6"/>
      <c r="O88" s="6"/>
      <c r="P88" s="6"/>
      <c r="Q88" s="6"/>
    </row>
    <row r="89" spans="3:17">
      <c r="C89" s="2"/>
      <c r="D89" s="12"/>
      <c r="E89" s="12"/>
      <c r="F89" s="6"/>
      <c r="G89" s="15"/>
      <c r="H89" s="15"/>
      <c r="I89" s="15"/>
      <c r="J89" s="15"/>
      <c r="K89" s="6"/>
      <c r="L89" s="6"/>
      <c r="M89" s="6"/>
      <c r="N89" s="6"/>
      <c r="O89" s="6"/>
      <c r="P89" s="6"/>
      <c r="Q89" s="6"/>
    </row>
    <row r="90" spans="3:17">
      <c r="C90" s="2"/>
      <c r="D90" s="12"/>
      <c r="E90" s="12"/>
      <c r="F90" s="6"/>
      <c r="G90" s="15"/>
      <c r="H90" s="15"/>
      <c r="I90" s="15"/>
      <c r="J90" s="15"/>
      <c r="K90" s="6"/>
      <c r="L90" s="6"/>
      <c r="M90" s="6"/>
      <c r="N90" s="6"/>
      <c r="O90" s="6"/>
      <c r="P90" s="6"/>
      <c r="Q90" s="6"/>
    </row>
    <row r="91" spans="3:17">
      <c r="C91" s="2"/>
      <c r="D91" s="12"/>
      <c r="E91" s="12"/>
      <c r="F91" s="6"/>
      <c r="G91" s="15"/>
      <c r="H91" s="15"/>
      <c r="I91" s="15"/>
      <c r="J91" s="15"/>
      <c r="K91" s="6"/>
      <c r="L91" s="6"/>
      <c r="M91" s="6"/>
      <c r="N91" s="6"/>
      <c r="O91" s="6"/>
      <c r="P91" s="6"/>
      <c r="Q91" s="6"/>
    </row>
    <row r="92" spans="3:17">
      <c r="C92" s="2"/>
      <c r="D92" s="12"/>
      <c r="E92" s="12"/>
      <c r="F92" s="6"/>
      <c r="G92" s="15"/>
      <c r="H92" s="15"/>
      <c r="I92" s="15"/>
      <c r="J92" s="15"/>
      <c r="K92" s="6"/>
      <c r="L92" s="6"/>
      <c r="M92" s="6"/>
      <c r="N92" s="6"/>
      <c r="O92" s="6"/>
      <c r="P92" s="6"/>
      <c r="Q92" s="6"/>
    </row>
    <row r="93" spans="3:17">
      <c r="C93" s="2"/>
      <c r="D93" s="12"/>
      <c r="E93" s="12"/>
      <c r="F93" s="6"/>
      <c r="G93" s="15"/>
      <c r="H93" s="15"/>
      <c r="I93" s="15"/>
      <c r="J93" s="15"/>
      <c r="K93" s="6"/>
      <c r="L93" s="6"/>
      <c r="M93" s="6"/>
      <c r="N93" s="6"/>
      <c r="O93" s="6"/>
      <c r="P93" s="6"/>
      <c r="Q93" s="6"/>
    </row>
    <row r="94" spans="3:17">
      <c r="C94" s="2"/>
      <c r="D94" s="12"/>
      <c r="E94" s="12"/>
      <c r="F94" s="6"/>
      <c r="G94" s="15"/>
      <c r="H94" s="15"/>
      <c r="I94" s="15"/>
      <c r="J94" s="15"/>
      <c r="K94" s="6"/>
      <c r="L94" s="6"/>
      <c r="M94" s="6"/>
      <c r="N94" s="6"/>
      <c r="O94" s="6"/>
      <c r="P94" s="6"/>
      <c r="Q94" s="6"/>
    </row>
    <row r="95" spans="3:17">
      <c r="C95" s="2"/>
      <c r="D95" s="12"/>
      <c r="E95" s="12"/>
      <c r="F95" s="6"/>
      <c r="G95" s="15"/>
      <c r="H95" s="15"/>
      <c r="I95" s="15"/>
      <c r="J95" s="15"/>
      <c r="K95" s="6"/>
      <c r="L95" s="6"/>
      <c r="M95" s="6"/>
      <c r="N95" s="6"/>
      <c r="O95" s="6"/>
      <c r="P95" s="6"/>
      <c r="Q95" s="6"/>
    </row>
    <row r="96" spans="3:17">
      <c r="C96" s="2"/>
      <c r="D96" s="12"/>
      <c r="E96" s="12"/>
      <c r="F96" s="6"/>
      <c r="G96" s="15"/>
      <c r="H96" s="15"/>
      <c r="I96" s="15"/>
      <c r="J96" s="15"/>
      <c r="K96" s="6"/>
      <c r="L96" s="6"/>
      <c r="M96" s="6"/>
      <c r="N96" s="6"/>
      <c r="O96" s="6"/>
      <c r="P96" s="6"/>
      <c r="Q96" s="6"/>
    </row>
    <row r="97" spans="3:17">
      <c r="C97" s="2"/>
      <c r="D97" s="12"/>
      <c r="E97" s="12"/>
      <c r="F97" s="6"/>
      <c r="G97" s="15"/>
      <c r="H97" s="15"/>
      <c r="I97" s="15"/>
      <c r="J97" s="15"/>
      <c r="K97" s="6"/>
      <c r="L97" s="6"/>
      <c r="M97" s="6"/>
      <c r="N97" s="6"/>
      <c r="O97" s="6"/>
      <c r="P97" s="6"/>
      <c r="Q97" s="6"/>
    </row>
    <row r="98" spans="3:17">
      <c r="C98" s="2"/>
      <c r="D98" s="12"/>
      <c r="E98" s="12"/>
      <c r="F98" s="6"/>
      <c r="G98" s="15"/>
      <c r="H98" s="15"/>
      <c r="I98" s="15"/>
      <c r="J98" s="15"/>
      <c r="K98" s="6"/>
      <c r="L98" s="6"/>
      <c r="M98" s="6"/>
      <c r="N98" s="6"/>
      <c r="O98" s="6"/>
      <c r="P98" s="6"/>
      <c r="Q98" s="6"/>
    </row>
    <row r="99" spans="3:17">
      <c r="C99" s="2"/>
      <c r="D99" s="12"/>
      <c r="E99" s="12"/>
      <c r="F99" s="6"/>
      <c r="G99" s="15"/>
      <c r="H99" s="15"/>
      <c r="I99" s="15"/>
      <c r="J99" s="15"/>
      <c r="K99" s="6"/>
      <c r="L99" s="6"/>
      <c r="M99" s="6"/>
      <c r="N99" s="6"/>
      <c r="O99" s="6"/>
      <c r="P99" s="6"/>
      <c r="Q99" s="6"/>
    </row>
    <row r="100" spans="3:17">
      <c r="C100" s="2"/>
      <c r="D100" s="12"/>
      <c r="E100" s="12"/>
      <c r="F100" s="6"/>
      <c r="G100" s="15"/>
      <c r="H100" s="15"/>
      <c r="I100" s="15"/>
      <c r="J100" s="15"/>
      <c r="K100" s="6"/>
      <c r="L100" s="6"/>
      <c r="M100" s="6"/>
      <c r="N100" s="6"/>
      <c r="O100" s="6"/>
      <c r="P100" s="6"/>
      <c r="Q100" s="6"/>
    </row>
    <row r="101" spans="3:17">
      <c r="C101" s="2"/>
      <c r="D101" s="12"/>
      <c r="E101" s="13"/>
      <c r="F101" s="6"/>
      <c r="G101" s="15"/>
      <c r="H101" s="15"/>
      <c r="I101" s="15"/>
      <c r="J101" s="15"/>
      <c r="K101" s="6"/>
      <c r="L101" s="6"/>
      <c r="M101" s="6"/>
      <c r="N101" s="6"/>
      <c r="O101" s="6"/>
      <c r="P101" s="6"/>
      <c r="Q101" s="6"/>
    </row>
    <row r="102" spans="3:17">
      <c r="C102" s="2"/>
      <c r="D102" s="12"/>
      <c r="E102" s="12"/>
      <c r="F102" s="6"/>
      <c r="G102" s="15"/>
      <c r="H102" s="15"/>
      <c r="I102" s="15"/>
      <c r="J102" s="15"/>
      <c r="K102" s="6"/>
      <c r="L102" s="6"/>
      <c r="M102" s="6"/>
      <c r="N102" s="6"/>
      <c r="O102" s="6"/>
      <c r="P102" s="6"/>
      <c r="Q102" s="6"/>
    </row>
    <row r="103" spans="3:17">
      <c r="C103" s="2"/>
      <c r="D103" s="12"/>
      <c r="E103" s="12"/>
      <c r="F103" s="6"/>
      <c r="G103" s="15"/>
      <c r="H103" s="15"/>
      <c r="I103" s="15"/>
      <c r="J103" s="15"/>
      <c r="K103" s="6"/>
      <c r="L103" s="6"/>
      <c r="M103" s="6"/>
      <c r="N103" s="6"/>
      <c r="O103" s="6"/>
      <c r="P103" s="6"/>
      <c r="Q103" s="6"/>
    </row>
    <row r="104" spans="3:17">
      <c r="C104" s="2"/>
      <c r="D104" s="12"/>
      <c r="E104" s="12"/>
      <c r="F104" s="6"/>
      <c r="G104" s="15"/>
      <c r="H104" s="15"/>
      <c r="I104" s="15"/>
      <c r="J104" s="15"/>
      <c r="K104" s="6"/>
      <c r="L104" s="6"/>
      <c r="M104" s="6"/>
      <c r="N104" s="6"/>
      <c r="O104" s="6"/>
      <c r="P104" s="6"/>
      <c r="Q104" s="6"/>
    </row>
    <row r="105" spans="3:17">
      <c r="C105" s="2"/>
      <c r="D105" s="12"/>
      <c r="E105" s="12"/>
      <c r="F105" s="6"/>
      <c r="G105" s="15"/>
      <c r="H105" s="15"/>
      <c r="I105" s="15"/>
      <c r="J105" s="15"/>
      <c r="K105" s="6"/>
      <c r="L105" s="6"/>
      <c r="M105" s="6"/>
      <c r="N105" s="6"/>
      <c r="O105" s="6"/>
      <c r="P105" s="6"/>
      <c r="Q105" s="6"/>
    </row>
    <row r="106" spans="3:17">
      <c r="C106" s="2"/>
      <c r="D106" s="12"/>
      <c r="E106" s="12"/>
      <c r="F106" s="6"/>
      <c r="G106" s="15"/>
      <c r="H106" s="15"/>
      <c r="I106" s="15"/>
      <c r="J106" s="15"/>
      <c r="K106" s="6"/>
      <c r="L106" s="6"/>
      <c r="M106" s="6"/>
      <c r="N106" s="6"/>
      <c r="O106" s="6"/>
      <c r="P106" s="6"/>
      <c r="Q106" s="6"/>
    </row>
    <row r="107" spans="3:17">
      <c r="C107" s="2"/>
      <c r="D107" s="12"/>
      <c r="E107" s="12"/>
      <c r="F107" s="6"/>
      <c r="G107" s="15"/>
      <c r="H107" s="15"/>
      <c r="I107" s="15"/>
      <c r="J107" s="15"/>
      <c r="K107" s="6"/>
      <c r="L107" s="6"/>
      <c r="M107" s="6"/>
      <c r="N107" s="6"/>
      <c r="O107" s="6"/>
      <c r="P107" s="6"/>
      <c r="Q107" s="6"/>
    </row>
    <row r="108" spans="3:17">
      <c r="C108" s="2"/>
      <c r="D108" s="12"/>
      <c r="E108" s="12"/>
      <c r="F108" s="6"/>
      <c r="G108" s="15"/>
      <c r="H108" s="15"/>
      <c r="I108" s="15"/>
      <c r="J108" s="15"/>
      <c r="K108" s="6"/>
      <c r="L108" s="6"/>
      <c r="M108" s="6"/>
      <c r="N108" s="6"/>
      <c r="O108" s="6"/>
      <c r="P108" s="6"/>
      <c r="Q108" s="6"/>
    </row>
    <row r="109" spans="3:17">
      <c r="C109" s="2"/>
      <c r="D109" s="12"/>
      <c r="E109" s="12"/>
      <c r="F109" s="6"/>
      <c r="G109" s="15"/>
      <c r="H109" s="15"/>
      <c r="I109" s="15"/>
      <c r="J109" s="15"/>
      <c r="K109" s="6"/>
      <c r="L109" s="6"/>
      <c r="M109" s="6"/>
      <c r="N109" s="6"/>
      <c r="O109" s="6"/>
      <c r="P109" s="6"/>
      <c r="Q109" s="6"/>
    </row>
    <row r="110" spans="3:17">
      <c r="C110" s="2"/>
      <c r="D110" s="12"/>
      <c r="E110" s="12"/>
      <c r="F110" s="6"/>
      <c r="G110" s="15"/>
      <c r="H110" s="15"/>
      <c r="I110" s="15"/>
      <c r="J110" s="15"/>
      <c r="K110" s="6"/>
      <c r="L110" s="6"/>
      <c r="M110" s="6"/>
      <c r="N110" s="6"/>
      <c r="O110" s="6"/>
      <c r="P110" s="6"/>
      <c r="Q110" s="6"/>
    </row>
    <row r="111" spans="3:17">
      <c r="C111" s="2"/>
      <c r="D111" s="12"/>
      <c r="E111" s="12"/>
      <c r="F111" s="6"/>
      <c r="G111" s="15"/>
      <c r="H111" s="15"/>
      <c r="I111" s="15"/>
      <c r="J111" s="15"/>
      <c r="K111" s="6"/>
      <c r="L111" s="6"/>
      <c r="M111" s="6"/>
      <c r="N111" s="6"/>
      <c r="O111" s="6"/>
      <c r="P111" s="6"/>
      <c r="Q111" s="6"/>
    </row>
    <row r="112" spans="3:17">
      <c r="C112" s="2"/>
      <c r="D112" s="12"/>
      <c r="E112" s="12"/>
      <c r="F112" s="6"/>
      <c r="G112" s="15"/>
      <c r="H112" s="15"/>
      <c r="I112" s="15"/>
      <c r="J112" s="15"/>
      <c r="K112" s="6"/>
      <c r="L112" s="6"/>
      <c r="M112" s="6"/>
      <c r="N112" s="6"/>
      <c r="O112" s="6"/>
      <c r="P112" s="6"/>
      <c r="Q112" s="6"/>
    </row>
    <row r="113" spans="2:17">
      <c r="C113" s="2"/>
      <c r="D113" s="12"/>
      <c r="E113" s="12"/>
      <c r="F113" s="6"/>
      <c r="G113" s="15"/>
      <c r="H113" s="15"/>
      <c r="I113" s="15"/>
      <c r="J113" s="15"/>
      <c r="K113" s="6"/>
      <c r="L113" s="6"/>
      <c r="M113" s="6"/>
      <c r="N113" s="6"/>
      <c r="O113" s="6"/>
      <c r="P113" s="6"/>
      <c r="Q113" s="6"/>
    </row>
    <row r="114" spans="2:17">
      <c r="C114" s="2"/>
      <c r="D114" s="12"/>
      <c r="E114" s="12"/>
      <c r="F114" s="6"/>
      <c r="G114" s="15"/>
      <c r="H114" s="15"/>
      <c r="I114" s="15"/>
      <c r="J114" s="15"/>
      <c r="K114" s="6"/>
      <c r="L114" s="6"/>
      <c r="M114" s="6"/>
      <c r="N114" s="6"/>
      <c r="O114" s="6"/>
      <c r="P114" s="6"/>
      <c r="Q114" s="6"/>
    </row>
    <row r="115" spans="2:17">
      <c r="C115" s="2"/>
      <c r="D115" s="12"/>
      <c r="E115" s="13"/>
      <c r="F115" s="6"/>
      <c r="G115" s="15"/>
      <c r="H115" s="15"/>
      <c r="I115" s="15"/>
      <c r="J115" s="15"/>
      <c r="K115" s="6"/>
      <c r="L115" s="6"/>
      <c r="M115" s="6"/>
      <c r="N115" s="6"/>
      <c r="O115" s="6"/>
      <c r="P115" s="6"/>
      <c r="Q115" s="6"/>
    </row>
    <row r="116" spans="2:17">
      <c r="C116" s="2"/>
      <c r="D116" s="12"/>
      <c r="E116" s="12"/>
      <c r="F116" s="6"/>
      <c r="G116" s="15"/>
      <c r="H116" s="15"/>
      <c r="I116" s="15"/>
      <c r="J116" s="15"/>
      <c r="K116" s="6"/>
      <c r="L116" s="6"/>
      <c r="M116" s="6"/>
      <c r="N116" s="6"/>
      <c r="O116" s="6"/>
      <c r="P116" s="6"/>
      <c r="Q116" s="6"/>
    </row>
    <row r="117" spans="2:17">
      <c r="C117" s="2"/>
      <c r="D117" s="12"/>
      <c r="E117" s="12"/>
      <c r="F117" s="6"/>
      <c r="G117" s="15"/>
      <c r="H117" s="15"/>
      <c r="I117" s="15"/>
      <c r="J117" s="15"/>
      <c r="K117" s="6"/>
      <c r="L117" s="6"/>
      <c r="M117" s="6"/>
      <c r="N117" s="6"/>
      <c r="O117" s="6"/>
      <c r="P117" s="6"/>
      <c r="Q117" s="6"/>
    </row>
    <row r="118" spans="2:17">
      <c r="C118" s="2"/>
      <c r="D118" s="12"/>
      <c r="E118" s="12"/>
      <c r="F118" s="6"/>
      <c r="G118" s="15"/>
      <c r="H118" s="15"/>
      <c r="I118" s="15"/>
      <c r="J118" s="15"/>
      <c r="K118" s="6"/>
      <c r="L118" s="6"/>
      <c r="M118" s="6"/>
      <c r="N118" s="6"/>
      <c r="O118" s="6"/>
      <c r="P118" s="6"/>
      <c r="Q118" s="6"/>
    </row>
    <row r="119" spans="2:17">
      <c r="C119" s="2"/>
      <c r="D119" s="12"/>
      <c r="E119" s="12"/>
      <c r="F119" s="6"/>
      <c r="G119" s="15"/>
      <c r="H119" s="15"/>
      <c r="I119" s="15"/>
      <c r="J119" s="15"/>
      <c r="K119" s="6"/>
      <c r="L119" s="6"/>
      <c r="M119" s="6"/>
      <c r="N119" s="6"/>
      <c r="O119" s="6"/>
      <c r="P119" s="6"/>
      <c r="Q119" s="6"/>
    </row>
    <row r="120" spans="2:17">
      <c r="C120" s="2"/>
      <c r="D120" s="12"/>
      <c r="E120" s="12"/>
      <c r="F120" s="6"/>
      <c r="G120" s="15"/>
      <c r="H120" s="15"/>
      <c r="I120" s="15"/>
      <c r="J120" s="15"/>
      <c r="K120" s="6"/>
      <c r="L120" s="6"/>
      <c r="M120" s="6"/>
      <c r="N120" s="6"/>
      <c r="O120" s="6"/>
      <c r="P120" s="6"/>
      <c r="Q120" s="6"/>
    </row>
    <row r="121" spans="2:17">
      <c r="C121" s="2"/>
      <c r="D121" s="12"/>
      <c r="E121" s="12"/>
      <c r="F121" s="6"/>
      <c r="G121" s="15"/>
      <c r="H121" s="15"/>
      <c r="I121" s="15"/>
      <c r="J121" s="15"/>
      <c r="K121" s="6"/>
      <c r="L121" s="6"/>
      <c r="M121" s="6"/>
      <c r="N121" s="6"/>
      <c r="O121" s="6"/>
      <c r="P121" s="6"/>
      <c r="Q121" s="6"/>
    </row>
    <row r="122" spans="2:17">
      <c r="B122" s="8"/>
      <c r="C122" s="2"/>
      <c r="D122" s="12"/>
      <c r="E122" s="12"/>
      <c r="F122" s="6"/>
      <c r="G122" s="15"/>
      <c r="H122" s="15"/>
      <c r="I122" s="15"/>
      <c r="J122" s="15"/>
      <c r="K122" s="6"/>
      <c r="L122" s="6"/>
      <c r="M122" s="6"/>
      <c r="N122" s="6"/>
      <c r="O122" s="6"/>
      <c r="P122" s="6"/>
      <c r="Q122" s="6"/>
    </row>
    <row r="123" spans="2:17">
      <c r="C123" s="2"/>
      <c r="D123" s="12"/>
      <c r="E123" s="12"/>
      <c r="F123" s="6"/>
      <c r="G123" s="15"/>
      <c r="H123" s="15"/>
      <c r="I123" s="15"/>
      <c r="J123" s="15"/>
      <c r="K123" s="6"/>
      <c r="L123" s="6"/>
      <c r="M123" s="6"/>
      <c r="N123" s="6"/>
      <c r="O123" s="6"/>
      <c r="P123" s="6"/>
      <c r="Q123" s="6"/>
    </row>
    <row r="124" spans="2:17">
      <c r="C124" s="2"/>
      <c r="D124" s="12"/>
      <c r="E124" s="12"/>
      <c r="F124" s="6"/>
      <c r="G124" s="15"/>
      <c r="H124" s="15"/>
      <c r="I124" s="15"/>
      <c r="J124" s="15"/>
      <c r="K124" s="6"/>
      <c r="L124" s="6"/>
      <c r="M124" s="6"/>
      <c r="N124" s="6"/>
      <c r="O124" s="6"/>
      <c r="P124" s="6"/>
      <c r="Q124" s="6"/>
    </row>
    <row r="125" spans="2:17">
      <c r="C125" s="2"/>
      <c r="D125" s="12"/>
      <c r="E125" s="12"/>
      <c r="F125" s="6"/>
      <c r="G125" s="15"/>
      <c r="H125" s="15"/>
      <c r="I125" s="15"/>
      <c r="J125" s="15"/>
      <c r="K125" s="6"/>
      <c r="L125" s="6"/>
      <c r="M125" s="6"/>
      <c r="N125" s="6"/>
      <c r="O125" s="6"/>
      <c r="P125" s="6"/>
      <c r="Q125" s="6"/>
    </row>
    <row r="126" spans="2:17">
      <c r="C126" s="2"/>
      <c r="D126" s="12"/>
      <c r="E126" s="12"/>
      <c r="F126" s="6"/>
      <c r="G126" s="15"/>
      <c r="H126" s="15"/>
      <c r="I126" s="15"/>
      <c r="J126" s="15"/>
      <c r="K126" s="6"/>
      <c r="L126" s="6"/>
      <c r="M126" s="6"/>
      <c r="N126" s="6"/>
      <c r="O126" s="6"/>
      <c r="P126" s="6"/>
      <c r="Q126" s="6"/>
    </row>
    <row r="127" spans="2:17">
      <c r="C127" s="2"/>
      <c r="D127" s="12"/>
      <c r="E127" s="12"/>
      <c r="F127" s="6"/>
      <c r="G127" s="15"/>
      <c r="H127" s="15"/>
      <c r="I127" s="15"/>
      <c r="J127" s="15"/>
      <c r="K127" s="6"/>
      <c r="L127" s="6"/>
      <c r="M127" s="6"/>
      <c r="N127" s="6"/>
      <c r="O127" s="6"/>
      <c r="P127" s="6"/>
      <c r="Q127" s="6"/>
    </row>
    <row r="128" spans="2:17">
      <c r="C128" s="2"/>
      <c r="D128" s="12"/>
      <c r="E128" s="12"/>
      <c r="F128" s="6"/>
      <c r="G128" s="15"/>
      <c r="H128" s="15"/>
      <c r="I128" s="15"/>
      <c r="J128" s="15"/>
      <c r="K128" s="6"/>
      <c r="L128" s="6"/>
      <c r="M128" s="6"/>
      <c r="N128" s="6"/>
      <c r="O128" s="6"/>
      <c r="P128" s="6"/>
      <c r="Q128" s="6"/>
    </row>
    <row r="129" spans="3:17">
      <c r="C129" s="2"/>
      <c r="D129" s="12"/>
      <c r="E129" s="12"/>
      <c r="F129" s="6"/>
      <c r="G129" s="15"/>
      <c r="H129" s="15"/>
      <c r="I129" s="15"/>
      <c r="J129" s="15"/>
      <c r="K129" s="6"/>
      <c r="L129" s="6"/>
      <c r="M129" s="6"/>
      <c r="N129" s="6"/>
      <c r="O129" s="6"/>
      <c r="P129" s="6"/>
      <c r="Q129" s="6"/>
    </row>
    <row r="130" spans="3:17">
      <c r="C130" s="2"/>
      <c r="D130" s="12"/>
      <c r="E130" s="12"/>
      <c r="F130" s="6"/>
      <c r="G130" s="15"/>
      <c r="H130" s="15"/>
      <c r="I130" s="15"/>
      <c r="J130" s="15"/>
      <c r="K130" s="6"/>
      <c r="L130" s="6"/>
      <c r="M130" s="6"/>
      <c r="N130" s="6"/>
      <c r="O130" s="6"/>
      <c r="P130" s="6"/>
      <c r="Q130" s="6"/>
    </row>
    <row r="131" spans="3:17">
      <c r="C131" s="2"/>
      <c r="D131" s="12"/>
      <c r="E131" s="12"/>
      <c r="F131" s="6"/>
      <c r="G131" s="15"/>
      <c r="H131" s="15"/>
      <c r="I131" s="15"/>
      <c r="J131" s="15"/>
      <c r="K131" s="6"/>
      <c r="L131" s="6"/>
      <c r="M131" s="6"/>
      <c r="N131" s="6"/>
      <c r="O131" s="6"/>
      <c r="P131" s="6"/>
      <c r="Q131" s="6"/>
    </row>
    <row r="132" spans="3:17">
      <c r="C132" s="2"/>
      <c r="D132" s="12"/>
      <c r="E132" s="12"/>
      <c r="F132" s="6"/>
      <c r="G132" s="15"/>
      <c r="H132" s="15"/>
      <c r="I132" s="15"/>
      <c r="J132" s="15"/>
      <c r="K132" s="6"/>
      <c r="L132" s="6"/>
      <c r="M132" s="6"/>
      <c r="N132" s="6"/>
      <c r="O132" s="6"/>
      <c r="P132" s="6"/>
      <c r="Q132" s="6"/>
    </row>
    <row r="133" spans="3:17">
      <c r="C133" s="2"/>
      <c r="D133" s="12"/>
      <c r="E133" s="12"/>
      <c r="F133" s="6"/>
      <c r="G133" s="15"/>
      <c r="H133" s="15"/>
      <c r="I133" s="15"/>
      <c r="J133" s="15"/>
      <c r="K133" s="6"/>
      <c r="L133" s="6"/>
      <c r="M133" s="6"/>
      <c r="N133" s="6"/>
      <c r="O133" s="6"/>
      <c r="P133" s="6"/>
      <c r="Q133" s="6"/>
    </row>
    <row r="134" spans="3:17">
      <c r="C134" s="2"/>
      <c r="D134" s="12"/>
      <c r="E134" s="12"/>
      <c r="F134" s="6"/>
      <c r="G134" s="15"/>
      <c r="H134" s="15"/>
      <c r="I134" s="15"/>
      <c r="J134" s="15"/>
      <c r="K134" s="6"/>
      <c r="L134" s="6"/>
      <c r="M134" s="6"/>
      <c r="N134" s="6"/>
      <c r="O134" s="6"/>
      <c r="P134" s="6"/>
      <c r="Q134" s="6"/>
    </row>
    <row r="135" spans="3:17">
      <c r="C135" s="2"/>
      <c r="D135" s="12"/>
      <c r="E135" s="12"/>
      <c r="F135" s="6"/>
      <c r="G135" s="15"/>
      <c r="H135" s="15"/>
      <c r="I135" s="15"/>
      <c r="J135" s="15"/>
      <c r="K135" s="6"/>
      <c r="L135" s="6"/>
      <c r="M135" s="6"/>
      <c r="N135" s="6"/>
      <c r="O135" s="6"/>
      <c r="P135" s="6"/>
      <c r="Q135" s="6"/>
    </row>
    <row r="136" spans="3:17">
      <c r="C136" s="2"/>
      <c r="D136" s="12"/>
      <c r="E136" s="12"/>
      <c r="F136" s="6"/>
      <c r="G136" s="15"/>
      <c r="H136" s="15"/>
      <c r="I136" s="15"/>
      <c r="J136" s="15"/>
      <c r="K136" s="6"/>
      <c r="L136" s="6"/>
      <c r="M136" s="6"/>
      <c r="N136" s="6"/>
      <c r="O136" s="6"/>
      <c r="P136" s="6"/>
      <c r="Q136" s="6"/>
    </row>
    <row r="137" spans="3:17">
      <c r="C137" s="2"/>
      <c r="D137" s="12"/>
      <c r="E137" s="12"/>
      <c r="F137" s="6"/>
      <c r="G137" s="15"/>
      <c r="H137" s="15"/>
      <c r="I137" s="15"/>
      <c r="J137" s="15"/>
      <c r="K137" s="6"/>
      <c r="L137" s="6"/>
      <c r="M137" s="6"/>
      <c r="N137" s="6"/>
      <c r="O137" s="6"/>
      <c r="P137" s="6"/>
      <c r="Q137" s="6"/>
    </row>
    <row r="138" spans="3:17">
      <c r="C138" s="2"/>
      <c r="D138" s="12"/>
      <c r="E138" s="12"/>
      <c r="F138" s="6"/>
    </row>
    <row r="139" spans="3:17">
      <c r="C139" s="2"/>
      <c r="D139" s="12"/>
      <c r="E139" s="12"/>
      <c r="F139" s="6"/>
    </row>
    <row r="140" spans="3:17">
      <c r="C140" s="2"/>
      <c r="D140" s="12"/>
      <c r="E140" s="12"/>
      <c r="F140" s="6"/>
    </row>
    <row r="141" spans="3:17">
      <c r="C141" s="2"/>
      <c r="D141" s="12"/>
      <c r="E141" s="12"/>
      <c r="F141" s="6"/>
    </row>
    <row r="142" spans="3:17">
      <c r="C142" s="2"/>
      <c r="D142" s="12"/>
      <c r="E142" s="12"/>
      <c r="F142" s="6"/>
    </row>
    <row r="143" spans="3:17">
      <c r="C143" s="2"/>
      <c r="D143" s="12"/>
      <c r="E143" s="13"/>
      <c r="F143" s="6"/>
    </row>
    <row r="144" spans="3:17">
      <c r="C144" s="2"/>
      <c r="D144" s="12"/>
      <c r="E144" s="12"/>
      <c r="F144" s="6"/>
    </row>
    <row r="145" spans="3:6">
      <c r="C145" s="2"/>
      <c r="D145" s="12"/>
      <c r="E145" s="12"/>
      <c r="F145" s="6"/>
    </row>
    <row r="146" spans="3:6">
      <c r="C146" s="2"/>
      <c r="D146" s="12"/>
      <c r="E146" s="13"/>
      <c r="F146" s="6"/>
    </row>
    <row r="147" spans="3:6">
      <c r="C147" s="2"/>
      <c r="D147" s="12"/>
      <c r="E147" s="12"/>
      <c r="F147" s="6"/>
    </row>
    <row r="148" spans="3:6">
      <c r="C148" s="2"/>
      <c r="D148" s="12"/>
      <c r="E148" s="12"/>
      <c r="F148" s="6"/>
    </row>
    <row r="149" spans="3:6">
      <c r="C149" s="2"/>
      <c r="D149" s="12"/>
      <c r="E149" s="12"/>
      <c r="F149" s="6"/>
    </row>
    <row r="150" spans="3:6">
      <c r="C150" s="2"/>
      <c r="D150" s="12"/>
      <c r="E150" s="12"/>
      <c r="F150" s="6"/>
    </row>
    <row r="151" spans="3:6">
      <c r="C151" s="2"/>
      <c r="D151" s="12"/>
      <c r="E151" s="12"/>
      <c r="F151" s="6"/>
    </row>
    <row r="152" spans="3:6">
      <c r="C152" s="2"/>
      <c r="D152" s="12"/>
      <c r="E152" s="12"/>
      <c r="F152" s="6"/>
    </row>
    <row r="153" spans="3:6">
      <c r="C153" s="2"/>
      <c r="D153" s="12"/>
      <c r="E153" s="12"/>
      <c r="F153" s="6"/>
    </row>
    <row r="154" spans="3:6">
      <c r="C154" s="2"/>
      <c r="D154" s="12"/>
      <c r="E154" s="12"/>
      <c r="F154" s="6"/>
    </row>
    <row r="155" spans="3:6">
      <c r="C155" s="2"/>
      <c r="D155" s="12"/>
      <c r="E155" s="12"/>
      <c r="F155" s="6"/>
    </row>
    <row r="156" spans="3:6">
      <c r="C156" s="2"/>
      <c r="D156" s="12"/>
      <c r="E156" s="12"/>
      <c r="F156" s="6"/>
    </row>
    <row r="157" spans="3:6">
      <c r="C157" s="2"/>
      <c r="D157" s="12"/>
      <c r="E157" s="12"/>
      <c r="F157" s="6"/>
    </row>
    <row r="158" spans="3:6">
      <c r="C158" s="2"/>
      <c r="D158" s="12"/>
      <c r="E158" s="13"/>
      <c r="F158" s="6"/>
    </row>
    <row r="159" spans="3:6">
      <c r="C159" s="2"/>
      <c r="D159" s="12"/>
      <c r="E159" s="12"/>
      <c r="F159" s="6"/>
    </row>
    <row r="160" spans="3:6">
      <c r="C160" s="2"/>
      <c r="D160" s="12"/>
      <c r="E160" s="12"/>
      <c r="F160" s="6"/>
    </row>
    <row r="161" spans="3:6">
      <c r="C161" s="2"/>
      <c r="D161" s="12"/>
      <c r="E161" s="12"/>
      <c r="F161" s="6"/>
    </row>
    <row r="162" spans="3:6">
      <c r="C162" s="2"/>
      <c r="D162" s="12"/>
      <c r="E162" s="12"/>
      <c r="F162" s="6"/>
    </row>
    <row r="163" spans="3:6">
      <c r="C163" s="2"/>
      <c r="D163" s="12"/>
      <c r="E163" s="12"/>
      <c r="F163" s="6"/>
    </row>
    <row r="164" spans="3:6">
      <c r="C164" s="2"/>
      <c r="D164" s="12"/>
      <c r="E164" s="12"/>
      <c r="F164" s="6"/>
    </row>
    <row r="165" spans="3:6">
      <c r="C165" s="2"/>
      <c r="D165" s="12"/>
      <c r="E165" s="12"/>
      <c r="F165" s="6"/>
    </row>
    <row r="166" spans="3:6">
      <c r="C166" s="2"/>
      <c r="D166" s="12"/>
      <c r="E166" s="12"/>
      <c r="F166" s="6"/>
    </row>
    <row r="167" spans="3:6">
      <c r="C167" s="2"/>
      <c r="D167" s="12"/>
      <c r="E167" s="12"/>
      <c r="F167" s="6"/>
    </row>
    <row r="168" spans="3:6">
      <c r="C168" s="2"/>
      <c r="D168" s="12"/>
      <c r="E168" s="12"/>
      <c r="F168" s="6"/>
    </row>
    <row r="169" spans="3:6">
      <c r="C169" s="2"/>
      <c r="D169" s="12"/>
      <c r="E169" s="13"/>
      <c r="F169" s="6"/>
    </row>
    <row r="170" spans="3:6">
      <c r="C170" s="2"/>
      <c r="D170" s="12"/>
      <c r="E170" s="12"/>
      <c r="F170" s="6"/>
    </row>
    <row r="171" spans="3:6">
      <c r="C171" s="2"/>
      <c r="D171" s="12"/>
      <c r="E171" s="12"/>
      <c r="F171" s="6"/>
    </row>
    <row r="172" spans="3:6">
      <c r="C172" s="2"/>
      <c r="D172" s="12"/>
      <c r="E172" s="12"/>
      <c r="F172" s="6"/>
    </row>
    <row r="173" spans="3:6">
      <c r="C173" s="2"/>
      <c r="D173" s="12"/>
      <c r="E173" s="12"/>
      <c r="F173" s="6"/>
    </row>
    <row r="174" spans="3:6">
      <c r="C174" s="2"/>
      <c r="D174" s="12"/>
      <c r="E174" s="12"/>
      <c r="F174" s="6"/>
    </row>
    <row r="175" spans="3:6">
      <c r="C175" s="2"/>
      <c r="D175" s="12"/>
      <c r="E175" s="12"/>
      <c r="F175" s="6"/>
    </row>
    <row r="176" spans="3:6">
      <c r="C176" s="2"/>
      <c r="D176" s="12"/>
      <c r="E176" s="12"/>
      <c r="F176" s="6"/>
    </row>
    <row r="177" spans="3:6">
      <c r="C177" s="2"/>
      <c r="D177" s="12"/>
      <c r="E177" s="12"/>
      <c r="F177" s="6"/>
    </row>
    <row r="178" spans="3:6">
      <c r="C178" s="2"/>
      <c r="D178" s="12"/>
      <c r="E178" s="12"/>
      <c r="F178" s="6"/>
    </row>
    <row r="179" spans="3:6">
      <c r="C179" s="2"/>
      <c r="D179" s="12"/>
      <c r="E179" s="12"/>
      <c r="F179" s="6"/>
    </row>
    <row r="180" spans="3:6">
      <c r="C180" s="2"/>
      <c r="D180" s="12"/>
      <c r="E180" s="12"/>
      <c r="F180" s="6"/>
    </row>
    <row r="181" spans="3:6">
      <c r="C181" s="2"/>
      <c r="D181" s="12"/>
      <c r="E181" s="12"/>
      <c r="F181" s="6"/>
    </row>
    <row r="182" spans="3:6">
      <c r="C182" s="2"/>
      <c r="D182" s="12"/>
      <c r="E182" s="12"/>
      <c r="F182" s="6"/>
    </row>
    <row r="183" spans="3:6">
      <c r="C183" s="2"/>
      <c r="D183" s="12"/>
      <c r="E183" s="12"/>
      <c r="F183" s="6"/>
    </row>
    <row r="184" spans="3:6">
      <c r="C184" s="2"/>
      <c r="D184" s="12"/>
      <c r="E184" s="12"/>
      <c r="F184" s="6"/>
    </row>
    <row r="185" spans="3:6">
      <c r="C185" s="2"/>
      <c r="D185" s="12"/>
      <c r="E185" s="12"/>
      <c r="F185" s="6"/>
    </row>
    <row r="186" spans="3:6">
      <c r="C186" s="2"/>
      <c r="D186" s="12"/>
      <c r="E186" s="12"/>
      <c r="F186" s="6"/>
    </row>
    <row r="187" spans="3:6">
      <c r="C187" s="2"/>
      <c r="D187" s="12"/>
      <c r="E187" s="12"/>
      <c r="F187" s="6"/>
    </row>
    <row r="188" spans="3:6">
      <c r="C188" s="2"/>
      <c r="D188" s="12"/>
      <c r="E188" s="12"/>
      <c r="F188" s="6"/>
    </row>
    <row r="189" spans="3:6">
      <c r="C189" s="2"/>
      <c r="D189" s="12"/>
      <c r="E189" s="12"/>
      <c r="F189" s="6"/>
    </row>
    <row r="190" spans="3:6">
      <c r="C190" s="2"/>
      <c r="D190" s="12"/>
      <c r="E190" s="12"/>
      <c r="F190" s="6"/>
    </row>
    <row r="191" spans="3:6">
      <c r="C191" s="2"/>
      <c r="D191" s="12"/>
      <c r="E191" s="12"/>
      <c r="F191" s="6"/>
    </row>
    <row r="192" spans="3:6">
      <c r="C192" s="2"/>
      <c r="D192" s="12"/>
      <c r="E192" s="12"/>
      <c r="F192" s="6"/>
    </row>
    <row r="193" spans="3:6">
      <c r="C193" s="2"/>
      <c r="D193" s="12"/>
      <c r="E193" s="12"/>
      <c r="F193" s="6"/>
    </row>
    <row r="194" spans="3:6">
      <c r="C194" s="2"/>
      <c r="D194" s="12"/>
      <c r="E194" s="12"/>
      <c r="F194" s="6"/>
    </row>
    <row r="195" spans="3:6">
      <c r="C195" s="2"/>
      <c r="D195" s="12"/>
      <c r="E195" s="12"/>
      <c r="F195" s="6"/>
    </row>
    <row r="196" spans="3:6">
      <c r="C196" s="2"/>
      <c r="D196" s="12"/>
      <c r="E196" s="12"/>
      <c r="F196" s="6"/>
    </row>
    <row r="197" spans="3:6">
      <c r="C197" s="2"/>
      <c r="D197" s="12"/>
      <c r="E197" s="12"/>
      <c r="F197" s="6"/>
    </row>
    <row r="198" spans="3:6">
      <c r="C198" s="2"/>
      <c r="D198" s="12"/>
      <c r="E198" s="12"/>
      <c r="F198" s="6"/>
    </row>
    <row r="199" spans="3:6">
      <c r="C199" s="2"/>
      <c r="D199" s="12"/>
      <c r="E199" s="12"/>
      <c r="F199" s="6"/>
    </row>
    <row r="200" spans="3:6">
      <c r="C200" s="2"/>
      <c r="D200" s="12"/>
      <c r="E200" s="12"/>
      <c r="F200" s="6"/>
    </row>
    <row r="201" spans="3:6">
      <c r="C201" s="2"/>
      <c r="D201" s="12"/>
      <c r="E201" s="13"/>
      <c r="F201" s="6"/>
    </row>
    <row r="202" spans="3:6">
      <c r="C202" s="2"/>
      <c r="D202" s="12"/>
      <c r="E202" s="12"/>
      <c r="F202" s="6"/>
    </row>
    <row r="203" spans="3:6">
      <c r="C203" s="2"/>
      <c r="D203" s="12"/>
      <c r="E203" s="13"/>
      <c r="F203" s="6"/>
    </row>
    <row r="204" spans="3:6">
      <c r="C204" s="2"/>
      <c r="D204" s="12"/>
      <c r="E204" s="13"/>
      <c r="F204" s="6"/>
    </row>
    <row r="205" spans="3:6">
      <c r="C205" s="2"/>
      <c r="D205" s="12"/>
      <c r="E205" s="12"/>
      <c r="F205" s="6"/>
    </row>
    <row r="206" spans="3:6">
      <c r="C206" s="2"/>
      <c r="D206" s="12"/>
      <c r="E206" s="12"/>
      <c r="F206" s="6"/>
    </row>
    <row r="207" spans="3:6">
      <c r="C207" s="2"/>
      <c r="D207" s="12"/>
      <c r="E207" s="12"/>
      <c r="F207" s="6"/>
    </row>
    <row r="208" spans="3:6">
      <c r="C208" s="2"/>
      <c r="D208" s="12"/>
      <c r="E208" s="12"/>
      <c r="F208" s="6"/>
    </row>
    <row r="209" spans="3:6">
      <c r="C209" s="2"/>
      <c r="D209" s="12"/>
      <c r="E209" s="12"/>
      <c r="F209" s="6"/>
    </row>
    <row r="210" spans="3:6">
      <c r="C210" s="2"/>
      <c r="D210" s="12"/>
      <c r="E210" s="12"/>
      <c r="F210" s="6"/>
    </row>
    <row r="211" spans="3:6">
      <c r="C211" s="2"/>
      <c r="D211" s="12"/>
      <c r="E211" s="12"/>
      <c r="F211" s="6"/>
    </row>
    <row r="212" spans="3:6">
      <c r="C212" s="2"/>
      <c r="D212" s="12"/>
      <c r="E212" s="12"/>
      <c r="F212" s="6"/>
    </row>
    <row r="213" spans="3:6">
      <c r="C213" s="2"/>
      <c r="D213" s="12"/>
      <c r="E213" s="12"/>
      <c r="F213" s="6"/>
    </row>
    <row r="214" spans="3:6">
      <c r="C214" s="2"/>
      <c r="D214" s="12"/>
      <c r="E214" s="12"/>
      <c r="F214" s="6"/>
    </row>
    <row r="215" spans="3:6">
      <c r="C215" s="2"/>
      <c r="D215" s="12"/>
      <c r="E215" s="12"/>
      <c r="F215" s="6"/>
    </row>
    <row r="216" spans="3:6">
      <c r="C216" s="2"/>
      <c r="D216" s="12"/>
      <c r="E216" s="12"/>
      <c r="F216" s="6"/>
    </row>
    <row r="217" spans="3:6">
      <c r="C217" s="2"/>
      <c r="D217" s="12"/>
      <c r="E217" s="12"/>
      <c r="F217" s="6"/>
    </row>
    <row r="218" spans="3:6">
      <c r="C218" s="2"/>
      <c r="D218" s="12"/>
      <c r="E218" s="12"/>
      <c r="F218" s="6"/>
    </row>
    <row r="219" spans="3:6">
      <c r="C219" s="2"/>
      <c r="D219" s="12"/>
      <c r="E219" s="12"/>
      <c r="F219" s="6"/>
    </row>
    <row r="220" spans="3:6">
      <c r="C220" s="2"/>
      <c r="D220" s="12"/>
      <c r="E220" s="12"/>
      <c r="F220" s="6"/>
    </row>
    <row r="221" spans="3:6">
      <c r="C221" s="2"/>
      <c r="D221" s="12"/>
      <c r="E221" s="12"/>
      <c r="F221" s="6"/>
    </row>
    <row r="222" spans="3:6">
      <c r="C222" s="2"/>
      <c r="D222" s="12"/>
      <c r="E222" s="12"/>
      <c r="F222" s="6"/>
    </row>
    <row r="223" spans="3:6">
      <c r="C223" s="2"/>
      <c r="D223" s="12"/>
      <c r="E223" s="12"/>
      <c r="F223" s="6"/>
    </row>
    <row r="224" spans="3:6">
      <c r="C224" s="2"/>
      <c r="D224" s="12"/>
      <c r="E224" s="12"/>
      <c r="F224" s="6"/>
    </row>
    <row r="225" spans="3:6">
      <c r="C225" s="2"/>
      <c r="D225" s="12"/>
      <c r="E225" s="12"/>
      <c r="F225" s="6"/>
    </row>
    <row r="226" spans="3:6">
      <c r="C226" s="2"/>
      <c r="D226" s="12"/>
      <c r="E226" s="12"/>
      <c r="F226" s="6"/>
    </row>
    <row r="227" spans="3:6">
      <c r="C227" s="2"/>
      <c r="D227" s="12"/>
      <c r="E227" s="12"/>
      <c r="F227" s="6"/>
    </row>
    <row r="228" spans="3:6">
      <c r="C228" s="2"/>
      <c r="D228" s="12"/>
      <c r="E228" s="12"/>
      <c r="F228" s="6"/>
    </row>
    <row r="229" spans="3:6">
      <c r="C229" s="2"/>
      <c r="D229" s="12"/>
      <c r="E229" s="12"/>
      <c r="F229" s="6"/>
    </row>
    <row r="230" spans="3:6">
      <c r="C230" s="2"/>
      <c r="D230" s="12"/>
      <c r="E230" s="12"/>
      <c r="F230" s="6"/>
    </row>
    <row r="231" spans="3:6">
      <c r="C231" s="2"/>
      <c r="D231" s="12"/>
      <c r="E231" s="12"/>
      <c r="F231" s="6"/>
    </row>
    <row r="232" spans="3:6">
      <c r="C232" s="2"/>
      <c r="D232" s="12"/>
      <c r="E232" s="12"/>
      <c r="F232" s="6"/>
    </row>
    <row r="233" spans="3:6">
      <c r="C233" s="2"/>
      <c r="D233" s="12"/>
      <c r="E233" s="12"/>
      <c r="F233" s="6"/>
    </row>
    <row r="234" spans="3:6">
      <c r="C234" s="2"/>
      <c r="D234" s="12"/>
      <c r="E234" s="12"/>
      <c r="F234" s="6"/>
    </row>
    <row r="235" spans="3:6">
      <c r="C235" s="2"/>
      <c r="D235" s="12"/>
      <c r="E235" s="12"/>
      <c r="F235" s="6"/>
    </row>
    <row r="236" spans="3:6">
      <c r="C236" s="2"/>
      <c r="D236" s="12"/>
      <c r="E236" s="12"/>
      <c r="F236" s="6"/>
    </row>
    <row r="237" spans="3:6">
      <c r="C237" s="2"/>
      <c r="D237" s="12"/>
      <c r="E237" s="12"/>
      <c r="F237" s="6"/>
    </row>
    <row r="238" spans="3:6">
      <c r="C238" s="2"/>
      <c r="D238" s="12"/>
      <c r="E238" s="12"/>
      <c r="F238" s="6"/>
    </row>
    <row r="239" spans="3:6">
      <c r="C239" s="2"/>
      <c r="D239" s="12"/>
      <c r="E239" s="12"/>
      <c r="F239" s="6"/>
    </row>
    <row r="240" spans="3:6">
      <c r="C240" s="2"/>
      <c r="D240" s="12"/>
      <c r="E240" s="12"/>
      <c r="F240" s="6"/>
    </row>
    <row r="241" spans="3:6">
      <c r="C241" s="2"/>
      <c r="D241" s="12"/>
      <c r="E241" s="12"/>
      <c r="F241" s="6"/>
    </row>
    <row r="242" spans="3:6">
      <c r="C242" s="2"/>
      <c r="D242" s="12"/>
      <c r="E242" s="12"/>
      <c r="F242" s="6"/>
    </row>
    <row r="243" spans="3:6">
      <c r="C243" s="2"/>
      <c r="D243" s="12"/>
      <c r="E243" s="12"/>
      <c r="F243" s="6"/>
    </row>
    <row r="244" spans="3:6">
      <c r="C244" s="2"/>
      <c r="D244" s="12"/>
      <c r="E244" s="12"/>
      <c r="F244" s="6"/>
    </row>
    <row r="245" spans="3:6">
      <c r="C245" s="2"/>
      <c r="D245" s="12"/>
      <c r="E245" s="12"/>
      <c r="F245" s="6"/>
    </row>
    <row r="246" spans="3:6">
      <c r="C246" s="2"/>
      <c r="D246" s="12"/>
      <c r="E246" s="12"/>
      <c r="F246" s="6"/>
    </row>
    <row r="247" spans="3:6">
      <c r="C247" s="2"/>
      <c r="D247" s="12"/>
      <c r="E247" s="12"/>
      <c r="F247" s="6"/>
    </row>
    <row r="248" spans="3:6">
      <c r="C248" s="2"/>
      <c r="D248" s="12"/>
      <c r="E248" s="12"/>
      <c r="F248" s="6"/>
    </row>
    <row r="249" spans="3:6">
      <c r="C249" s="2"/>
      <c r="D249" s="12"/>
      <c r="E249" s="12"/>
      <c r="F249" s="6"/>
    </row>
    <row r="250" spans="3:6">
      <c r="C250" s="2"/>
      <c r="D250" s="12"/>
      <c r="E250" s="12"/>
      <c r="F250" s="6"/>
    </row>
    <row r="251" spans="3:6">
      <c r="C251" s="2"/>
      <c r="D251" s="12"/>
      <c r="E251" s="12"/>
      <c r="F251" s="6"/>
    </row>
    <row r="252" spans="3:6">
      <c r="C252" s="2"/>
      <c r="D252" s="12"/>
      <c r="E252" s="12"/>
      <c r="F252" s="6"/>
    </row>
    <row r="253" spans="3:6">
      <c r="C253" s="2"/>
      <c r="D253" s="12"/>
      <c r="E253" s="13"/>
      <c r="F253" s="6"/>
    </row>
    <row r="254" spans="3:6">
      <c r="C254" s="2"/>
      <c r="D254" s="12"/>
      <c r="E254" s="13"/>
      <c r="F254" s="6"/>
    </row>
    <row r="255" spans="3:6">
      <c r="C255" s="2"/>
      <c r="D255" s="12"/>
      <c r="E255" s="12"/>
      <c r="F255" s="6"/>
    </row>
    <row r="256" spans="3:6">
      <c r="C256" s="2"/>
      <c r="D256" s="12"/>
      <c r="E256" s="12"/>
      <c r="F256" s="6"/>
    </row>
    <row r="257" spans="3:6">
      <c r="C257" s="2"/>
      <c r="D257" s="12"/>
      <c r="E257" s="12"/>
      <c r="F257" s="6"/>
    </row>
    <row r="258" spans="3:6">
      <c r="C258" s="2"/>
      <c r="D258" s="12"/>
      <c r="E258" s="12"/>
      <c r="F258" s="6"/>
    </row>
    <row r="259" spans="3:6">
      <c r="C259" s="2"/>
      <c r="D259" s="12"/>
      <c r="E259" s="12"/>
      <c r="F259" s="6"/>
    </row>
    <row r="260" spans="3:6">
      <c r="C260" s="2"/>
      <c r="D260" s="12"/>
      <c r="E260" s="12"/>
      <c r="F260" s="6"/>
    </row>
    <row r="261" spans="3:6">
      <c r="C261" s="2"/>
      <c r="D261" s="12"/>
      <c r="E261" s="12"/>
      <c r="F261" s="6"/>
    </row>
    <row r="262" spans="3:6">
      <c r="C262" s="2"/>
      <c r="D262" s="12"/>
      <c r="E262" s="12"/>
      <c r="F262" s="6"/>
    </row>
    <row r="263" spans="3:6">
      <c r="C263" s="2"/>
      <c r="D263" s="12"/>
      <c r="E263" s="12"/>
      <c r="F263" s="6"/>
    </row>
    <row r="264" spans="3:6">
      <c r="C264" s="2"/>
      <c r="D264" s="12"/>
      <c r="E264" s="13"/>
      <c r="F264" s="6"/>
    </row>
    <row r="265" spans="3:6">
      <c r="C265" s="2"/>
      <c r="D265" s="12"/>
      <c r="E265" s="13"/>
      <c r="F265" s="6"/>
    </row>
    <row r="266" spans="3:6">
      <c r="C266" s="2"/>
      <c r="D266" s="12"/>
      <c r="E266" s="13"/>
      <c r="F266" s="6"/>
    </row>
    <row r="267" spans="3:6">
      <c r="C267" s="2"/>
      <c r="D267" s="12"/>
      <c r="E267" s="13"/>
      <c r="F267" s="6"/>
    </row>
    <row r="268" spans="3:6">
      <c r="C268" s="2"/>
      <c r="D268" s="12"/>
      <c r="E268" s="12"/>
      <c r="F268" s="6"/>
    </row>
    <row r="269" spans="3:6">
      <c r="C269" s="2"/>
      <c r="D269" s="12"/>
      <c r="E269" s="13"/>
      <c r="F269" s="6"/>
    </row>
    <row r="270" spans="3:6">
      <c r="C270" s="2"/>
      <c r="D270" s="12"/>
      <c r="E270" s="12"/>
      <c r="F270" s="6"/>
    </row>
    <row r="271" spans="3:6">
      <c r="C271" s="2"/>
      <c r="D271" s="12"/>
      <c r="E271" s="12"/>
      <c r="F271" s="6"/>
    </row>
    <row r="272" spans="3:6">
      <c r="C272" s="2"/>
      <c r="D272" s="12"/>
      <c r="E272" s="12"/>
      <c r="F272" s="6"/>
    </row>
    <row r="273" spans="3:6">
      <c r="C273" s="2"/>
      <c r="D273" s="12"/>
      <c r="E273" s="12"/>
      <c r="F273" s="6"/>
    </row>
    <row r="274" spans="3:6">
      <c r="C274" s="2"/>
      <c r="D274" s="12"/>
      <c r="E274" s="12"/>
      <c r="F274" s="6"/>
    </row>
    <row r="275" spans="3:6">
      <c r="C275" s="2"/>
      <c r="D275" s="12"/>
      <c r="E275" s="12"/>
      <c r="F275" s="6"/>
    </row>
    <row r="276" spans="3:6">
      <c r="C276" s="2"/>
      <c r="D276" s="12"/>
      <c r="E276" s="12"/>
      <c r="F276" s="6"/>
    </row>
    <row r="277" spans="3:6">
      <c r="C277" s="2"/>
      <c r="D277" s="12"/>
      <c r="E277" s="12"/>
      <c r="F277" s="6"/>
    </row>
    <row r="278" spans="3:6">
      <c r="C278" s="2"/>
      <c r="D278" s="12"/>
      <c r="E278" s="12"/>
      <c r="F278" s="6"/>
    </row>
    <row r="279" spans="3:6">
      <c r="C279" s="2"/>
      <c r="D279" s="12"/>
      <c r="E279" s="12"/>
      <c r="F279" s="6"/>
    </row>
    <row r="280" spans="3:6">
      <c r="C280" s="2"/>
      <c r="D280" s="12"/>
      <c r="E280" s="12"/>
      <c r="F280" s="6"/>
    </row>
    <row r="281" spans="3:6">
      <c r="C281" s="2"/>
      <c r="D281" s="12"/>
      <c r="E281" s="12"/>
      <c r="F281" s="6"/>
    </row>
    <row r="282" spans="3:6">
      <c r="C282" s="2"/>
      <c r="D282" s="12"/>
      <c r="E282" s="12"/>
      <c r="F282" s="6"/>
    </row>
    <row r="283" spans="3:6">
      <c r="C283" s="2"/>
      <c r="D283" s="12"/>
      <c r="E283" s="12"/>
      <c r="F283" s="6"/>
    </row>
    <row r="284" spans="3:6">
      <c r="C284" s="2"/>
      <c r="D284" s="12"/>
      <c r="E284" s="12"/>
      <c r="F284" s="6"/>
    </row>
    <row r="285" spans="3:6">
      <c r="C285" s="2"/>
      <c r="D285" s="12"/>
      <c r="E285" s="12"/>
      <c r="F285" s="6"/>
    </row>
    <row r="286" spans="3:6">
      <c r="C286" s="2"/>
      <c r="D286" s="12"/>
      <c r="E286" s="12"/>
      <c r="F286" s="6"/>
    </row>
    <row r="287" spans="3:6">
      <c r="C287" s="2"/>
      <c r="D287" s="12"/>
      <c r="E287" s="12"/>
      <c r="F287" s="6"/>
    </row>
    <row r="288" spans="3:6">
      <c r="C288" s="2"/>
      <c r="D288" s="12"/>
      <c r="E288" s="12"/>
      <c r="F288" s="6"/>
    </row>
    <row r="289" spans="3:6">
      <c r="C289" s="2"/>
      <c r="D289" s="12"/>
      <c r="E289" s="12"/>
      <c r="F289" s="6"/>
    </row>
    <row r="290" spans="3:6">
      <c r="C290" s="2"/>
      <c r="D290" s="12"/>
      <c r="E290" s="12"/>
      <c r="F290" s="6"/>
    </row>
    <row r="291" spans="3:6">
      <c r="C291" s="2"/>
      <c r="D291" s="12"/>
      <c r="E291" s="13"/>
      <c r="F291" s="6"/>
    </row>
    <row r="292" spans="3:6">
      <c r="C292" s="2"/>
      <c r="D292" s="12"/>
      <c r="E292" s="13"/>
      <c r="F292" s="6"/>
    </row>
    <row r="293" spans="3:6">
      <c r="C293" s="2"/>
      <c r="D293" s="12"/>
      <c r="E293" s="12"/>
      <c r="F293" s="6"/>
    </row>
    <row r="294" spans="3:6">
      <c r="C294" s="2"/>
      <c r="D294" s="12"/>
      <c r="E294" s="12"/>
      <c r="F294" s="6"/>
    </row>
    <row r="295" spans="3:6">
      <c r="C295" s="2"/>
      <c r="D295" s="12"/>
      <c r="E295" s="12"/>
      <c r="F295" s="6"/>
    </row>
    <row r="296" spans="3:6">
      <c r="C296" s="2"/>
      <c r="D296" s="12"/>
      <c r="E296" s="12"/>
      <c r="F296" s="6"/>
    </row>
    <row r="297" spans="3:6">
      <c r="C297" s="2"/>
      <c r="D297" s="12"/>
      <c r="E297" s="12"/>
      <c r="F297" s="6"/>
    </row>
    <row r="298" spans="3:6">
      <c r="C298" s="2"/>
      <c r="D298" s="12"/>
      <c r="E298" s="12"/>
      <c r="F298" s="6"/>
    </row>
    <row r="299" spans="3:6">
      <c r="C299" s="2"/>
      <c r="D299" s="12"/>
      <c r="E299" s="12"/>
      <c r="F299" s="6"/>
    </row>
    <row r="300" spans="3:6">
      <c r="C300" s="2"/>
      <c r="D300" s="12"/>
      <c r="E300" s="12"/>
      <c r="F300" s="6"/>
    </row>
    <row r="301" spans="3:6">
      <c r="C301" s="2"/>
      <c r="D301" s="12"/>
      <c r="E301" s="12"/>
      <c r="F301" s="6"/>
    </row>
    <row r="302" spans="3:6">
      <c r="C302" s="2"/>
      <c r="D302" s="12"/>
      <c r="E302" s="12"/>
      <c r="F302" s="6"/>
    </row>
    <row r="303" spans="3:6">
      <c r="C303" s="2"/>
      <c r="D303" s="12"/>
      <c r="E303" s="12"/>
      <c r="F303" s="6"/>
    </row>
    <row r="304" spans="3:6">
      <c r="C304" s="2"/>
      <c r="D304" s="12"/>
      <c r="E304" s="12"/>
      <c r="F304" s="6"/>
    </row>
    <row r="305" spans="3:6">
      <c r="C305" s="2"/>
      <c r="D305" s="12"/>
      <c r="E305" s="12"/>
      <c r="F305" s="6"/>
    </row>
    <row r="306" spans="3:6">
      <c r="C306" s="2"/>
      <c r="D306" s="12"/>
      <c r="E306" s="12"/>
      <c r="F306" s="6"/>
    </row>
    <row r="307" spans="3:6">
      <c r="C307" s="2"/>
      <c r="D307" s="12"/>
      <c r="E307" s="12"/>
      <c r="F307" s="6"/>
    </row>
    <row r="308" spans="3:6">
      <c r="C308" s="2"/>
      <c r="D308" s="12"/>
      <c r="E308" s="12"/>
      <c r="F308" s="6"/>
    </row>
    <row r="309" spans="3:6">
      <c r="C309" s="2"/>
      <c r="D309" s="12"/>
      <c r="E309" s="12"/>
      <c r="F309" s="6"/>
    </row>
    <row r="310" spans="3:6">
      <c r="C310" s="2"/>
      <c r="D310" s="12"/>
      <c r="E310" s="12"/>
      <c r="F310" s="6"/>
    </row>
    <row r="311" spans="3:6">
      <c r="C311" s="2"/>
      <c r="D311" s="12"/>
      <c r="E311" s="12"/>
      <c r="F311" s="6"/>
    </row>
    <row r="312" spans="3:6">
      <c r="C312" s="2"/>
      <c r="D312" s="12"/>
      <c r="E312" s="12"/>
      <c r="F312" s="6"/>
    </row>
    <row r="313" spans="3:6">
      <c r="C313" s="2"/>
      <c r="D313" s="12"/>
      <c r="E313" s="12"/>
      <c r="F313" s="6"/>
    </row>
    <row r="314" spans="3:6">
      <c r="C314" s="2"/>
      <c r="D314" s="12"/>
      <c r="E314" s="12"/>
      <c r="F314" s="6"/>
    </row>
    <row r="315" spans="3:6">
      <c r="C315" s="2"/>
      <c r="D315" s="12"/>
      <c r="E315" s="12"/>
      <c r="F315" s="6"/>
    </row>
    <row r="316" spans="3:6">
      <c r="C316" s="2"/>
      <c r="D316" s="12"/>
      <c r="E316" s="12"/>
      <c r="F316" s="6"/>
    </row>
    <row r="317" spans="3:6">
      <c r="C317" s="2"/>
      <c r="D317" s="12"/>
      <c r="E317" s="12"/>
      <c r="F317" s="6"/>
    </row>
    <row r="318" spans="3:6">
      <c r="C318" s="2"/>
      <c r="D318" s="12"/>
      <c r="E318" s="12"/>
      <c r="F318" s="6"/>
    </row>
    <row r="319" spans="3:6">
      <c r="C319" s="2"/>
      <c r="D319" s="12"/>
      <c r="E319" s="12"/>
      <c r="F319" s="6"/>
    </row>
    <row r="320" spans="3:6">
      <c r="C320" s="2"/>
      <c r="D320" s="12"/>
      <c r="E320" s="12"/>
      <c r="F320" s="6"/>
    </row>
    <row r="321" spans="2:6">
      <c r="C321" s="2"/>
      <c r="D321" s="12"/>
      <c r="E321" s="12"/>
      <c r="F321" s="6"/>
    </row>
    <row r="322" spans="2:6">
      <c r="C322" s="2"/>
      <c r="D322" s="12"/>
      <c r="E322" s="12"/>
      <c r="F322" s="6"/>
    </row>
    <row r="323" spans="2:6">
      <c r="C323" s="2"/>
      <c r="D323" s="12"/>
      <c r="E323" s="12"/>
      <c r="F323" s="6"/>
    </row>
    <row r="324" spans="2:6">
      <c r="C324" s="2"/>
      <c r="D324" s="12"/>
      <c r="E324" s="12"/>
      <c r="F324" s="6"/>
    </row>
    <row r="325" spans="2:6">
      <c r="C325" s="2"/>
      <c r="D325" s="12"/>
      <c r="E325" s="12"/>
      <c r="F325" s="6"/>
    </row>
    <row r="326" spans="2:6">
      <c r="C326" s="2"/>
      <c r="D326" s="12"/>
      <c r="E326" s="12"/>
      <c r="F326" s="6"/>
    </row>
    <row r="327" spans="2:6">
      <c r="C327" s="2"/>
      <c r="D327" s="12"/>
      <c r="E327" s="12"/>
      <c r="F327" s="6"/>
    </row>
    <row r="328" spans="2:6">
      <c r="C328" s="2"/>
      <c r="D328" s="12"/>
      <c r="E328" s="12"/>
      <c r="F328" s="6"/>
    </row>
    <row r="329" spans="2:6">
      <c r="C329" s="2"/>
      <c r="D329" s="12"/>
      <c r="E329" s="13"/>
      <c r="F329" s="6"/>
    </row>
    <row r="330" spans="2:6">
      <c r="C330" s="2"/>
      <c r="D330" s="12"/>
      <c r="E330" s="12"/>
      <c r="F330" s="6"/>
    </row>
    <row r="331" spans="2:6">
      <c r="C331" s="2"/>
      <c r="D331" s="12"/>
      <c r="E331" s="12"/>
      <c r="F331" s="6"/>
    </row>
    <row r="332" spans="2:6">
      <c r="C332" s="2"/>
      <c r="D332" s="12"/>
      <c r="E332" s="12"/>
      <c r="F332" s="6"/>
    </row>
    <row r="333" spans="2:6">
      <c r="C333" s="2"/>
      <c r="D333" s="12"/>
      <c r="E333" s="12"/>
      <c r="F333" s="6"/>
    </row>
    <row r="334" spans="2:6">
      <c r="B334" s="11"/>
      <c r="C334" s="2"/>
      <c r="D334" s="12"/>
      <c r="E334" s="12"/>
      <c r="F334" s="6"/>
    </row>
    <row r="335" spans="2:6">
      <c r="C335" s="2"/>
      <c r="D335" s="12"/>
      <c r="E335" s="12"/>
      <c r="F335" s="6"/>
    </row>
    <row r="336" spans="2:6">
      <c r="C336" s="2"/>
      <c r="D336" s="12"/>
      <c r="E336" s="12"/>
      <c r="F336" s="6"/>
    </row>
    <row r="337" spans="3:6">
      <c r="C337" s="2"/>
      <c r="D337" s="12"/>
      <c r="E337" s="12"/>
      <c r="F337" s="6"/>
    </row>
    <row r="338" spans="3:6">
      <c r="C338" s="2"/>
      <c r="D338" s="12"/>
      <c r="E338" s="12"/>
      <c r="F338" s="6"/>
    </row>
    <row r="339" spans="3:6">
      <c r="C339" s="2"/>
      <c r="D339" s="12"/>
      <c r="E339" s="12"/>
      <c r="F339" s="6"/>
    </row>
    <row r="340" spans="3:6">
      <c r="C340" s="2"/>
      <c r="D340" s="12"/>
      <c r="E340" s="12"/>
      <c r="F340" s="6"/>
    </row>
    <row r="341" spans="3:6">
      <c r="C341" s="2"/>
      <c r="D341" s="12"/>
      <c r="E341" s="12"/>
      <c r="F341" s="6"/>
    </row>
    <row r="342" spans="3:6">
      <c r="C342" s="2"/>
      <c r="D342" s="12"/>
      <c r="E342" s="12"/>
      <c r="F342" s="6"/>
    </row>
    <row r="343" spans="3:6">
      <c r="C343" s="2"/>
      <c r="D343" s="12"/>
      <c r="E343" s="12"/>
      <c r="F343" s="6"/>
    </row>
    <row r="344" spans="3:6">
      <c r="C344" s="2"/>
      <c r="D344" s="12"/>
      <c r="E344" s="12"/>
      <c r="F344" s="6"/>
    </row>
    <row r="345" spans="3:6">
      <c r="C345" s="2"/>
      <c r="D345" s="12"/>
      <c r="E345" s="12"/>
      <c r="F345" s="6"/>
    </row>
    <row r="346" spans="3:6">
      <c r="C346" s="2"/>
      <c r="D346" s="12"/>
      <c r="E346" s="12"/>
      <c r="F346" s="6"/>
    </row>
    <row r="347" spans="3:6">
      <c r="C347" s="2"/>
      <c r="D347" s="12"/>
      <c r="E347" s="12"/>
      <c r="F347" s="6"/>
    </row>
    <row r="348" spans="3:6">
      <c r="C348" s="2"/>
      <c r="D348" s="12"/>
      <c r="E348" s="12"/>
      <c r="F348" s="6"/>
    </row>
    <row r="349" spans="3:6">
      <c r="C349" s="2"/>
      <c r="D349" s="12"/>
      <c r="E349" s="12"/>
      <c r="F349" s="6"/>
    </row>
    <row r="350" spans="3:6">
      <c r="C350" s="2"/>
      <c r="D350" s="12"/>
      <c r="E350" s="12"/>
      <c r="F350" s="6"/>
    </row>
    <row r="351" spans="3:6">
      <c r="C351" s="2"/>
      <c r="D351" s="12"/>
      <c r="E351" s="12"/>
      <c r="F351" s="6"/>
    </row>
    <row r="352" spans="3:6">
      <c r="C352" s="2"/>
      <c r="D352" s="12"/>
      <c r="E352" s="12"/>
      <c r="F352" s="6"/>
    </row>
    <row r="353" spans="1:6">
      <c r="C353" s="2"/>
      <c r="D353" s="12"/>
      <c r="E353" s="12"/>
      <c r="F353" s="6"/>
    </row>
    <row r="354" spans="1:6">
      <c r="C354" s="2"/>
      <c r="D354" s="12"/>
      <c r="E354" s="12"/>
      <c r="F354" s="6"/>
    </row>
    <row r="355" spans="1:6">
      <c r="C355" s="2"/>
      <c r="D355" s="12"/>
      <c r="E355" s="12"/>
      <c r="F355" s="6"/>
    </row>
    <row r="356" spans="1:6">
      <c r="C356" s="2"/>
      <c r="D356" s="12"/>
      <c r="E356" s="12"/>
      <c r="F356" s="6"/>
    </row>
    <row r="357" spans="1:6">
      <c r="C357" s="2"/>
      <c r="D357" s="12"/>
      <c r="E357" s="12"/>
      <c r="F357" s="6"/>
    </row>
    <row r="358" spans="1:6">
      <c r="C358" s="2"/>
      <c r="D358" s="12"/>
      <c r="E358" s="12"/>
      <c r="F358" s="6"/>
    </row>
    <row r="359" spans="1:6">
      <c r="C359" s="2"/>
      <c r="D359" s="12"/>
      <c r="E359" s="12"/>
      <c r="F359" s="6"/>
    </row>
    <row r="360" spans="1:6">
      <c r="C360" s="2"/>
      <c r="D360" s="12"/>
      <c r="E360" s="12"/>
      <c r="F360" s="6"/>
    </row>
    <row r="361" spans="1:6">
      <c r="C361" s="2"/>
      <c r="D361" s="12"/>
      <c r="E361" s="12"/>
      <c r="F361" s="6"/>
    </row>
    <row r="362" spans="1:6">
      <c r="A362" s="7"/>
      <c r="B362" s="8"/>
      <c r="C362" s="2"/>
      <c r="D362" s="12"/>
      <c r="E362" s="13"/>
      <c r="F362" s="9"/>
    </row>
    <row r="363" spans="1:6">
      <c r="C363" s="2"/>
      <c r="D363" s="12"/>
      <c r="E363" s="13"/>
      <c r="F363" s="6"/>
    </row>
    <row r="364" spans="1:6">
      <c r="C364" s="2"/>
      <c r="D364" s="12"/>
      <c r="E364" s="12"/>
      <c r="F364" s="6"/>
    </row>
    <row r="365" spans="1:6">
      <c r="C365" s="2"/>
      <c r="D365" s="12"/>
      <c r="E365" s="12"/>
      <c r="F365" s="6"/>
    </row>
    <row r="366" spans="1:6">
      <c r="C366" s="2"/>
      <c r="D366" s="12"/>
      <c r="E366" s="12"/>
      <c r="F366" s="6"/>
    </row>
    <row r="367" spans="1:6">
      <c r="C367" s="2"/>
      <c r="D367" s="12"/>
      <c r="E367" s="12"/>
      <c r="F367" s="6"/>
    </row>
    <row r="368" spans="1:6">
      <c r="C368" s="2"/>
      <c r="D368" s="12"/>
      <c r="E368" s="12"/>
      <c r="F368" s="6"/>
    </row>
    <row r="369" spans="3:6">
      <c r="C369" s="2"/>
      <c r="D369" s="12"/>
      <c r="E369" s="12"/>
      <c r="F369" s="6"/>
    </row>
    <row r="370" spans="3:6">
      <c r="C370" s="2"/>
      <c r="D370" s="12"/>
      <c r="E370" s="12"/>
      <c r="F370" s="6"/>
    </row>
    <row r="371" spans="3:6">
      <c r="C371" s="2"/>
      <c r="D371" s="12"/>
      <c r="E371" s="12"/>
      <c r="F371" s="6"/>
    </row>
    <row r="372" spans="3:6">
      <c r="C372" s="2"/>
      <c r="D372" s="12"/>
      <c r="E372" s="12"/>
      <c r="F372" s="6"/>
    </row>
    <row r="373" spans="3:6">
      <c r="C373" s="2"/>
      <c r="D373" s="12"/>
      <c r="E373" s="12"/>
      <c r="F373" s="6"/>
    </row>
    <row r="374" spans="3:6">
      <c r="C374" s="2"/>
      <c r="D374" s="12"/>
      <c r="E374" s="12"/>
      <c r="F374" s="6"/>
    </row>
    <row r="375" spans="3:6">
      <c r="C375" s="2"/>
      <c r="D375" s="12"/>
      <c r="E375" s="12"/>
      <c r="F375" s="6"/>
    </row>
    <row r="376" spans="3:6">
      <c r="C376" s="2"/>
      <c r="D376" s="12"/>
      <c r="E376" s="12"/>
      <c r="F376" s="6"/>
    </row>
    <row r="377" spans="3:6">
      <c r="C377" s="2"/>
      <c r="D377" s="12"/>
      <c r="E377" s="13"/>
      <c r="F377" s="6"/>
    </row>
    <row r="378" spans="3:6">
      <c r="C378" s="2"/>
      <c r="D378" s="12"/>
      <c r="E378" s="12"/>
      <c r="F378" s="6"/>
    </row>
    <row r="379" spans="3:6">
      <c r="C379" s="2"/>
      <c r="D379" s="12"/>
      <c r="E379" s="12"/>
      <c r="F379" s="6"/>
    </row>
    <row r="380" spans="3:6">
      <c r="C380" s="2"/>
      <c r="D380" s="12"/>
      <c r="E380" s="13"/>
      <c r="F380" s="6"/>
    </row>
    <row r="381" spans="3:6">
      <c r="C381" s="2"/>
      <c r="D381" s="12"/>
      <c r="E381" s="12"/>
      <c r="F381" s="6"/>
    </row>
    <row r="382" spans="3:6">
      <c r="C382" s="2"/>
      <c r="D382" s="12"/>
      <c r="E382" s="12"/>
      <c r="F382" s="6"/>
    </row>
    <row r="383" spans="3:6">
      <c r="C383" s="2"/>
      <c r="D383" s="12"/>
      <c r="E383" s="12"/>
      <c r="F383" s="6"/>
    </row>
    <row r="384" spans="3:6">
      <c r="C384" s="2"/>
      <c r="D384" s="12"/>
      <c r="E384" s="12"/>
      <c r="F384" s="6"/>
    </row>
    <row r="385" spans="3:6">
      <c r="C385" s="2"/>
      <c r="D385" s="12"/>
      <c r="E385" s="12"/>
      <c r="F385" s="6"/>
    </row>
    <row r="386" spans="3:6">
      <c r="C386" s="2"/>
      <c r="D386" s="12"/>
      <c r="E386" s="12"/>
      <c r="F386" s="6"/>
    </row>
    <row r="387" spans="3:6">
      <c r="C387" s="2"/>
      <c r="D387" s="12"/>
      <c r="E387" s="12"/>
      <c r="F387" s="6"/>
    </row>
    <row r="388" spans="3:6">
      <c r="C388" s="2"/>
      <c r="D388" s="12"/>
      <c r="E388" s="12"/>
      <c r="F388" s="6"/>
    </row>
    <row r="389" spans="3:6">
      <c r="C389" s="2"/>
      <c r="D389" s="12"/>
      <c r="E389" s="12"/>
      <c r="F389" s="6"/>
    </row>
    <row r="390" spans="3:6">
      <c r="C390" s="2"/>
      <c r="D390" s="12"/>
      <c r="E390" s="12"/>
      <c r="F390" s="6"/>
    </row>
    <row r="391" spans="3:6">
      <c r="C391" s="2"/>
      <c r="D391" s="12"/>
      <c r="E391" s="12"/>
      <c r="F391" s="6"/>
    </row>
    <row r="392" spans="3:6">
      <c r="C392" s="2"/>
      <c r="D392" s="12"/>
      <c r="E392" s="12"/>
      <c r="F392" s="6"/>
    </row>
    <row r="393" spans="3:6">
      <c r="C393" s="2"/>
      <c r="D393" s="12"/>
      <c r="E393" s="12"/>
      <c r="F393" s="6"/>
    </row>
    <row r="394" spans="3:6">
      <c r="C394" s="2"/>
      <c r="D394" s="12"/>
      <c r="E394" s="12"/>
      <c r="F394" s="6"/>
    </row>
    <row r="395" spans="3:6">
      <c r="C395" s="2"/>
      <c r="D395" s="12"/>
      <c r="E395" s="12"/>
      <c r="F395" s="6"/>
    </row>
    <row r="396" spans="3:6">
      <c r="C396" s="2"/>
      <c r="D396" s="12"/>
      <c r="E396" s="12"/>
      <c r="F396" s="6"/>
    </row>
    <row r="397" spans="3:6">
      <c r="C397" s="2"/>
      <c r="D397" s="12"/>
      <c r="E397" s="12"/>
      <c r="F397" s="6"/>
    </row>
    <row r="398" spans="3:6">
      <c r="C398" s="2"/>
      <c r="D398" s="12"/>
      <c r="E398" s="12"/>
      <c r="F398" s="6"/>
    </row>
    <row r="399" spans="3:6">
      <c r="C399" s="2"/>
      <c r="D399" s="12"/>
      <c r="E399" s="12"/>
      <c r="F399" s="6"/>
    </row>
    <row r="400" spans="3:6">
      <c r="C400" s="2"/>
      <c r="D400" s="12"/>
      <c r="E400" s="12"/>
      <c r="F400" s="6"/>
    </row>
    <row r="401" spans="3:6">
      <c r="C401" s="2"/>
      <c r="D401" s="12"/>
      <c r="E401" s="12"/>
      <c r="F401" s="6"/>
    </row>
    <row r="402" spans="3:6">
      <c r="C402" s="2"/>
      <c r="D402" s="12"/>
      <c r="E402" s="12"/>
      <c r="F402" s="6"/>
    </row>
    <row r="403" spans="3:6">
      <c r="C403" s="2"/>
      <c r="D403" s="12"/>
      <c r="E403" s="12"/>
      <c r="F403" s="6"/>
    </row>
    <row r="404" spans="3:6">
      <c r="C404" s="2"/>
      <c r="D404" s="12"/>
      <c r="E404" s="12"/>
      <c r="F404" s="6"/>
    </row>
    <row r="405" spans="3:6">
      <c r="C405" s="2"/>
      <c r="D405" s="12"/>
      <c r="E405" s="13"/>
      <c r="F405" s="6"/>
    </row>
    <row r="406" spans="3:6">
      <c r="C406" s="2"/>
      <c r="D406" s="12"/>
      <c r="E406" s="13"/>
      <c r="F406" s="6"/>
    </row>
    <row r="407" spans="3:6">
      <c r="C407" s="2"/>
      <c r="D407" s="12"/>
      <c r="E407" s="12"/>
      <c r="F407" s="6"/>
    </row>
    <row r="408" spans="3:6">
      <c r="C408" s="2"/>
      <c r="D408" s="12"/>
      <c r="E408" s="12"/>
      <c r="F408" s="6"/>
    </row>
    <row r="409" spans="3:6">
      <c r="C409" s="2"/>
      <c r="D409" s="12"/>
      <c r="E409" s="12"/>
      <c r="F409" s="6"/>
    </row>
    <row r="410" spans="3:6">
      <c r="C410" s="2"/>
      <c r="D410" s="12"/>
      <c r="E410" s="12"/>
      <c r="F410" s="6"/>
    </row>
    <row r="411" spans="3:6">
      <c r="C411" s="2"/>
      <c r="D411" s="12"/>
      <c r="E411" s="12"/>
      <c r="F411" s="6"/>
    </row>
    <row r="412" spans="3:6">
      <c r="C412" s="2"/>
      <c r="D412" s="12"/>
      <c r="E412" s="12"/>
      <c r="F412" s="6"/>
    </row>
    <row r="413" spans="3:6">
      <c r="C413" s="2"/>
      <c r="D413" s="12"/>
      <c r="E413" s="12"/>
      <c r="F413" s="6"/>
    </row>
    <row r="414" spans="3:6">
      <c r="C414" s="2"/>
      <c r="D414" s="12"/>
      <c r="E414" s="12"/>
      <c r="F414" s="6"/>
    </row>
    <row r="415" spans="3:6">
      <c r="C415" s="2"/>
      <c r="D415" s="12"/>
      <c r="E415" s="12"/>
      <c r="F415" s="6"/>
    </row>
    <row r="416" spans="3:6">
      <c r="C416" s="2"/>
      <c r="D416" s="12"/>
      <c r="E416" s="12"/>
      <c r="F416" s="6"/>
    </row>
    <row r="417" spans="3:6">
      <c r="C417" s="2"/>
      <c r="D417" s="12"/>
      <c r="E417" s="12"/>
      <c r="F417" s="6"/>
    </row>
    <row r="418" spans="3:6">
      <c r="C418" s="2"/>
      <c r="D418" s="12"/>
      <c r="E418" s="12"/>
      <c r="F418" s="6"/>
    </row>
    <row r="419" spans="3:6">
      <c r="C419" s="2"/>
      <c r="D419" s="12"/>
      <c r="E419" s="12"/>
      <c r="F419" s="6"/>
    </row>
    <row r="420" spans="3:6">
      <c r="C420" s="2"/>
      <c r="D420" s="12"/>
      <c r="E420" s="13"/>
      <c r="F420" s="6"/>
    </row>
    <row r="421" spans="3:6">
      <c r="C421" s="2"/>
      <c r="D421" s="12"/>
      <c r="E421" s="13"/>
      <c r="F421" s="6"/>
    </row>
    <row r="422" spans="3:6">
      <c r="C422" s="2"/>
      <c r="D422" s="12"/>
      <c r="E422" s="13"/>
      <c r="F422" s="6"/>
    </row>
    <row r="423" spans="3:6">
      <c r="C423" s="2"/>
      <c r="D423" s="12"/>
      <c r="E423" s="13"/>
      <c r="F423" s="6"/>
    </row>
    <row r="424" spans="3:6">
      <c r="C424" s="2"/>
      <c r="D424" s="12"/>
      <c r="E424" s="13"/>
      <c r="F424" s="6"/>
    </row>
    <row r="425" spans="3:6">
      <c r="C425" s="2"/>
      <c r="D425" s="12"/>
      <c r="E425" s="13"/>
      <c r="F425" s="6"/>
    </row>
    <row r="426" spans="3:6">
      <c r="C426" s="2"/>
      <c r="D426" s="12"/>
      <c r="E426" s="12"/>
      <c r="F426" s="6"/>
    </row>
    <row r="427" spans="3:6">
      <c r="C427" s="2"/>
      <c r="D427" s="12"/>
      <c r="E427" s="12"/>
      <c r="F427" s="6"/>
    </row>
    <row r="428" spans="3:6">
      <c r="C428" s="2"/>
      <c r="D428" s="12"/>
      <c r="E428" s="12"/>
      <c r="F428" s="6"/>
    </row>
    <row r="429" spans="3:6">
      <c r="C429" s="2"/>
      <c r="D429" s="12"/>
      <c r="E429" s="12"/>
      <c r="F429" s="6"/>
    </row>
    <row r="430" spans="3:6">
      <c r="C430" s="2"/>
      <c r="D430" s="12"/>
      <c r="E430" s="12"/>
      <c r="F430" s="6"/>
    </row>
    <row r="431" spans="3:6">
      <c r="C431" s="2"/>
      <c r="D431" s="12"/>
      <c r="E431" s="12"/>
      <c r="F431" s="6"/>
    </row>
    <row r="432" spans="3:6">
      <c r="C432" s="2"/>
      <c r="D432" s="12"/>
      <c r="E432" s="12"/>
      <c r="F432" s="6"/>
    </row>
    <row r="433" spans="3:6">
      <c r="C433" s="2"/>
      <c r="D433" s="12"/>
      <c r="E433" s="12"/>
      <c r="F433" s="6"/>
    </row>
    <row r="434" spans="3:6">
      <c r="C434" s="2"/>
      <c r="D434" s="12"/>
      <c r="E434" s="12"/>
      <c r="F434" s="6"/>
    </row>
    <row r="435" spans="3:6">
      <c r="C435" s="2"/>
      <c r="D435" s="12"/>
      <c r="E435" s="12"/>
      <c r="F435" s="6"/>
    </row>
    <row r="436" spans="3:6">
      <c r="C436" s="2"/>
      <c r="D436" s="12"/>
      <c r="E436" s="12"/>
      <c r="F436" s="6"/>
    </row>
    <row r="437" spans="3:6">
      <c r="C437" s="2"/>
      <c r="D437" s="12"/>
      <c r="E437" s="12"/>
      <c r="F437" s="6"/>
    </row>
    <row r="438" spans="3:6">
      <c r="C438" s="2"/>
      <c r="D438" s="12"/>
      <c r="E438" s="12"/>
      <c r="F438" s="6"/>
    </row>
    <row r="439" spans="3:6">
      <c r="C439" s="2"/>
      <c r="D439" s="12"/>
      <c r="E439" s="12"/>
      <c r="F439" s="6"/>
    </row>
    <row r="440" spans="3:6">
      <c r="C440" s="2"/>
      <c r="D440" s="12"/>
      <c r="E440" s="12"/>
      <c r="F440" s="6"/>
    </row>
    <row r="441" spans="3:6">
      <c r="C441" s="2"/>
      <c r="D441" s="12"/>
      <c r="E441" s="12"/>
      <c r="F441" s="6"/>
    </row>
    <row r="442" spans="3:6">
      <c r="C442" s="2"/>
      <c r="D442" s="12"/>
      <c r="E442" s="12"/>
      <c r="F442" s="6"/>
    </row>
    <row r="443" spans="3:6">
      <c r="C443" s="2"/>
      <c r="D443" s="12"/>
      <c r="E443" s="12"/>
      <c r="F443" s="6"/>
    </row>
    <row r="444" spans="3:6">
      <c r="C444" s="2"/>
      <c r="D444" s="12"/>
      <c r="E444" s="12"/>
      <c r="F444" s="6"/>
    </row>
    <row r="445" spans="3:6">
      <c r="C445" s="2"/>
      <c r="D445" s="12"/>
      <c r="E445" s="12"/>
      <c r="F445" s="6"/>
    </row>
    <row r="446" spans="3:6">
      <c r="C446" s="2"/>
      <c r="D446" s="12"/>
      <c r="E446" s="12"/>
      <c r="F446" s="6"/>
    </row>
    <row r="447" spans="3:6">
      <c r="C447" s="2"/>
      <c r="D447" s="12"/>
      <c r="E447" s="12"/>
      <c r="F447" s="6"/>
    </row>
    <row r="448" spans="3:6">
      <c r="C448" s="2"/>
      <c r="D448" s="12"/>
      <c r="E448" s="12"/>
      <c r="F448" s="6"/>
    </row>
    <row r="449" spans="3:6">
      <c r="C449" s="2"/>
      <c r="D449" s="12"/>
      <c r="E449" s="12"/>
      <c r="F449" s="6"/>
    </row>
    <row r="450" spans="3:6">
      <c r="C450" s="2"/>
      <c r="D450" s="12"/>
      <c r="E450" s="12"/>
      <c r="F450" s="6"/>
    </row>
    <row r="451" spans="3:6">
      <c r="C451" s="2"/>
      <c r="D451" s="12"/>
      <c r="E451" s="12"/>
      <c r="F451" s="6"/>
    </row>
    <row r="452" spans="3:6">
      <c r="C452" s="2"/>
      <c r="D452" s="12"/>
      <c r="E452" s="13"/>
      <c r="F452" s="6"/>
    </row>
    <row r="453" spans="3:6">
      <c r="C453" s="2"/>
      <c r="D453" s="12"/>
      <c r="E453" s="12"/>
      <c r="F453" s="6"/>
    </row>
    <row r="454" spans="3:6">
      <c r="C454" s="2"/>
      <c r="D454" s="12"/>
      <c r="E454" s="12"/>
      <c r="F454" s="6"/>
    </row>
    <row r="455" spans="3:6">
      <c r="C455" s="2"/>
      <c r="D455" s="12"/>
      <c r="E455" s="12"/>
      <c r="F455" s="6"/>
    </row>
    <row r="456" spans="3:6">
      <c r="C456" s="2"/>
      <c r="D456" s="12"/>
      <c r="E456" s="12"/>
      <c r="F456" s="6"/>
    </row>
    <row r="457" spans="3:6">
      <c r="C457" s="2"/>
      <c r="D457" s="12"/>
      <c r="E457" s="12"/>
      <c r="F457" s="6"/>
    </row>
    <row r="458" spans="3:6">
      <c r="C458" s="2"/>
      <c r="D458" s="12"/>
      <c r="E458" s="12"/>
      <c r="F458" s="6"/>
    </row>
    <row r="459" spans="3:6">
      <c r="C459" s="2"/>
      <c r="D459" s="12"/>
      <c r="E459" s="12"/>
      <c r="F459" s="6"/>
    </row>
    <row r="460" spans="3:6">
      <c r="C460" s="2"/>
      <c r="D460" s="12"/>
      <c r="E460" s="12"/>
      <c r="F460" s="6"/>
    </row>
    <row r="461" spans="3:6">
      <c r="C461" s="2"/>
      <c r="D461" s="12"/>
      <c r="E461" s="12"/>
      <c r="F461" s="6"/>
    </row>
    <row r="462" spans="3:6">
      <c r="C462" s="2"/>
      <c r="D462" s="12"/>
      <c r="E462" s="12"/>
      <c r="F462" s="6"/>
    </row>
    <row r="463" spans="3:6">
      <c r="C463" s="2"/>
      <c r="D463" s="12"/>
      <c r="E463" s="12"/>
      <c r="F463" s="6"/>
    </row>
    <row r="464" spans="3:6">
      <c r="C464" s="2"/>
      <c r="D464" s="12"/>
      <c r="E464" s="13"/>
      <c r="F464" s="6"/>
    </row>
    <row r="465" spans="3:6">
      <c r="C465" s="2"/>
      <c r="D465" s="12"/>
      <c r="E465" s="12"/>
      <c r="F465" s="6"/>
    </row>
    <row r="466" spans="3:6">
      <c r="C466" s="2"/>
      <c r="D466" s="12"/>
      <c r="E466" s="13"/>
      <c r="F466" s="6"/>
    </row>
    <row r="467" spans="3:6">
      <c r="C467" s="2"/>
      <c r="D467" s="12"/>
      <c r="E467" s="12"/>
      <c r="F467" s="6"/>
    </row>
    <row r="468" spans="3:6">
      <c r="C468" s="2"/>
      <c r="D468" s="12"/>
      <c r="E468" s="12"/>
      <c r="F468" s="6"/>
    </row>
    <row r="469" spans="3:6">
      <c r="C469" s="2"/>
      <c r="D469" s="12"/>
      <c r="E469" s="12"/>
      <c r="F469" s="6"/>
    </row>
    <row r="470" spans="3:6">
      <c r="C470" s="2"/>
      <c r="D470" s="12"/>
      <c r="E470" s="12"/>
      <c r="F470" s="6"/>
    </row>
    <row r="471" spans="3:6">
      <c r="C471" s="2"/>
      <c r="D471" s="12"/>
      <c r="E471" s="12"/>
      <c r="F471" s="6"/>
    </row>
    <row r="472" spans="3:6">
      <c r="C472" s="2"/>
      <c r="D472" s="12"/>
      <c r="E472" s="12"/>
      <c r="F472" s="6"/>
    </row>
    <row r="473" spans="3:6">
      <c r="C473" s="2"/>
      <c r="D473" s="12"/>
      <c r="E473" s="12"/>
      <c r="F473" s="6"/>
    </row>
    <row r="474" spans="3:6">
      <c r="C474" s="2"/>
      <c r="D474" s="12"/>
      <c r="E474" s="12"/>
      <c r="F474" s="6"/>
    </row>
    <row r="475" spans="3:6">
      <c r="C475" s="2"/>
      <c r="D475" s="12"/>
      <c r="E475" s="12"/>
      <c r="F475" s="6"/>
    </row>
    <row r="476" spans="3:6">
      <c r="C476" s="2"/>
      <c r="D476" s="12"/>
      <c r="E476" s="12"/>
      <c r="F476" s="6"/>
    </row>
    <row r="477" spans="3:6">
      <c r="C477" s="2"/>
      <c r="D477" s="12"/>
      <c r="E477" s="12"/>
      <c r="F477" s="6"/>
    </row>
    <row r="478" spans="3:6">
      <c r="C478" s="2"/>
      <c r="D478" s="12"/>
      <c r="E478" s="12"/>
      <c r="F478" s="6"/>
    </row>
    <row r="479" spans="3:6">
      <c r="C479" s="2"/>
      <c r="D479" s="12"/>
      <c r="E479" s="12"/>
      <c r="F479" s="6"/>
    </row>
    <row r="480" spans="3:6">
      <c r="C480" s="2"/>
      <c r="D480" s="12"/>
      <c r="E480" s="12"/>
      <c r="F480" s="6"/>
    </row>
    <row r="481" spans="3:6">
      <c r="C481" s="2"/>
      <c r="D481" s="12"/>
      <c r="E481" s="12"/>
      <c r="F481" s="6"/>
    </row>
    <row r="482" spans="3:6">
      <c r="C482" s="2"/>
      <c r="D482" s="12"/>
      <c r="E482" s="13"/>
      <c r="F482" s="6"/>
    </row>
    <row r="483" spans="3:6">
      <c r="C483" s="2"/>
      <c r="D483" s="12"/>
      <c r="E483" s="13"/>
      <c r="F483" s="6"/>
    </row>
    <row r="484" spans="3:6">
      <c r="C484" s="2"/>
      <c r="D484" s="12"/>
      <c r="E484" s="12"/>
      <c r="F484" s="6"/>
    </row>
    <row r="485" spans="3:6">
      <c r="C485" s="2"/>
      <c r="D485" s="12"/>
      <c r="E485" s="12"/>
      <c r="F485" s="6"/>
    </row>
    <row r="486" spans="3:6">
      <c r="C486" s="2"/>
      <c r="D486" s="12"/>
      <c r="E486" s="12"/>
      <c r="F486" s="6"/>
    </row>
    <row r="487" spans="3:6">
      <c r="C487" s="2"/>
      <c r="D487" s="12"/>
      <c r="E487" s="12"/>
      <c r="F487" s="6"/>
    </row>
    <row r="488" spans="3:6">
      <c r="C488" s="2"/>
      <c r="D488" s="12"/>
      <c r="E488" s="12"/>
      <c r="F488" s="6"/>
    </row>
    <row r="489" spans="3:6">
      <c r="C489" s="2"/>
      <c r="D489" s="12"/>
      <c r="E489" s="12"/>
      <c r="F489" s="6"/>
    </row>
    <row r="490" spans="3:6">
      <c r="C490" s="2"/>
      <c r="D490" s="12"/>
      <c r="E490" s="12"/>
      <c r="F490" s="6"/>
    </row>
    <row r="491" spans="3:6">
      <c r="C491" s="2"/>
      <c r="D491" s="12"/>
      <c r="E491" s="12"/>
      <c r="F491" s="6"/>
    </row>
    <row r="492" spans="3:6">
      <c r="C492" s="2"/>
      <c r="D492" s="12"/>
      <c r="E492" s="12"/>
      <c r="F492" s="6"/>
    </row>
    <row r="493" spans="3:6">
      <c r="C493" s="2"/>
      <c r="D493" s="12"/>
      <c r="E493" s="13"/>
      <c r="F493" s="6"/>
    </row>
    <row r="494" spans="3:6">
      <c r="C494" s="2"/>
      <c r="D494" s="12"/>
      <c r="E494" s="12"/>
      <c r="F494" s="6"/>
    </row>
    <row r="495" spans="3:6">
      <c r="C495" s="2"/>
      <c r="D495" s="12"/>
      <c r="E495" s="13"/>
      <c r="F495" s="6"/>
    </row>
    <row r="496" spans="3:6">
      <c r="C496" s="2"/>
      <c r="D496" s="12"/>
      <c r="E496" s="12"/>
      <c r="F496" s="6"/>
    </row>
    <row r="497" spans="3:6">
      <c r="C497" s="2"/>
      <c r="D497" s="12"/>
      <c r="E497" s="12"/>
      <c r="F497" s="6"/>
    </row>
    <row r="498" spans="3:6">
      <c r="C498" s="2"/>
      <c r="D498" s="12"/>
      <c r="E498" s="12"/>
      <c r="F498" s="6"/>
    </row>
    <row r="499" spans="3:6">
      <c r="C499" s="2"/>
      <c r="D499" s="12"/>
      <c r="E499" s="12"/>
      <c r="F499" s="6"/>
    </row>
    <row r="500" spans="3:6">
      <c r="C500" s="2"/>
      <c r="D500" s="12"/>
      <c r="E500" s="12"/>
      <c r="F500" s="6"/>
    </row>
    <row r="501" spans="3:6">
      <c r="C501" s="2"/>
      <c r="D501" s="12"/>
      <c r="E501" s="12"/>
      <c r="F501" s="6"/>
    </row>
    <row r="502" spans="3:6">
      <c r="C502" s="2"/>
      <c r="D502" s="12"/>
      <c r="E502" s="12"/>
      <c r="F502" s="6"/>
    </row>
    <row r="503" spans="3:6">
      <c r="C503" s="2"/>
      <c r="D503" s="12"/>
      <c r="E503" s="13"/>
      <c r="F503" s="6"/>
    </row>
    <row r="504" spans="3:6">
      <c r="C504" s="2"/>
      <c r="D504" s="12"/>
      <c r="E504" s="13"/>
      <c r="F504" s="6"/>
    </row>
    <row r="505" spans="3:6">
      <c r="C505" s="2"/>
      <c r="D505" s="12"/>
      <c r="E505" s="13"/>
      <c r="F505" s="6"/>
    </row>
    <row r="506" spans="3:6">
      <c r="C506" s="2"/>
      <c r="D506" s="12"/>
      <c r="E506" s="12"/>
      <c r="F506" s="6"/>
    </row>
    <row r="507" spans="3:6">
      <c r="C507" s="2"/>
      <c r="D507" s="12"/>
      <c r="E507" s="12"/>
      <c r="F507" s="6"/>
    </row>
    <row r="508" spans="3:6">
      <c r="C508" s="2"/>
      <c r="D508" s="12"/>
      <c r="E508" s="12"/>
      <c r="F508" s="6"/>
    </row>
    <row r="509" spans="3:6">
      <c r="C509" s="2"/>
      <c r="D509" s="12"/>
      <c r="E509" s="12"/>
      <c r="F509" s="6"/>
    </row>
    <row r="510" spans="3:6">
      <c r="C510" s="2"/>
      <c r="D510" s="12"/>
      <c r="E510" s="12"/>
      <c r="F510" s="6"/>
    </row>
    <row r="511" spans="3:6">
      <c r="C511" s="2"/>
      <c r="D511" s="12"/>
      <c r="E511" s="13"/>
      <c r="F511" s="6"/>
    </row>
    <row r="512" spans="3:6">
      <c r="C512" s="2"/>
      <c r="D512" s="12"/>
      <c r="E512" s="13"/>
      <c r="F512" s="6"/>
    </row>
    <row r="513" spans="3:6">
      <c r="C513" s="2"/>
      <c r="D513" s="12"/>
      <c r="E513" s="13"/>
      <c r="F513" s="6"/>
    </row>
    <row r="514" spans="3:6">
      <c r="C514" s="2"/>
      <c r="D514" s="12"/>
      <c r="E514" s="12"/>
      <c r="F514" s="6"/>
    </row>
    <row r="515" spans="3:6">
      <c r="C515" s="2"/>
      <c r="D515" s="12"/>
      <c r="E515" s="12"/>
      <c r="F515" s="6"/>
    </row>
    <row r="516" spans="3:6">
      <c r="C516" s="2"/>
      <c r="D516" s="12"/>
      <c r="E516" s="12"/>
      <c r="F516" s="6"/>
    </row>
    <row r="517" spans="3:6">
      <c r="C517" s="2"/>
      <c r="D517" s="12"/>
      <c r="E517" s="12"/>
      <c r="F517" s="6"/>
    </row>
    <row r="518" spans="3:6">
      <c r="C518" s="2"/>
      <c r="D518" s="12"/>
      <c r="E518" s="12"/>
      <c r="F518" s="6"/>
    </row>
    <row r="519" spans="3:6">
      <c r="C519" s="2"/>
      <c r="D519" s="12"/>
      <c r="E519" s="12"/>
      <c r="F519" s="6"/>
    </row>
    <row r="520" spans="3:6">
      <c r="C520" s="2"/>
      <c r="D520" s="12"/>
      <c r="E520" s="12"/>
      <c r="F520" s="6"/>
    </row>
    <row r="521" spans="3:6">
      <c r="C521" s="2"/>
      <c r="D521" s="12"/>
      <c r="E521" s="12"/>
      <c r="F521" s="6"/>
    </row>
    <row r="522" spans="3:6">
      <c r="C522" s="2"/>
      <c r="D522" s="12"/>
      <c r="E522" s="12"/>
      <c r="F522" s="6"/>
    </row>
    <row r="523" spans="3:6">
      <c r="C523" s="2"/>
      <c r="D523" s="12"/>
      <c r="E523" s="12"/>
      <c r="F523" s="6"/>
    </row>
    <row r="524" spans="3:6">
      <c r="C524" s="2"/>
      <c r="D524" s="12"/>
      <c r="E524" s="12"/>
      <c r="F524" s="6"/>
    </row>
    <row r="525" spans="3:6">
      <c r="C525" s="2"/>
      <c r="D525" s="12"/>
      <c r="E525" s="13"/>
      <c r="F525" s="6"/>
    </row>
    <row r="526" spans="3:6">
      <c r="C526" s="2"/>
      <c r="D526" s="12"/>
      <c r="E526" s="13"/>
      <c r="F526" s="6"/>
    </row>
    <row r="527" spans="3:6">
      <c r="C527" s="2"/>
      <c r="D527" s="12"/>
      <c r="E527" s="13"/>
      <c r="F527" s="6"/>
    </row>
    <row r="528" spans="3:6">
      <c r="C528" s="2"/>
      <c r="D528" s="12"/>
      <c r="E528" s="13"/>
      <c r="F528" s="6"/>
    </row>
    <row r="529" spans="3:6">
      <c r="C529" s="2"/>
      <c r="D529" s="12"/>
      <c r="E529" s="12"/>
      <c r="F529" s="6"/>
    </row>
    <row r="530" spans="3:6">
      <c r="C530" s="2"/>
      <c r="D530" s="12"/>
      <c r="E530" s="12"/>
      <c r="F530" s="6"/>
    </row>
    <row r="531" spans="3:6">
      <c r="C531" s="2"/>
      <c r="D531" s="12"/>
      <c r="E531" s="12"/>
      <c r="F531" s="6"/>
    </row>
    <row r="532" spans="3:6">
      <c r="C532" s="2"/>
      <c r="D532" s="12"/>
      <c r="E532" s="12"/>
      <c r="F532" s="6"/>
    </row>
    <row r="533" spans="3:6">
      <c r="C533" s="2"/>
      <c r="D533" s="12"/>
      <c r="E533" s="12"/>
      <c r="F533" s="6"/>
    </row>
    <row r="534" spans="3:6">
      <c r="C534" s="2"/>
      <c r="D534" s="12"/>
      <c r="E534" s="12"/>
      <c r="F534" s="6"/>
    </row>
    <row r="535" spans="3:6">
      <c r="C535" s="2"/>
      <c r="D535" s="12"/>
      <c r="E535" s="12"/>
      <c r="F535" s="6"/>
    </row>
    <row r="536" spans="3:6">
      <c r="C536" s="2"/>
      <c r="D536" s="12"/>
      <c r="E536" s="12"/>
      <c r="F536" s="6"/>
    </row>
    <row r="537" spans="3:6">
      <c r="C537" s="2"/>
      <c r="D537" s="12"/>
      <c r="E537" s="12"/>
      <c r="F537" s="6"/>
    </row>
    <row r="538" spans="3:6">
      <c r="C538" s="2"/>
      <c r="D538" s="12"/>
      <c r="E538" s="12"/>
      <c r="F538" s="6"/>
    </row>
    <row r="539" spans="3:6">
      <c r="C539" s="2"/>
      <c r="D539" s="12"/>
      <c r="E539" s="12"/>
      <c r="F539" s="6"/>
    </row>
    <row r="540" spans="3:6">
      <c r="C540" s="2"/>
      <c r="D540" s="12"/>
      <c r="E540" s="12"/>
      <c r="F540" s="6"/>
    </row>
    <row r="541" spans="3:6">
      <c r="C541" s="2"/>
      <c r="D541" s="12"/>
      <c r="E541" s="12"/>
      <c r="F541" s="6"/>
    </row>
    <row r="542" spans="3:6">
      <c r="C542" s="2"/>
      <c r="D542" s="12"/>
      <c r="E542" s="12"/>
      <c r="F542" s="6"/>
    </row>
    <row r="543" spans="3:6">
      <c r="C543" s="2"/>
      <c r="D543" s="12"/>
      <c r="E543" s="12"/>
      <c r="F543" s="6"/>
    </row>
    <row r="544" spans="3:6">
      <c r="C544" s="2"/>
      <c r="D544" s="12"/>
      <c r="E544" s="12"/>
      <c r="F544" s="6"/>
    </row>
    <row r="545" spans="3:6">
      <c r="C545" s="2"/>
      <c r="D545" s="12"/>
      <c r="E545" s="12"/>
      <c r="F545" s="6"/>
    </row>
    <row r="546" spans="3:6">
      <c r="C546" s="2"/>
      <c r="D546" s="12"/>
      <c r="E546" s="12"/>
      <c r="F546" s="6"/>
    </row>
    <row r="547" spans="3:6">
      <c r="C547" s="2"/>
      <c r="D547" s="12"/>
      <c r="E547" s="12"/>
      <c r="F547" s="6"/>
    </row>
    <row r="548" spans="3:6">
      <c r="C548" s="2"/>
      <c r="D548" s="12"/>
      <c r="E548" s="12"/>
      <c r="F548" s="6"/>
    </row>
    <row r="549" spans="3:6">
      <c r="C549" s="2"/>
      <c r="D549" s="12"/>
      <c r="E549" s="12"/>
      <c r="F549" s="6"/>
    </row>
    <row r="550" spans="3:6">
      <c r="C550" s="2"/>
      <c r="D550" s="12"/>
      <c r="E550" s="12"/>
      <c r="F550" s="6"/>
    </row>
    <row r="551" spans="3:6">
      <c r="C551" s="2"/>
      <c r="D551" s="12"/>
      <c r="E551" s="13"/>
      <c r="F551" s="6"/>
    </row>
    <row r="552" spans="3:6">
      <c r="C552" s="2"/>
      <c r="D552" s="12"/>
      <c r="E552" s="12"/>
      <c r="F552" s="6"/>
    </row>
    <row r="553" spans="3:6">
      <c r="C553" s="2"/>
      <c r="D553" s="12"/>
      <c r="E553" s="13"/>
      <c r="F553" s="6"/>
    </row>
    <row r="554" spans="3:6">
      <c r="C554" s="2"/>
      <c r="D554" s="12"/>
      <c r="E554" s="12"/>
      <c r="F554" s="6"/>
    </row>
    <row r="555" spans="3:6">
      <c r="C555" s="2"/>
      <c r="D555" s="12"/>
      <c r="E555" s="12"/>
      <c r="F555" s="6"/>
    </row>
    <row r="556" spans="3:6">
      <c r="C556" s="2"/>
      <c r="D556" s="12"/>
      <c r="E556" s="12"/>
      <c r="F556" s="6"/>
    </row>
    <row r="557" spans="3:6">
      <c r="C557" s="2"/>
      <c r="D557" s="12"/>
      <c r="E557" s="12"/>
      <c r="F557" s="6"/>
    </row>
    <row r="558" spans="3:6">
      <c r="C558" s="2"/>
      <c r="D558" s="12"/>
      <c r="E558" s="12"/>
      <c r="F558" s="6"/>
    </row>
    <row r="559" spans="3:6">
      <c r="C559" s="2"/>
      <c r="D559" s="12"/>
      <c r="E559" s="12"/>
      <c r="F559" s="6"/>
    </row>
    <row r="560" spans="3:6">
      <c r="C560" s="2"/>
      <c r="D560" s="12"/>
      <c r="E560" s="12"/>
      <c r="F560" s="6"/>
    </row>
    <row r="561" spans="3:6">
      <c r="C561" s="2"/>
      <c r="D561" s="12"/>
      <c r="E561" s="12"/>
      <c r="F561" s="6"/>
    </row>
    <row r="562" spans="3:6">
      <c r="C562" s="2"/>
      <c r="D562" s="12"/>
      <c r="E562" s="12"/>
      <c r="F562" s="6"/>
    </row>
    <row r="563" spans="3:6">
      <c r="C563" s="2"/>
      <c r="D563" s="12"/>
      <c r="E563" s="12"/>
      <c r="F563" s="6"/>
    </row>
    <row r="564" spans="3:6">
      <c r="C564" s="2"/>
      <c r="D564" s="12"/>
      <c r="E564" s="12"/>
      <c r="F564" s="6"/>
    </row>
    <row r="565" spans="3:6">
      <c r="C565" s="2"/>
      <c r="D565" s="12"/>
      <c r="E565" s="12"/>
      <c r="F565" s="6"/>
    </row>
    <row r="566" spans="3:6">
      <c r="C566" s="2"/>
      <c r="D566" s="12"/>
      <c r="E566" s="12"/>
      <c r="F566" s="6"/>
    </row>
    <row r="567" spans="3:6">
      <c r="C567" s="2"/>
      <c r="D567" s="12"/>
      <c r="E567" s="12"/>
      <c r="F567" s="6"/>
    </row>
    <row r="568" spans="3:6">
      <c r="C568" s="2"/>
      <c r="D568" s="12"/>
      <c r="E568" s="12"/>
      <c r="F568" s="6"/>
    </row>
    <row r="569" spans="3:6">
      <c r="C569" s="2"/>
      <c r="D569" s="12"/>
      <c r="E569" s="12"/>
      <c r="F569" s="6"/>
    </row>
    <row r="570" spans="3:6">
      <c r="C570" s="2"/>
      <c r="D570" s="12"/>
      <c r="E570" s="12"/>
      <c r="F570" s="6"/>
    </row>
    <row r="571" spans="3:6">
      <c r="C571" s="2"/>
      <c r="D571" s="12"/>
      <c r="E571" s="12"/>
      <c r="F571" s="6"/>
    </row>
    <row r="572" spans="3:6">
      <c r="C572" s="2"/>
      <c r="D572" s="12"/>
      <c r="E572" s="12"/>
      <c r="F572" s="6"/>
    </row>
    <row r="573" spans="3:6">
      <c r="C573" s="2"/>
      <c r="D573" s="12"/>
      <c r="E573" s="12"/>
      <c r="F573" s="6"/>
    </row>
    <row r="574" spans="3:6">
      <c r="C574" s="2"/>
      <c r="D574" s="12"/>
      <c r="E574" s="12"/>
      <c r="F574" s="6"/>
    </row>
    <row r="575" spans="3:6">
      <c r="C575" s="2"/>
      <c r="D575" s="12"/>
      <c r="E575" s="12"/>
      <c r="F575" s="6"/>
    </row>
    <row r="576" spans="3:6">
      <c r="C576" s="2"/>
      <c r="D576" s="12"/>
      <c r="E576" s="12"/>
      <c r="F576" s="6"/>
    </row>
    <row r="577" spans="3:6">
      <c r="C577" s="2"/>
      <c r="D577" s="12"/>
      <c r="E577" s="12"/>
      <c r="F577" s="6"/>
    </row>
    <row r="578" spans="3:6">
      <c r="C578" s="2"/>
      <c r="D578" s="12"/>
      <c r="E578" s="12"/>
      <c r="F578" s="6"/>
    </row>
    <row r="579" spans="3:6">
      <c r="C579" s="2"/>
      <c r="D579" s="12"/>
      <c r="E579" s="12"/>
      <c r="F579" s="6"/>
    </row>
    <row r="580" spans="3:6">
      <c r="C580" s="2"/>
      <c r="D580" s="12"/>
      <c r="E580" s="12"/>
      <c r="F580" s="6"/>
    </row>
    <row r="581" spans="3:6">
      <c r="C581" s="2"/>
      <c r="D581" s="12"/>
      <c r="E581" s="12"/>
      <c r="F581" s="6"/>
    </row>
    <row r="582" spans="3:6">
      <c r="C582" s="2"/>
      <c r="D582" s="12"/>
      <c r="E582" s="12"/>
      <c r="F582" s="6"/>
    </row>
    <row r="583" spans="3:6">
      <c r="C583" s="2"/>
      <c r="D583" s="12"/>
      <c r="E583" s="12"/>
      <c r="F583" s="6"/>
    </row>
    <row r="584" spans="3:6">
      <c r="C584" s="2"/>
      <c r="D584" s="12"/>
      <c r="E584" s="13"/>
      <c r="F584" s="6"/>
    </row>
    <row r="585" spans="3:6">
      <c r="C585" s="2"/>
      <c r="D585" s="12"/>
      <c r="E585" s="13"/>
      <c r="F585" s="6"/>
    </row>
    <row r="586" spans="3:6">
      <c r="C586" s="2"/>
      <c r="D586" s="12"/>
      <c r="E586" s="13"/>
      <c r="F586" s="6"/>
    </row>
    <row r="587" spans="3:6">
      <c r="C587" s="2"/>
      <c r="D587" s="12"/>
      <c r="E587" s="13"/>
      <c r="F587" s="6"/>
    </row>
    <row r="588" spans="3:6">
      <c r="C588" s="2"/>
      <c r="D588" s="12"/>
      <c r="E588" s="12"/>
      <c r="F588" s="6"/>
    </row>
    <row r="589" spans="3:6">
      <c r="C589" s="2"/>
      <c r="D589" s="12"/>
      <c r="E589" s="12"/>
      <c r="F589" s="6"/>
    </row>
    <row r="590" spans="3:6">
      <c r="C590" s="2"/>
      <c r="D590" s="12"/>
      <c r="E590" s="12"/>
      <c r="F590" s="6"/>
    </row>
    <row r="591" spans="3:6">
      <c r="C591" s="2"/>
      <c r="D591" s="12"/>
      <c r="E591" s="12"/>
      <c r="F591" s="6"/>
    </row>
    <row r="592" spans="3:6">
      <c r="C592" s="2"/>
      <c r="D592" s="12"/>
      <c r="E592" s="12"/>
      <c r="F592" s="6"/>
    </row>
    <row r="593" spans="3:6">
      <c r="C593" s="2"/>
      <c r="D593" s="12"/>
      <c r="E593" s="12"/>
      <c r="F593" s="6"/>
    </row>
    <row r="594" spans="3:6">
      <c r="C594" s="2"/>
      <c r="D594" s="12"/>
      <c r="E594" s="12"/>
      <c r="F594" s="6"/>
    </row>
    <row r="595" spans="3:6">
      <c r="C595" s="2"/>
      <c r="D595" s="12"/>
      <c r="E595" s="12"/>
      <c r="F595" s="6"/>
    </row>
    <row r="596" spans="3:6">
      <c r="C596" s="2"/>
      <c r="D596" s="12"/>
      <c r="E596" s="12"/>
      <c r="F596" s="6"/>
    </row>
    <row r="597" spans="3:6">
      <c r="C597" s="2"/>
      <c r="D597" s="12"/>
      <c r="E597" s="12"/>
      <c r="F597" s="6"/>
    </row>
    <row r="598" spans="3:6">
      <c r="C598" s="2"/>
      <c r="D598" s="12"/>
      <c r="E598" s="12"/>
      <c r="F598" s="6"/>
    </row>
    <row r="599" spans="3:6">
      <c r="C599" s="2"/>
      <c r="D599" s="12"/>
      <c r="E599" s="12"/>
      <c r="F599" s="6"/>
    </row>
    <row r="600" spans="3:6">
      <c r="C600" s="2"/>
      <c r="D600" s="12"/>
      <c r="E600" s="13"/>
      <c r="F600" s="6"/>
    </row>
    <row r="601" spans="3:6">
      <c r="C601" s="2"/>
      <c r="D601" s="12"/>
      <c r="E601" s="12"/>
      <c r="F601" s="6"/>
    </row>
    <row r="602" spans="3:6">
      <c r="C602" s="2"/>
      <c r="D602" s="12"/>
      <c r="E602" s="12"/>
      <c r="F602" s="6"/>
    </row>
    <row r="603" spans="3:6">
      <c r="C603" s="2"/>
      <c r="D603" s="12"/>
      <c r="E603" s="12"/>
      <c r="F603" s="6"/>
    </row>
    <row r="604" spans="3:6">
      <c r="C604" s="2"/>
      <c r="D604" s="12"/>
      <c r="E604" s="12"/>
      <c r="F604" s="6"/>
    </row>
    <row r="605" spans="3:6">
      <c r="C605" s="2"/>
      <c r="D605" s="12"/>
      <c r="E605" s="12"/>
      <c r="F605" s="6"/>
    </row>
    <row r="606" spans="3:6">
      <c r="C606" s="2"/>
      <c r="D606" s="12"/>
      <c r="E606" s="12"/>
      <c r="F606" s="6"/>
    </row>
    <row r="607" spans="3:6">
      <c r="C607" s="2"/>
      <c r="D607" s="12"/>
      <c r="E607" s="13"/>
      <c r="F607" s="6"/>
    </row>
    <row r="608" spans="3:6">
      <c r="C608" s="2"/>
      <c r="D608" s="12"/>
      <c r="E608" s="12"/>
      <c r="F608" s="6"/>
    </row>
    <row r="609" spans="3:6">
      <c r="C609" s="2"/>
      <c r="D609" s="12"/>
      <c r="E609" s="13"/>
      <c r="F609" s="6"/>
    </row>
    <row r="610" spans="3:6">
      <c r="C610" s="2"/>
      <c r="D610" s="12"/>
      <c r="E610" s="13"/>
      <c r="F610" s="6"/>
    </row>
    <row r="611" spans="3:6">
      <c r="C611" s="2"/>
      <c r="D611" s="12"/>
      <c r="E611" s="13"/>
      <c r="F611" s="6"/>
    </row>
    <row r="612" spans="3:6">
      <c r="C612" s="2"/>
      <c r="D612" s="12"/>
      <c r="E612" s="12"/>
      <c r="F612" s="6"/>
    </row>
    <row r="613" spans="3:6">
      <c r="C613" s="2"/>
      <c r="D613" s="12"/>
      <c r="E613" s="12"/>
      <c r="F613" s="6"/>
    </row>
    <row r="614" spans="3:6">
      <c r="C614" s="2"/>
      <c r="D614" s="12"/>
      <c r="E614" s="12"/>
      <c r="F614" s="6"/>
    </row>
    <row r="615" spans="3:6">
      <c r="C615" s="2"/>
      <c r="D615" s="12"/>
      <c r="E615" s="12"/>
      <c r="F615" s="6"/>
    </row>
    <row r="616" spans="3:6">
      <c r="C616" s="2"/>
      <c r="D616" s="12"/>
      <c r="E616" s="12"/>
      <c r="F616" s="6"/>
    </row>
    <row r="617" spans="3:6">
      <c r="C617" s="2"/>
      <c r="D617" s="12"/>
      <c r="E617" s="12"/>
      <c r="F617" s="6"/>
    </row>
    <row r="618" spans="3:6">
      <c r="C618" s="2"/>
      <c r="D618" s="12"/>
      <c r="E618" s="12"/>
      <c r="F618" s="6"/>
    </row>
    <row r="619" spans="3:6">
      <c r="C619" s="2"/>
      <c r="D619" s="12"/>
      <c r="E619" s="12"/>
      <c r="F619" s="6"/>
    </row>
    <row r="620" spans="3:6">
      <c r="C620" s="2"/>
      <c r="D620" s="12"/>
      <c r="E620" s="12"/>
      <c r="F620" s="6"/>
    </row>
    <row r="621" spans="3:6">
      <c r="C621" s="2"/>
      <c r="D621" s="12"/>
      <c r="E621" s="12"/>
      <c r="F621" s="6"/>
    </row>
    <row r="622" spans="3:6">
      <c r="C622" s="2"/>
      <c r="D622" s="12"/>
      <c r="E622" s="12"/>
      <c r="F622" s="6"/>
    </row>
    <row r="623" spans="3:6">
      <c r="C623" s="2"/>
      <c r="D623" s="12"/>
      <c r="E623" s="12"/>
      <c r="F623" s="6"/>
    </row>
    <row r="624" spans="3:6">
      <c r="C624" s="2"/>
      <c r="D624" s="12"/>
      <c r="E624" s="12"/>
      <c r="F624" s="6"/>
    </row>
    <row r="625" spans="3:6">
      <c r="C625" s="2"/>
      <c r="D625" s="12"/>
      <c r="E625" s="12"/>
      <c r="F625" s="6"/>
    </row>
    <row r="626" spans="3:6">
      <c r="C626" s="2"/>
      <c r="D626" s="12"/>
      <c r="E626" s="12"/>
      <c r="F626" s="6"/>
    </row>
    <row r="627" spans="3:6">
      <c r="C627" s="2"/>
      <c r="D627" s="12"/>
      <c r="E627" s="12"/>
      <c r="F627" s="6"/>
    </row>
    <row r="628" spans="3:6">
      <c r="C628" s="2"/>
      <c r="D628" s="12"/>
      <c r="E628" s="12"/>
      <c r="F628" s="6"/>
    </row>
    <row r="629" spans="3:6">
      <c r="C629" s="2"/>
      <c r="D629" s="12"/>
      <c r="E629" s="12"/>
      <c r="F629" s="6"/>
    </row>
    <row r="630" spans="3:6">
      <c r="C630" s="2"/>
      <c r="D630" s="12"/>
      <c r="E630" s="12"/>
      <c r="F630" s="6"/>
    </row>
    <row r="631" spans="3:6">
      <c r="C631" s="2"/>
      <c r="D631" s="12"/>
      <c r="E631" s="12"/>
      <c r="F631" s="6"/>
    </row>
    <row r="632" spans="3:6">
      <c r="C632" s="2"/>
      <c r="D632" s="12"/>
      <c r="E632" s="12"/>
      <c r="F632" s="6"/>
    </row>
    <row r="633" spans="3:6">
      <c r="C633" s="2"/>
      <c r="D633" s="12"/>
      <c r="E633" s="12"/>
      <c r="F633" s="6"/>
    </row>
    <row r="634" spans="3:6">
      <c r="C634" s="2"/>
      <c r="D634" s="12"/>
      <c r="E634" s="12"/>
      <c r="F634" s="6"/>
    </row>
    <row r="635" spans="3:6">
      <c r="C635" s="2"/>
      <c r="D635" s="12"/>
      <c r="E635" s="12"/>
      <c r="F635" s="6"/>
    </row>
    <row r="636" spans="3:6">
      <c r="C636" s="2"/>
      <c r="D636" s="12"/>
      <c r="E636" s="12"/>
      <c r="F636" s="6"/>
    </row>
    <row r="637" spans="3:6">
      <c r="C637" s="2"/>
      <c r="D637" s="12"/>
      <c r="E637" s="12"/>
      <c r="F637" s="6"/>
    </row>
    <row r="638" spans="3:6">
      <c r="C638" s="2"/>
      <c r="D638" s="12"/>
      <c r="E638" s="12"/>
      <c r="F638" s="6"/>
    </row>
    <row r="639" spans="3:6">
      <c r="C639" s="2"/>
      <c r="D639" s="12"/>
      <c r="E639" s="12"/>
      <c r="F639" s="6"/>
    </row>
    <row r="640" spans="3:6">
      <c r="C640" s="2"/>
      <c r="D640" s="12"/>
      <c r="E640" s="12"/>
      <c r="F640" s="6"/>
    </row>
    <row r="641" spans="3:6">
      <c r="C641" s="2"/>
      <c r="D641" s="12"/>
      <c r="E641" s="12"/>
      <c r="F641" s="6"/>
    </row>
    <row r="642" spans="3:6">
      <c r="C642" s="2"/>
      <c r="D642" s="12"/>
      <c r="E642" s="13"/>
      <c r="F642" s="6"/>
    </row>
    <row r="643" spans="3:6">
      <c r="C643" s="2"/>
      <c r="D643" s="12"/>
      <c r="E643" s="12"/>
      <c r="F643" s="6"/>
    </row>
    <row r="644" spans="3:6">
      <c r="C644" s="2"/>
      <c r="D644" s="12"/>
      <c r="E644" s="12"/>
      <c r="F644" s="6"/>
    </row>
    <row r="645" spans="3:6">
      <c r="C645" s="2"/>
      <c r="D645" s="12"/>
      <c r="E645" s="12"/>
      <c r="F645" s="6"/>
    </row>
    <row r="646" spans="3:6">
      <c r="C646" s="2"/>
      <c r="D646" s="12"/>
      <c r="E646" s="12"/>
      <c r="F646" s="6"/>
    </row>
    <row r="647" spans="3:6">
      <c r="C647" s="2"/>
      <c r="D647" s="12"/>
      <c r="E647" s="12"/>
      <c r="F647" s="6"/>
    </row>
    <row r="648" spans="3:6">
      <c r="C648" s="2"/>
      <c r="D648" s="12"/>
      <c r="E648" s="12"/>
      <c r="F648" s="6"/>
    </row>
    <row r="649" spans="3:6">
      <c r="C649" s="2"/>
      <c r="D649" s="12"/>
      <c r="E649" s="12"/>
      <c r="F649" s="6"/>
    </row>
    <row r="650" spans="3:6">
      <c r="C650" s="2"/>
      <c r="D650" s="12"/>
      <c r="E650" s="12"/>
      <c r="F650" s="6"/>
    </row>
    <row r="651" spans="3:6">
      <c r="C651" s="2"/>
      <c r="D651" s="12"/>
      <c r="E651" s="12"/>
      <c r="F651" s="6"/>
    </row>
    <row r="652" spans="3:6">
      <c r="C652" s="2"/>
      <c r="D652" s="12"/>
      <c r="E652" s="12"/>
      <c r="F652" s="6"/>
    </row>
    <row r="653" spans="3:6">
      <c r="C653" s="2"/>
      <c r="D653" s="12"/>
      <c r="E653" s="12"/>
      <c r="F653" s="6"/>
    </row>
    <row r="654" spans="3:6">
      <c r="C654" s="2"/>
      <c r="D654" s="12"/>
      <c r="E654" s="12"/>
      <c r="F654" s="6"/>
    </row>
    <row r="655" spans="3:6">
      <c r="C655" s="2"/>
      <c r="D655" s="12"/>
      <c r="E655" s="12"/>
      <c r="F655" s="6"/>
    </row>
    <row r="656" spans="3:6">
      <c r="C656" s="2"/>
      <c r="D656" s="12"/>
      <c r="E656" s="12"/>
      <c r="F656" s="6"/>
    </row>
    <row r="657" spans="3:6">
      <c r="C657" s="2"/>
      <c r="D657" s="12"/>
      <c r="E657" s="13"/>
      <c r="F657" s="6"/>
    </row>
    <row r="658" spans="3:6">
      <c r="C658" s="2"/>
      <c r="D658" s="12"/>
      <c r="E658" s="12"/>
      <c r="F658" s="6"/>
    </row>
    <row r="659" spans="3:6">
      <c r="C659" s="2"/>
      <c r="D659" s="12"/>
      <c r="E659" s="12"/>
      <c r="F659" s="6"/>
    </row>
    <row r="660" spans="3:6">
      <c r="C660" s="2"/>
      <c r="D660" s="12"/>
      <c r="E660" s="12"/>
      <c r="F660" s="6"/>
    </row>
    <row r="661" spans="3:6">
      <c r="C661" s="2"/>
      <c r="D661" s="12"/>
      <c r="E661" s="12"/>
      <c r="F661" s="6"/>
    </row>
    <row r="662" spans="3:6">
      <c r="C662" s="2"/>
      <c r="D662" s="12"/>
      <c r="E662" s="12"/>
      <c r="F662" s="6"/>
    </row>
    <row r="663" spans="3:6">
      <c r="C663" s="2"/>
      <c r="D663" s="12"/>
      <c r="E663" s="12"/>
      <c r="F663" s="6"/>
    </row>
    <row r="664" spans="3:6">
      <c r="C664" s="2"/>
      <c r="D664" s="12"/>
      <c r="E664" s="12"/>
      <c r="F664" s="6"/>
    </row>
    <row r="665" spans="3:6">
      <c r="C665" s="2"/>
      <c r="D665" s="12"/>
      <c r="E665" s="12"/>
      <c r="F665" s="6"/>
    </row>
    <row r="666" spans="3:6">
      <c r="C666" s="2"/>
      <c r="D666" s="12"/>
      <c r="E666" s="12"/>
      <c r="F666" s="6"/>
    </row>
    <row r="667" spans="3:6">
      <c r="C667" s="2"/>
      <c r="D667" s="12"/>
      <c r="E667" s="12"/>
      <c r="F667" s="6"/>
    </row>
    <row r="668" spans="3:6">
      <c r="C668" s="2"/>
      <c r="D668" s="12"/>
      <c r="E668" s="12"/>
      <c r="F668" s="6"/>
    </row>
    <row r="669" spans="3:6">
      <c r="C669" s="2"/>
      <c r="D669" s="12"/>
      <c r="E669" s="12"/>
      <c r="F669" s="6"/>
    </row>
    <row r="670" spans="3:6">
      <c r="C670" s="2"/>
      <c r="D670" s="12"/>
      <c r="E670" s="12"/>
      <c r="F670" s="6"/>
    </row>
    <row r="671" spans="3:6">
      <c r="C671" s="2"/>
      <c r="D671" s="12"/>
      <c r="E671" s="12"/>
      <c r="F671" s="6"/>
    </row>
    <row r="672" spans="3:6">
      <c r="C672" s="2"/>
      <c r="D672" s="12"/>
      <c r="E672" s="12"/>
      <c r="F672" s="6"/>
    </row>
    <row r="673" spans="3:6">
      <c r="C673" s="2"/>
      <c r="D673" s="12"/>
      <c r="E673" s="12"/>
      <c r="F673" s="6"/>
    </row>
    <row r="674" spans="3:6">
      <c r="C674" s="2"/>
      <c r="D674" s="12"/>
      <c r="E674" s="12"/>
      <c r="F674" s="6"/>
    </row>
    <row r="675" spans="3:6">
      <c r="C675" s="2"/>
      <c r="D675" s="12"/>
      <c r="E675" s="12"/>
      <c r="F675" s="6"/>
    </row>
    <row r="676" spans="3:6">
      <c r="C676" s="2"/>
      <c r="D676" s="12"/>
      <c r="E676" s="12"/>
      <c r="F676" s="6"/>
    </row>
    <row r="677" spans="3:6">
      <c r="C677" s="2"/>
      <c r="D677" s="12"/>
      <c r="E677" s="12"/>
      <c r="F677" s="6"/>
    </row>
    <row r="678" spans="3:6">
      <c r="C678" s="2"/>
      <c r="D678" s="12"/>
      <c r="E678" s="12"/>
      <c r="F678" s="6"/>
    </row>
    <row r="679" spans="3:6">
      <c r="C679" s="2"/>
      <c r="D679" s="12"/>
      <c r="E679" s="12"/>
      <c r="F679" s="6"/>
    </row>
    <row r="680" spans="3:6">
      <c r="C680" s="2"/>
      <c r="D680" s="12"/>
      <c r="E680" s="12"/>
      <c r="F680" s="6"/>
    </row>
    <row r="681" spans="3:6">
      <c r="C681" s="2"/>
      <c r="D681" s="12"/>
      <c r="E681" s="12"/>
      <c r="F681" s="6"/>
    </row>
    <row r="682" spans="3:6">
      <c r="C682" s="2"/>
      <c r="D682" s="12"/>
      <c r="E682" s="12"/>
      <c r="F682" s="6"/>
    </row>
    <row r="683" spans="3:6">
      <c r="C683" s="2"/>
      <c r="D683" s="12"/>
      <c r="E683" s="12"/>
      <c r="F683" s="6"/>
    </row>
    <row r="684" spans="3:6">
      <c r="C684" s="2"/>
      <c r="D684" s="12"/>
      <c r="E684" s="12"/>
      <c r="F684" s="6"/>
    </row>
    <row r="685" spans="3:6">
      <c r="C685" s="2"/>
      <c r="D685" s="12"/>
      <c r="E685" s="12"/>
      <c r="F685" s="6"/>
    </row>
    <row r="686" spans="3:6">
      <c r="C686" s="2"/>
      <c r="D686" s="12"/>
      <c r="E686" s="12"/>
      <c r="F686" s="6"/>
    </row>
    <row r="687" spans="3:6">
      <c r="C687" s="2"/>
      <c r="D687" s="12"/>
      <c r="E687" s="12"/>
      <c r="F687" s="6"/>
    </row>
    <row r="688" spans="3:6">
      <c r="C688" s="2"/>
      <c r="D688" s="12"/>
      <c r="E688" s="12"/>
      <c r="F688" s="6"/>
    </row>
    <row r="689" spans="3:6">
      <c r="C689" s="2"/>
      <c r="D689" s="12"/>
      <c r="E689" s="12"/>
      <c r="F689" s="6"/>
    </row>
    <row r="690" spans="3:6">
      <c r="C690" s="2"/>
      <c r="D690" s="12"/>
      <c r="E690" s="12"/>
      <c r="F690" s="6"/>
    </row>
    <row r="691" spans="3:6">
      <c r="C691" s="2"/>
      <c r="D691" s="12"/>
      <c r="E691" s="13"/>
      <c r="F691" s="6"/>
    </row>
    <row r="692" spans="3:6">
      <c r="C692" s="2"/>
      <c r="D692" s="12"/>
      <c r="E692" s="12"/>
      <c r="F692" s="6"/>
    </row>
    <row r="693" spans="3:6">
      <c r="C693" s="2"/>
      <c r="D693" s="12"/>
      <c r="E693" s="12"/>
      <c r="F693" s="6"/>
    </row>
    <row r="694" spans="3:6">
      <c r="C694" s="2"/>
      <c r="D694" s="12"/>
      <c r="E694" s="12"/>
      <c r="F694" s="6"/>
    </row>
    <row r="695" spans="3:6">
      <c r="C695" s="2"/>
      <c r="D695" s="12"/>
      <c r="E695" s="12"/>
      <c r="F695" s="6"/>
    </row>
    <row r="696" spans="3:6">
      <c r="C696" s="2"/>
      <c r="D696" s="12"/>
      <c r="E696" s="12"/>
      <c r="F696" s="6"/>
    </row>
    <row r="697" spans="3:6">
      <c r="C697" s="2"/>
      <c r="D697" s="12"/>
      <c r="E697" s="13"/>
      <c r="F697" s="6"/>
    </row>
    <row r="698" spans="3:6">
      <c r="C698" s="2"/>
      <c r="D698" s="12"/>
      <c r="E698" s="12"/>
      <c r="F698" s="6"/>
    </row>
    <row r="699" spans="3:6">
      <c r="C699" s="2"/>
      <c r="D699" s="12"/>
      <c r="E699" s="12"/>
      <c r="F699" s="6"/>
    </row>
    <row r="700" spans="3:6">
      <c r="C700" s="2"/>
      <c r="D700" s="12"/>
      <c r="E700" s="12"/>
      <c r="F700" s="6"/>
    </row>
    <row r="701" spans="3:6">
      <c r="C701" s="2"/>
      <c r="D701" s="12"/>
      <c r="E701" s="12"/>
      <c r="F701" s="6"/>
    </row>
    <row r="702" spans="3:6">
      <c r="C702" s="2"/>
      <c r="D702" s="12"/>
      <c r="E702" s="12"/>
      <c r="F702" s="6"/>
    </row>
    <row r="703" spans="3:6">
      <c r="C703" s="2"/>
      <c r="D703" s="12"/>
      <c r="E703" s="13"/>
      <c r="F703" s="6"/>
    </row>
    <row r="704" spans="3:6">
      <c r="C704" s="2"/>
      <c r="D704" s="12"/>
      <c r="E704" s="13"/>
      <c r="F704" s="6"/>
    </row>
    <row r="705" spans="3:6">
      <c r="C705" s="2"/>
      <c r="D705" s="12"/>
      <c r="E705" s="12"/>
      <c r="F705" s="6"/>
    </row>
    <row r="706" spans="3:6">
      <c r="C706" s="2"/>
      <c r="D706" s="12"/>
      <c r="E706" s="12"/>
      <c r="F706" s="6"/>
    </row>
    <row r="707" spans="3:6">
      <c r="C707" s="2"/>
      <c r="D707" s="12"/>
      <c r="E707" s="12"/>
      <c r="F707" s="6"/>
    </row>
    <row r="708" spans="3:6">
      <c r="C708" s="2"/>
      <c r="D708" s="12"/>
      <c r="E708" s="12"/>
      <c r="F708" s="6"/>
    </row>
    <row r="709" spans="3:6">
      <c r="C709" s="2"/>
      <c r="D709" s="12"/>
      <c r="E709" s="12"/>
      <c r="F709" s="6"/>
    </row>
    <row r="710" spans="3:6">
      <c r="C710" s="2"/>
      <c r="D710" s="12"/>
      <c r="E710" s="12"/>
      <c r="F710" s="6"/>
    </row>
    <row r="711" spans="3:6">
      <c r="C711" s="2"/>
      <c r="D711" s="12"/>
      <c r="E711" s="12"/>
      <c r="F711" s="6"/>
    </row>
    <row r="712" spans="3:6">
      <c r="C712" s="2"/>
      <c r="D712" s="12"/>
      <c r="E712" s="12"/>
      <c r="F712" s="6"/>
    </row>
    <row r="713" spans="3:6">
      <c r="C713" s="2"/>
      <c r="D713" s="12"/>
      <c r="E713" s="12"/>
      <c r="F713" s="6"/>
    </row>
    <row r="714" spans="3:6">
      <c r="C714" s="2"/>
      <c r="D714" s="12"/>
      <c r="E714" s="13"/>
      <c r="F714" s="6"/>
    </row>
    <row r="715" spans="3:6">
      <c r="C715" s="2"/>
      <c r="D715" s="12"/>
      <c r="E715" s="13"/>
      <c r="F715" s="6"/>
    </row>
    <row r="716" spans="3:6">
      <c r="C716" s="2"/>
      <c r="D716" s="12"/>
      <c r="E716" s="12"/>
      <c r="F716" s="6"/>
    </row>
    <row r="717" spans="3:6">
      <c r="C717" s="2"/>
      <c r="D717" s="12"/>
      <c r="E717" s="12"/>
      <c r="F717" s="6"/>
    </row>
    <row r="718" spans="3:6">
      <c r="C718" s="2"/>
      <c r="D718" s="12"/>
      <c r="E718" s="12"/>
      <c r="F718" s="6"/>
    </row>
    <row r="719" spans="3:6">
      <c r="C719" s="2"/>
      <c r="D719" s="12"/>
      <c r="E719" s="12"/>
      <c r="F719" s="6"/>
    </row>
    <row r="720" spans="3:6">
      <c r="C720" s="2"/>
      <c r="D720" s="12"/>
      <c r="E720" s="12"/>
      <c r="F720" s="6"/>
    </row>
    <row r="721" spans="3:6">
      <c r="C721" s="2"/>
      <c r="D721" s="12"/>
      <c r="E721" s="12"/>
      <c r="F721" s="6"/>
    </row>
    <row r="722" spans="3:6">
      <c r="C722" s="2"/>
      <c r="D722" s="12"/>
      <c r="E722" s="12"/>
      <c r="F722" s="6"/>
    </row>
    <row r="723" spans="3:6">
      <c r="C723" s="2"/>
      <c r="D723" s="12"/>
      <c r="E723" s="12"/>
      <c r="F723" s="6"/>
    </row>
    <row r="724" spans="3:6">
      <c r="C724" s="2"/>
      <c r="D724" s="12"/>
      <c r="E724" s="12"/>
      <c r="F724" s="6"/>
    </row>
    <row r="725" spans="3:6">
      <c r="C725" s="2"/>
      <c r="D725" s="12"/>
      <c r="E725" s="12"/>
      <c r="F725" s="6"/>
    </row>
    <row r="726" spans="3:6">
      <c r="C726" s="2"/>
      <c r="D726" s="12"/>
      <c r="E726" s="12"/>
      <c r="F726" s="6"/>
    </row>
    <row r="727" spans="3:6">
      <c r="C727" s="2"/>
      <c r="D727" s="12"/>
      <c r="E727" s="12"/>
      <c r="F727" s="6"/>
    </row>
    <row r="728" spans="3:6">
      <c r="C728" s="2"/>
      <c r="D728" s="12"/>
      <c r="E728" s="12"/>
      <c r="F728" s="6"/>
    </row>
    <row r="729" spans="3:6">
      <c r="C729" s="2"/>
      <c r="D729" s="12"/>
      <c r="E729" s="12"/>
      <c r="F729" s="6"/>
    </row>
    <row r="730" spans="3:6">
      <c r="C730" s="2"/>
      <c r="D730" s="12"/>
      <c r="E730" s="12"/>
      <c r="F730" s="6"/>
    </row>
    <row r="731" spans="3:6">
      <c r="C731" s="2"/>
      <c r="D731" s="12"/>
      <c r="E731" s="12"/>
      <c r="F731" s="6"/>
    </row>
    <row r="732" spans="3:6">
      <c r="C732" s="2"/>
      <c r="D732" s="12"/>
      <c r="E732" s="12"/>
      <c r="F732" s="6"/>
    </row>
    <row r="733" spans="3:6">
      <c r="C733" s="2"/>
      <c r="D733" s="12"/>
      <c r="E733" s="12"/>
      <c r="F733" s="6"/>
    </row>
    <row r="734" spans="3:6">
      <c r="C734" s="2"/>
      <c r="D734" s="12"/>
      <c r="E734" s="12"/>
      <c r="F734" s="6"/>
    </row>
    <row r="735" spans="3:6">
      <c r="C735" s="2"/>
      <c r="D735" s="12"/>
      <c r="E735" s="12"/>
      <c r="F735" s="6"/>
    </row>
    <row r="736" spans="3:6">
      <c r="C736" s="2"/>
      <c r="D736" s="12"/>
      <c r="E736" s="12"/>
      <c r="F736" s="6"/>
    </row>
    <row r="737" spans="3:6">
      <c r="C737" s="2"/>
      <c r="D737" s="12"/>
      <c r="E737" s="12"/>
      <c r="F737" s="6"/>
    </row>
    <row r="738" spans="3:6">
      <c r="C738" s="2"/>
      <c r="D738" s="12"/>
      <c r="E738" s="12"/>
      <c r="F738" s="6"/>
    </row>
    <row r="739" spans="3:6">
      <c r="C739" s="2"/>
      <c r="D739" s="12"/>
      <c r="E739" s="12"/>
      <c r="F739" s="6"/>
    </row>
    <row r="740" spans="3:6">
      <c r="C740" s="2"/>
      <c r="D740" s="12"/>
      <c r="E740" s="12"/>
      <c r="F740" s="6"/>
    </row>
    <row r="741" spans="3:6">
      <c r="C741" s="2"/>
      <c r="D741" s="12"/>
      <c r="E741" s="12"/>
      <c r="F741" s="6"/>
    </row>
    <row r="742" spans="3:6">
      <c r="C742" s="2"/>
      <c r="D742" s="12"/>
      <c r="E742" s="12"/>
      <c r="F742" s="6"/>
    </row>
    <row r="743" spans="3:6">
      <c r="C743" s="2"/>
      <c r="D743" s="12"/>
      <c r="E743" s="12"/>
      <c r="F743" s="6"/>
    </row>
    <row r="744" spans="3:6">
      <c r="C744" s="2"/>
      <c r="D744" s="12"/>
      <c r="E744" s="12"/>
      <c r="F744" s="6"/>
    </row>
    <row r="745" spans="3:6">
      <c r="C745" s="2"/>
      <c r="D745" s="12"/>
      <c r="E745" s="12"/>
      <c r="F745" s="6"/>
    </row>
    <row r="746" spans="3:6">
      <c r="C746" s="2"/>
      <c r="D746" s="12"/>
      <c r="E746" s="12"/>
      <c r="F746" s="6"/>
    </row>
    <row r="747" spans="3:6">
      <c r="C747" s="2"/>
      <c r="D747" s="12"/>
      <c r="E747" s="12"/>
      <c r="F747" s="6"/>
    </row>
    <row r="748" spans="3:6">
      <c r="C748" s="2"/>
      <c r="D748" s="12"/>
      <c r="E748" s="12"/>
      <c r="F748" s="6"/>
    </row>
    <row r="749" spans="3:6">
      <c r="C749" s="2"/>
      <c r="D749" s="12"/>
      <c r="E749" s="12"/>
      <c r="F749" s="6"/>
    </row>
    <row r="750" spans="3:6">
      <c r="C750" s="2"/>
      <c r="D750" s="12"/>
      <c r="E750" s="13"/>
      <c r="F750" s="6"/>
    </row>
    <row r="751" spans="3:6">
      <c r="C751" s="2"/>
      <c r="D751" s="12"/>
      <c r="E751" s="12"/>
      <c r="F751" s="6"/>
    </row>
    <row r="752" spans="3:6">
      <c r="C752" s="2"/>
      <c r="D752" s="12"/>
      <c r="E752" s="12"/>
      <c r="F752" s="6"/>
    </row>
    <row r="753" spans="1:6">
      <c r="C753" s="2"/>
      <c r="D753" s="12"/>
      <c r="E753" s="13"/>
      <c r="F753" s="6"/>
    </row>
    <row r="754" spans="1:6">
      <c r="C754" s="2"/>
      <c r="D754" s="12"/>
      <c r="E754" s="12"/>
      <c r="F754" s="6"/>
    </row>
    <row r="755" spans="1:6">
      <c r="C755" s="2"/>
      <c r="D755" s="12"/>
      <c r="E755" s="12"/>
      <c r="F755" s="6"/>
    </row>
    <row r="756" spans="1:6">
      <c r="C756" s="2"/>
      <c r="D756" s="12"/>
      <c r="E756" s="12"/>
      <c r="F756" s="6"/>
    </row>
    <row r="757" spans="1:6">
      <c r="C757" s="2"/>
      <c r="D757" s="12"/>
      <c r="E757" s="12"/>
      <c r="F757" s="6"/>
    </row>
    <row r="758" spans="1:6">
      <c r="C758" s="2"/>
      <c r="D758" s="12"/>
      <c r="E758" s="12"/>
      <c r="F758" s="6"/>
    </row>
    <row r="759" spans="1:6">
      <c r="A759" s="7"/>
      <c r="B759" s="8"/>
      <c r="C759" s="2"/>
      <c r="D759" s="12"/>
      <c r="E759" s="13"/>
      <c r="F759" s="9"/>
    </row>
    <row r="760" spans="1:6">
      <c r="C760" s="2"/>
      <c r="D760" s="12"/>
      <c r="E760" s="12"/>
      <c r="F760" s="6"/>
    </row>
    <row r="761" spans="1:6">
      <c r="C761" s="2"/>
      <c r="D761" s="12"/>
      <c r="E761" s="12"/>
      <c r="F761" s="6"/>
    </row>
    <row r="762" spans="1:6">
      <c r="C762" s="2"/>
      <c r="D762" s="12"/>
      <c r="E762" s="12"/>
      <c r="F762" s="6"/>
    </row>
    <row r="763" spans="1:6">
      <c r="C763" s="2"/>
      <c r="D763" s="12"/>
      <c r="E763" s="13"/>
      <c r="F763" s="6"/>
    </row>
    <row r="764" spans="1:6">
      <c r="C764" s="2"/>
      <c r="D764" s="12"/>
      <c r="E764" s="12"/>
      <c r="F764" s="6"/>
    </row>
    <row r="765" spans="1:6">
      <c r="C765" s="2"/>
      <c r="D765" s="12"/>
      <c r="E765" s="12"/>
      <c r="F765" s="6"/>
    </row>
    <row r="766" spans="1:6">
      <c r="C766" s="2"/>
      <c r="D766" s="12"/>
      <c r="E766" s="12"/>
      <c r="F766" s="6"/>
    </row>
    <row r="767" spans="1:6">
      <c r="C767" s="2"/>
      <c r="D767" s="12"/>
      <c r="E767" s="12"/>
      <c r="F767" s="6"/>
    </row>
    <row r="768" spans="1:6">
      <c r="C768" s="2"/>
      <c r="D768" s="12"/>
      <c r="E768" s="12"/>
      <c r="F768" s="6"/>
    </row>
    <row r="769" spans="3:6">
      <c r="C769" s="2"/>
      <c r="D769" s="12"/>
      <c r="E769" s="12"/>
      <c r="F769" s="6"/>
    </row>
    <row r="770" spans="3:6">
      <c r="C770" s="2"/>
      <c r="D770" s="12"/>
      <c r="E770" s="13"/>
      <c r="F770" s="6"/>
    </row>
    <row r="771" spans="3:6">
      <c r="C771" s="2"/>
      <c r="D771" s="12"/>
      <c r="E771" s="12"/>
      <c r="F771" s="6"/>
    </row>
    <row r="772" spans="3:6">
      <c r="C772" s="2"/>
      <c r="D772" s="12"/>
      <c r="E772" s="12"/>
      <c r="F772" s="6"/>
    </row>
    <row r="773" spans="3:6">
      <c r="C773" s="2"/>
      <c r="D773" s="12"/>
      <c r="E773" s="12"/>
      <c r="F773" s="6"/>
    </row>
    <row r="774" spans="3:6">
      <c r="C774" s="2"/>
      <c r="D774" s="12"/>
      <c r="E774" s="12"/>
      <c r="F774" s="6"/>
    </row>
    <row r="775" spans="3:6">
      <c r="C775" s="2"/>
      <c r="D775" s="12"/>
      <c r="E775" s="12"/>
      <c r="F775" s="6"/>
    </row>
    <row r="776" spans="3:6">
      <c r="C776" s="2"/>
      <c r="D776" s="12"/>
      <c r="E776" s="12"/>
      <c r="F776" s="6"/>
    </row>
    <row r="777" spans="3:6">
      <c r="C777" s="2"/>
      <c r="D777" s="12"/>
      <c r="E777" s="13"/>
      <c r="F777" s="6"/>
    </row>
    <row r="778" spans="3:6">
      <c r="C778" s="2"/>
      <c r="D778" s="12"/>
      <c r="E778" s="12"/>
      <c r="F778" s="6"/>
    </row>
    <row r="779" spans="3:6">
      <c r="C779" s="2"/>
      <c r="D779" s="12"/>
      <c r="E779" s="12"/>
      <c r="F779" s="6"/>
    </row>
    <row r="780" spans="3:6">
      <c r="C780" s="2"/>
      <c r="D780" s="12"/>
      <c r="E780" s="13"/>
      <c r="F780" s="6"/>
    </row>
    <row r="781" spans="3:6">
      <c r="C781" s="2"/>
      <c r="D781" s="12"/>
      <c r="E781" s="12"/>
      <c r="F781" s="6"/>
    </row>
    <row r="782" spans="3:6">
      <c r="C782" s="2"/>
      <c r="D782" s="12"/>
      <c r="E782" s="12"/>
      <c r="F782" s="6"/>
    </row>
    <row r="783" spans="3:6">
      <c r="C783" s="2"/>
      <c r="D783" s="12"/>
      <c r="E783" s="12"/>
      <c r="F783" s="6"/>
    </row>
    <row r="784" spans="3:6">
      <c r="C784" s="2"/>
      <c r="D784" s="12"/>
      <c r="E784" s="12"/>
      <c r="F784" s="6"/>
    </row>
    <row r="785" spans="3:6">
      <c r="C785" s="2"/>
      <c r="D785" s="12"/>
      <c r="E785" s="13"/>
      <c r="F785" s="6"/>
    </row>
    <row r="786" spans="3:6">
      <c r="C786" s="2"/>
      <c r="D786" s="12"/>
      <c r="E786" s="12"/>
      <c r="F786" s="6"/>
    </row>
    <row r="787" spans="3:6">
      <c r="C787" s="2"/>
      <c r="D787" s="12"/>
      <c r="E787" s="12"/>
      <c r="F787" s="6"/>
    </row>
    <row r="788" spans="3:6">
      <c r="C788" s="2"/>
      <c r="D788" s="12"/>
      <c r="E788" s="12"/>
      <c r="F788" s="6"/>
    </row>
    <row r="789" spans="3:6">
      <c r="C789" s="2"/>
      <c r="D789" s="12"/>
      <c r="E789" s="12"/>
      <c r="F789" s="6"/>
    </row>
    <row r="790" spans="3:6">
      <c r="C790" s="2"/>
      <c r="D790" s="12"/>
      <c r="E790" s="12"/>
      <c r="F790" s="6"/>
    </row>
    <row r="791" spans="3:6">
      <c r="C791" s="2"/>
      <c r="D791" s="12"/>
      <c r="E791" s="12"/>
      <c r="F791" s="6"/>
    </row>
    <row r="792" spans="3:6">
      <c r="C792" s="2"/>
      <c r="D792" s="12"/>
      <c r="E792" s="12"/>
      <c r="F792" s="6"/>
    </row>
    <row r="793" spans="3:6">
      <c r="C793" s="2"/>
      <c r="D793" s="12"/>
      <c r="E793" s="12"/>
      <c r="F793" s="6"/>
    </row>
    <row r="794" spans="3:6">
      <c r="C794" s="2"/>
      <c r="D794" s="12"/>
      <c r="E794" s="12"/>
      <c r="F794" s="6"/>
    </row>
    <row r="795" spans="3:6">
      <c r="C795" s="2"/>
      <c r="D795" s="12"/>
      <c r="E795" s="12"/>
      <c r="F795" s="6"/>
    </row>
    <row r="796" spans="3:6">
      <c r="C796" s="2"/>
      <c r="D796" s="12"/>
      <c r="E796" s="12"/>
      <c r="F796" s="6"/>
    </row>
    <row r="797" spans="3:6">
      <c r="C797" s="2"/>
      <c r="D797" s="12"/>
      <c r="E797" s="12"/>
      <c r="F797" s="6"/>
    </row>
    <row r="798" spans="3:6">
      <c r="C798" s="2"/>
      <c r="D798" s="12"/>
      <c r="E798" s="12"/>
      <c r="F798" s="6"/>
    </row>
    <row r="799" spans="3:6">
      <c r="C799" s="2"/>
      <c r="D799" s="12"/>
      <c r="E799" s="12"/>
      <c r="F799" s="6"/>
    </row>
    <row r="800" spans="3:6">
      <c r="C800" s="2"/>
      <c r="D800" s="12"/>
      <c r="E800" s="12"/>
      <c r="F800" s="6"/>
    </row>
    <row r="801" spans="3:6">
      <c r="C801" s="2"/>
      <c r="D801" s="12"/>
      <c r="E801" s="12"/>
      <c r="F801" s="6"/>
    </row>
    <row r="802" spans="3:6">
      <c r="C802" s="2"/>
      <c r="D802" s="12"/>
      <c r="E802" s="13"/>
      <c r="F802" s="6"/>
    </row>
    <row r="803" spans="3:6">
      <c r="C803" s="2"/>
      <c r="D803" s="12"/>
      <c r="E803" s="12"/>
      <c r="F803" s="6"/>
    </row>
    <row r="804" spans="3:6">
      <c r="C804" s="2"/>
      <c r="D804" s="12"/>
      <c r="E804" s="12"/>
      <c r="F804" s="6"/>
    </row>
  </sheetData>
  <sortState xmlns:xlrd2="http://schemas.microsoft.com/office/spreadsheetml/2017/richdata2" ref="A2:Q804">
    <sortCondition descending="1" ref="F2:F804"/>
  </sortState>
  <phoneticPr fontId="32"/>
  <conditionalFormatting sqref="F2:Q137">
    <cfRule type="cellIs" dxfId="0" priority="1" operator="greaterThan">
      <formula>60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CC8B4-4315-4B52-AFAC-51A7617994B7}">
  <sheetPr codeName="Sheet38"/>
  <dimension ref="A1:DY60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43132</v>
      </c>
      <c r="B2" s="16">
        <v>3465</v>
      </c>
      <c r="C2" s="16">
        <v>3490</v>
      </c>
      <c r="D2" s="16">
        <v>3400</v>
      </c>
      <c r="E2" s="16">
        <v>3420</v>
      </c>
      <c r="F2" s="16">
        <v>3420</v>
      </c>
      <c r="G2" s="16">
        <v>22500</v>
      </c>
      <c r="H2" s="16">
        <f t="shared" ref="H2:H33" si="0">E2-B2</f>
        <v>-45</v>
      </c>
      <c r="J2" s="18" cm="1">
        <f t="array" ref="J2:Q5">_xlfn._xlws.FILTER(A2:H60,MONTH(A2:A60)=1,"")</f>
        <v>43466</v>
      </c>
      <c r="K2" s="16">
        <v>3470</v>
      </c>
      <c r="L2" s="16">
        <v>3555</v>
      </c>
      <c r="M2" s="16">
        <v>3400</v>
      </c>
      <c r="N2" s="16">
        <v>3415</v>
      </c>
      <c r="O2" s="16">
        <v>3415</v>
      </c>
      <c r="P2" s="16">
        <v>29800</v>
      </c>
      <c r="Q2" s="16">
        <v>-55</v>
      </c>
      <c r="R2" s="16">
        <f>Q2/K2*100</f>
        <v>-1.5850144092219021</v>
      </c>
      <c r="S2" s="16">
        <f>COUNT(Q2:Q5)</f>
        <v>4</v>
      </c>
      <c r="T2" s="18" cm="1">
        <f t="array" ref="T2:AA6">_xlfn._xlws.FILTER(A2:H60,MONTH(A2:A60)=2,"")</f>
        <v>43132</v>
      </c>
      <c r="U2" s="16">
        <v>3465</v>
      </c>
      <c r="V2" s="16">
        <v>3490</v>
      </c>
      <c r="W2" s="16">
        <v>3400</v>
      </c>
      <c r="X2" s="16">
        <v>3420</v>
      </c>
      <c r="Y2" s="16">
        <v>3420</v>
      </c>
      <c r="Z2" s="16">
        <v>22500</v>
      </c>
      <c r="AA2" s="16">
        <v>-45</v>
      </c>
      <c r="AB2" s="16">
        <f>AA2/U2*100</f>
        <v>-1.2987012987012987</v>
      </c>
      <c r="AC2" s="16">
        <f>COUNT(AA2:AA6)</f>
        <v>5</v>
      </c>
      <c r="AD2" s="18" cm="1">
        <f t="array" ref="AD2:AK6">_xlfn._xlws.FILTER(A2:H60,MONTH(A2:A60)=3,"")</f>
        <v>43160</v>
      </c>
      <c r="AE2" s="16">
        <v>3430</v>
      </c>
      <c r="AF2" s="16">
        <v>3490</v>
      </c>
      <c r="AG2" s="16">
        <v>3400</v>
      </c>
      <c r="AH2" s="16">
        <v>3455</v>
      </c>
      <c r="AI2" s="16">
        <v>3455</v>
      </c>
      <c r="AJ2" s="16">
        <v>19400</v>
      </c>
      <c r="AK2" s="16">
        <v>25</v>
      </c>
      <c r="AL2" s="16">
        <f>AK2/AE2*100</f>
        <v>0.7288629737609329</v>
      </c>
      <c r="AM2" s="16">
        <f>COUNT(AK2:AK6)</f>
        <v>5</v>
      </c>
      <c r="AN2" s="18" cm="1">
        <f t="array" ref="AN2:AU6">_xlfn._xlws.FILTER(A2:H60,MONTH(A2:A60)=4,"")</f>
        <v>43191</v>
      </c>
      <c r="AO2" s="16">
        <v>3500</v>
      </c>
      <c r="AP2" s="16">
        <v>3515</v>
      </c>
      <c r="AQ2" s="16">
        <v>3455</v>
      </c>
      <c r="AR2" s="16">
        <v>3500</v>
      </c>
      <c r="AS2" s="16">
        <v>3500</v>
      </c>
      <c r="AT2" s="16">
        <v>11200</v>
      </c>
      <c r="AU2" s="16">
        <v>0</v>
      </c>
      <c r="AV2" s="16">
        <f>AU2/AO2*100</f>
        <v>0</v>
      </c>
      <c r="AW2" s="16">
        <f>COUNT(AU2:AU6)</f>
        <v>5</v>
      </c>
      <c r="AX2" s="18" cm="1">
        <f t="array" ref="AX2:BE6">_xlfn._xlws.FILTER(A2:H60,MONTH(A2:A60)=5,"")</f>
        <v>43221</v>
      </c>
      <c r="AY2" s="16">
        <v>3520</v>
      </c>
      <c r="AZ2" s="16">
        <v>3555</v>
      </c>
      <c r="BA2" s="16">
        <v>3500</v>
      </c>
      <c r="BB2" s="16">
        <v>3535</v>
      </c>
      <c r="BC2" s="16">
        <v>3535</v>
      </c>
      <c r="BD2" s="16">
        <v>11900</v>
      </c>
      <c r="BE2" s="16">
        <v>15</v>
      </c>
      <c r="BF2" s="16">
        <f>BE2/AY2*100</f>
        <v>0.42613636363636359</v>
      </c>
      <c r="BG2" s="16">
        <f>COUNT(BE2:BE6)</f>
        <v>5</v>
      </c>
      <c r="BH2" s="18" cm="1">
        <f t="array" ref="BH2:BO6">_xlfn._xlws.FILTER(A2:H60,MONTH(A2:A60)=6,"")</f>
        <v>43252</v>
      </c>
      <c r="BI2" s="16">
        <v>3540</v>
      </c>
      <c r="BJ2" s="16">
        <v>3560</v>
      </c>
      <c r="BK2" s="16">
        <v>3515</v>
      </c>
      <c r="BL2" s="16">
        <v>3545</v>
      </c>
      <c r="BM2" s="16">
        <v>3545</v>
      </c>
      <c r="BN2" s="16">
        <v>22700</v>
      </c>
      <c r="BO2" s="16">
        <v>5</v>
      </c>
      <c r="BP2" s="16">
        <f>BO2/BI2*100</f>
        <v>0.14124293785310735</v>
      </c>
      <c r="BQ2" s="16">
        <f>COUNT(BO2:BO6)</f>
        <v>5</v>
      </c>
      <c r="BR2" s="18" cm="1">
        <f t="array" ref="BR2:BY6">_xlfn._xlws.FILTER(A2:H60,MONTH(A2:A60)=7,"")</f>
        <v>43282</v>
      </c>
      <c r="BS2" s="16">
        <v>3520</v>
      </c>
      <c r="BT2" s="16">
        <v>3550</v>
      </c>
      <c r="BU2" s="16">
        <v>3400</v>
      </c>
      <c r="BV2" s="16">
        <v>3420</v>
      </c>
      <c r="BW2" s="16">
        <v>3420</v>
      </c>
      <c r="BX2" s="16">
        <v>37800</v>
      </c>
      <c r="BY2" s="16">
        <v>-100</v>
      </c>
      <c r="BZ2" s="16">
        <f>BY2/BS2*100</f>
        <v>-2.8409090909090908</v>
      </c>
      <c r="CA2" s="16">
        <f>COUNT(BY2:BY6)</f>
        <v>5</v>
      </c>
      <c r="CB2" s="18" cm="1">
        <f t="array" ref="CB2:CI6">_xlfn._xlws.FILTER(A2:H60,MONTH(A2:A60)=8,"")</f>
        <v>43313</v>
      </c>
      <c r="CC2" s="16">
        <v>3415</v>
      </c>
      <c r="CD2" s="16">
        <v>3440</v>
      </c>
      <c r="CE2" s="16">
        <v>3390</v>
      </c>
      <c r="CF2" s="16">
        <v>3420</v>
      </c>
      <c r="CG2" s="16">
        <v>3420</v>
      </c>
      <c r="CH2" s="16">
        <v>12700</v>
      </c>
      <c r="CI2" s="16">
        <v>5</v>
      </c>
      <c r="CJ2" s="16">
        <f>CI2/CC2*100</f>
        <v>0.14641288433382138</v>
      </c>
      <c r="CK2" s="16">
        <f>COUNT(CI2:CI6)</f>
        <v>5</v>
      </c>
      <c r="CL2" s="18" cm="1">
        <f t="array" ref="CL2:CS6">_xlfn._xlws.FILTER(A2:H60,MONTH(A2:A60)=9,"")</f>
        <v>43344</v>
      </c>
      <c r="CM2" s="16">
        <v>3425</v>
      </c>
      <c r="CN2" s="16">
        <v>3475</v>
      </c>
      <c r="CO2" s="16">
        <v>3400</v>
      </c>
      <c r="CP2" s="16">
        <v>3450</v>
      </c>
      <c r="CQ2" s="16">
        <v>3450</v>
      </c>
      <c r="CR2" s="16">
        <v>10600</v>
      </c>
      <c r="CS2" s="16">
        <v>25</v>
      </c>
      <c r="CT2" s="16">
        <f>CS2/CM2*100</f>
        <v>0.72992700729927007</v>
      </c>
      <c r="CU2" s="16">
        <f>COUNT(CS2:CS6)</f>
        <v>5</v>
      </c>
      <c r="CV2" s="18" cm="1">
        <f t="array" ref="CV2:DC6">_xlfn._xlws.FILTER(A2:H60,MONTH(A2:A60)=10,"")</f>
        <v>43374</v>
      </c>
      <c r="CW2" s="16">
        <v>3425</v>
      </c>
      <c r="CX2" s="16">
        <v>3500</v>
      </c>
      <c r="CY2" s="16">
        <v>3405</v>
      </c>
      <c r="CZ2" s="16">
        <v>3470</v>
      </c>
      <c r="DA2" s="16">
        <v>3470</v>
      </c>
      <c r="DB2" s="16">
        <v>11400</v>
      </c>
      <c r="DC2" s="16">
        <v>45</v>
      </c>
      <c r="DD2" s="16">
        <f>DC2/CW2*100</f>
        <v>1.3138686131386861</v>
      </c>
      <c r="DE2" s="16">
        <f>COUNT(DC2:DC6)</f>
        <v>5</v>
      </c>
      <c r="DF2" s="18" cm="1">
        <f t="array" ref="DF2:DM6">_xlfn._xlws.FILTER(A2:H60,MONTH(A2:A60)=11,"")</f>
        <v>43405</v>
      </c>
      <c r="DG2" s="16">
        <v>3405</v>
      </c>
      <c r="DH2" s="16">
        <v>3480</v>
      </c>
      <c r="DI2" s="16">
        <v>3405</v>
      </c>
      <c r="DJ2" s="16">
        <v>3460</v>
      </c>
      <c r="DK2" s="16">
        <v>3460</v>
      </c>
      <c r="DL2" s="16">
        <v>8100</v>
      </c>
      <c r="DM2" s="16">
        <v>55</v>
      </c>
      <c r="DN2" s="16">
        <f>DM2/DG2*100</f>
        <v>1.6152716593245229</v>
      </c>
      <c r="DO2" s="16">
        <f>COUNT(DM2:DM6)</f>
        <v>5</v>
      </c>
      <c r="DP2" s="18" cm="1">
        <f t="array" ref="DP2:DW6">_xlfn._xlws.FILTER(A2:H60,MONTH(A2:A60)=12,"")</f>
        <v>43435</v>
      </c>
      <c r="DQ2" s="16">
        <v>3470</v>
      </c>
      <c r="DR2" s="16">
        <v>3805</v>
      </c>
      <c r="DS2" s="16">
        <v>3325</v>
      </c>
      <c r="DT2" s="16">
        <v>3470</v>
      </c>
      <c r="DU2" s="16">
        <v>3470</v>
      </c>
      <c r="DV2" s="16">
        <v>25000</v>
      </c>
      <c r="DW2" s="16">
        <v>0</v>
      </c>
      <c r="DX2" s="16">
        <f>DW2/DQ2*100</f>
        <v>0</v>
      </c>
      <c r="DY2" s="16">
        <f>COUNT(DW2:DW6)</f>
        <v>5</v>
      </c>
    </row>
    <row r="3" spans="1:129">
      <c r="A3" s="17">
        <v>43160</v>
      </c>
      <c r="B3" s="16">
        <v>3430</v>
      </c>
      <c r="C3" s="16">
        <v>3490</v>
      </c>
      <c r="D3" s="16">
        <v>3400</v>
      </c>
      <c r="E3" s="16">
        <v>3455</v>
      </c>
      <c r="F3" s="16">
        <v>3455</v>
      </c>
      <c r="G3" s="16">
        <v>19400</v>
      </c>
      <c r="H3" s="16">
        <f t="shared" si="0"/>
        <v>25</v>
      </c>
      <c r="J3" s="18">
        <v>43831</v>
      </c>
      <c r="K3" s="16">
        <v>3540</v>
      </c>
      <c r="L3" s="16">
        <v>3850</v>
      </c>
      <c r="M3" s="16">
        <v>3450</v>
      </c>
      <c r="N3" s="16">
        <v>3515</v>
      </c>
      <c r="O3" s="16">
        <v>3515</v>
      </c>
      <c r="P3" s="16">
        <v>89100</v>
      </c>
      <c r="Q3" s="16">
        <v>-25</v>
      </c>
      <c r="R3" s="16">
        <f>Q3/K3*100</f>
        <v>-0.70621468926553677</v>
      </c>
      <c r="S3" s="16">
        <f>COUNTIF(Q2:Q5,"&gt;0")</f>
        <v>0</v>
      </c>
      <c r="T3" s="18">
        <v>43497</v>
      </c>
      <c r="U3" s="16">
        <v>3415</v>
      </c>
      <c r="V3" s="16">
        <v>3425</v>
      </c>
      <c r="W3" s="16">
        <v>3390</v>
      </c>
      <c r="X3" s="16">
        <v>3425</v>
      </c>
      <c r="Y3" s="16">
        <v>3425</v>
      </c>
      <c r="Z3" s="16">
        <v>11400</v>
      </c>
      <c r="AA3" s="16">
        <v>10</v>
      </c>
      <c r="AB3" s="16">
        <f>AA3/U3*100</f>
        <v>0.29282576866764276</v>
      </c>
      <c r="AC3" s="16">
        <f>COUNTIF(AA2:AA6,"&gt;0")</f>
        <v>1</v>
      </c>
      <c r="AD3" s="18">
        <v>43525</v>
      </c>
      <c r="AE3" s="16">
        <v>3425</v>
      </c>
      <c r="AF3" s="16">
        <v>3465</v>
      </c>
      <c r="AG3" s="16">
        <v>3400</v>
      </c>
      <c r="AH3" s="16">
        <v>3430</v>
      </c>
      <c r="AI3" s="16">
        <v>3430</v>
      </c>
      <c r="AJ3" s="16">
        <v>13600</v>
      </c>
      <c r="AK3" s="16">
        <v>5</v>
      </c>
      <c r="AL3" s="16">
        <f>AK3/AE3*100</f>
        <v>0.145985401459854</v>
      </c>
      <c r="AM3" s="16">
        <f>COUNTIF(AK2:AK6,"&gt;0")</f>
        <v>4</v>
      </c>
      <c r="AN3" s="18">
        <v>43556</v>
      </c>
      <c r="AO3" s="16">
        <v>3440</v>
      </c>
      <c r="AP3" s="16">
        <v>3520</v>
      </c>
      <c r="AQ3" s="16">
        <v>3425</v>
      </c>
      <c r="AR3" s="16">
        <v>3465</v>
      </c>
      <c r="AS3" s="16">
        <v>3465</v>
      </c>
      <c r="AT3" s="16">
        <v>16400</v>
      </c>
      <c r="AU3" s="16">
        <v>25</v>
      </c>
      <c r="AV3" s="16">
        <f>AU3/AO3*100</f>
        <v>0.72674418604651159</v>
      </c>
      <c r="AW3" s="16">
        <f>COUNTIF(AU2:AU6,"&gt;0")</f>
        <v>4</v>
      </c>
      <c r="AX3" s="18">
        <v>43586</v>
      </c>
      <c r="AY3" s="16">
        <v>3465</v>
      </c>
      <c r="AZ3" s="16">
        <v>3510</v>
      </c>
      <c r="BA3" s="16">
        <v>3435</v>
      </c>
      <c r="BB3" s="16">
        <v>3480</v>
      </c>
      <c r="BC3" s="16">
        <v>3480</v>
      </c>
      <c r="BD3" s="16">
        <v>12800</v>
      </c>
      <c r="BE3" s="16">
        <v>15</v>
      </c>
      <c r="BF3" s="16">
        <f>BE3/AY3*100</f>
        <v>0.4329004329004329</v>
      </c>
      <c r="BG3" s="16">
        <f>COUNTIF(BE2:BE6,"&gt;0")</f>
        <v>4</v>
      </c>
      <c r="BH3" s="18">
        <v>43617</v>
      </c>
      <c r="BI3" s="16">
        <v>3485</v>
      </c>
      <c r="BJ3" s="16">
        <v>3535</v>
      </c>
      <c r="BK3" s="16">
        <v>3455</v>
      </c>
      <c r="BL3" s="16">
        <v>3515</v>
      </c>
      <c r="BM3" s="16">
        <v>3515</v>
      </c>
      <c r="BN3" s="16">
        <v>14700</v>
      </c>
      <c r="BO3" s="16">
        <v>30</v>
      </c>
      <c r="BP3" s="16">
        <f>BO3/BI3*100</f>
        <v>0.86083213773314204</v>
      </c>
      <c r="BQ3" s="16">
        <f>COUNTIF(BO2:BO6,"&gt;0")</f>
        <v>4</v>
      </c>
      <c r="BR3" s="18">
        <v>43647</v>
      </c>
      <c r="BS3" s="16">
        <v>3510</v>
      </c>
      <c r="BT3" s="16">
        <v>3545</v>
      </c>
      <c r="BU3" s="16">
        <v>3400</v>
      </c>
      <c r="BV3" s="16">
        <v>3440</v>
      </c>
      <c r="BW3" s="16">
        <v>3440</v>
      </c>
      <c r="BX3" s="16">
        <v>31000</v>
      </c>
      <c r="BY3" s="16">
        <v>-70</v>
      </c>
      <c r="BZ3" s="16">
        <f>BY3/BS3*100</f>
        <v>-1.9943019943019942</v>
      </c>
      <c r="CA3" s="16">
        <f>COUNTIF(BY2:BY6,"&gt;0")</f>
        <v>0</v>
      </c>
      <c r="CB3" s="18">
        <v>43678</v>
      </c>
      <c r="CC3" s="16">
        <v>3435</v>
      </c>
      <c r="CD3" s="16">
        <v>3455</v>
      </c>
      <c r="CE3" s="16">
        <v>3415</v>
      </c>
      <c r="CF3" s="16">
        <v>3440</v>
      </c>
      <c r="CG3" s="16">
        <v>3440</v>
      </c>
      <c r="CH3" s="16">
        <v>16200</v>
      </c>
      <c r="CI3" s="16">
        <v>5</v>
      </c>
      <c r="CJ3" s="16">
        <f>CI3/CC3*100</f>
        <v>0.14556040756914121</v>
      </c>
      <c r="CK3" s="16">
        <f>COUNTIF(CI2:CI6,"&gt;0")</f>
        <v>4</v>
      </c>
      <c r="CL3" s="18">
        <v>43709</v>
      </c>
      <c r="CM3" s="16">
        <v>3440</v>
      </c>
      <c r="CN3" s="16">
        <v>3525</v>
      </c>
      <c r="CO3" s="16">
        <v>3440</v>
      </c>
      <c r="CP3" s="16">
        <v>3500</v>
      </c>
      <c r="CQ3" s="16">
        <v>3500</v>
      </c>
      <c r="CR3" s="16">
        <v>19000</v>
      </c>
      <c r="CS3" s="16">
        <v>60</v>
      </c>
      <c r="CT3" s="16">
        <f>CS3/CM3*100</f>
        <v>1.7441860465116279</v>
      </c>
      <c r="CU3" s="16">
        <f>COUNTIF(CS2:CS6,"&gt;0")</f>
        <v>5</v>
      </c>
      <c r="CV3" s="18">
        <v>43739</v>
      </c>
      <c r="CW3" s="16">
        <v>3495</v>
      </c>
      <c r="CX3" s="16">
        <v>3540</v>
      </c>
      <c r="CY3" s="16">
        <v>3470</v>
      </c>
      <c r="CZ3" s="16">
        <v>3515</v>
      </c>
      <c r="DA3" s="16">
        <v>3515</v>
      </c>
      <c r="DB3" s="16">
        <v>12400</v>
      </c>
      <c r="DC3" s="16">
        <v>20</v>
      </c>
      <c r="DD3" s="16">
        <f>DC3/CW3*100</f>
        <v>0.57224606580829751</v>
      </c>
      <c r="DE3" s="16">
        <f>COUNTIF(DC2:DC6,"&gt;0")</f>
        <v>5</v>
      </c>
      <c r="DF3" s="18">
        <v>43770</v>
      </c>
      <c r="DG3" s="16">
        <v>3520</v>
      </c>
      <c r="DH3" s="16">
        <v>3535</v>
      </c>
      <c r="DI3" s="16">
        <v>3510</v>
      </c>
      <c r="DJ3" s="16">
        <v>3530</v>
      </c>
      <c r="DK3" s="16">
        <v>3530</v>
      </c>
      <c r="DL3" s="16">
        <v>11900</v>
      </c>
      <c r="DM3" s="16">
        <v>10</v>
      </c>
      <c r="DN3" s="16">
        <f>DM3/DG3*100</f>
        <v>0.28409090909090912</v>
      </c>
      <c r="DO3" s="16">
        <f>COUNTIF(DM2:DM6,"&gt;0")</f>
        <v>2</v>
      </c>
      <c r="DP3" s="18">
        <v>43800</v>
      </c>
      <c r="DQ3" s="16">
        <v>3535</v>
      </c>
      <c r="DR3" s="16">
        <v>3565</v>
      </c>
      <c r="DS3" s="16">
        <v>3520</v>
      </c>
      <c r="DT3" s="16">
        <v>3540</v>
      </c>
      <c r="DU3" s="16">
        <v>3540</v>
      </c>
      <c r="DV3" s="16">
        <v>39300</v>
      </c>
      <c r="DW3" s="16">
        <v>5</v>
      </c>
      <c r="DX3" s="16">
        <f>DW3/DQ3*100</f>
        <v>0.14144271570014144</v>
      </c>
      <c r="DY3" s="16">
        <f>COUNTIF(DW2:DW6,"&gt;0")</f>
        <v>3</v>
      </c>
    </row>
    <row r="4" spans="1:129">
      <c r="A4" s="17">
        <v>43191</v>
      </c>
      <c r="B4" s="16">
        <v>3500</v>
      </c>
      <c r="C4" s="16">
        <v>3515</v>
      </c>
      <c r="D4" s="16">
        <v>3455</v>
      </c>
      <c r="E4" s="16">
        <v>3500</v>
      </c>
      <c r="F4" s="16">
        <v>3500</v>
      </c>
      <c r="G4" s="16">
        <v>11200</v>
      </c>
      <c r="H4" s="16">
        <f t="shared" si="0"/>
        <v>0</v>
      </c>
      <c r="J4" s="18">
        <v>44200</v>
      </c>
      <c r="K4" s="16">
        <v>3005</v>
      </c>
      <c r="L4" s="16">
        <v>3060</v>
      </c>
      <c r="M4" s="16">
        <v>2925</v>
      </c>
      <c r="N4" s="16">
        <v>2999</v>
      </c>
      <c r="O4" s="16">
        <v>2999</v>
      </c>
      <c r="P4" s="16">
        <v>26900</v>
      </c>
      <c r="Q4" s="16">
        <v>-6</v>
      </c>
      <c r="R4" s="16">
        <f>Q4/K4*100</f>
        <v>-0.19966722129783696</v>
      </c>
      <c r="S4" s="19">
        <f>S3/S2*100</f>
        <v>0</v>
      </c>
      <c r="T4" s="18">
        <v>43862</v>
      </c>
      <c r="U4" s="16">
        <v>3505</v>
      </c>
      <c r="V4" s="16">
        <v>3530</v>
      </c>
      <c r="W4" s="16">
        <v>2904</v>
      </c>
      <c r="X4" s="16">
        <v>2936</v>
      </c>
      <c r="Y4" s="16">
        <v>2936</v>
      </c>
      <c r="Z4" s="16">
        <v>58400</v>
      </c>
      <c r="AA4" s="16">
        <v>-569</v>
      </c>
      <c r="AB4" s="16">
        <f>AA4/U4*100</f>
        <v>-16.2339514978602</v>
      </c>
      <c r="AC4" s="19">
        <f>AC3/AC2*100</f>
        <v>20</v>
      </c>
      <c r="AD4" s="18">
        <v>43891</v>
      </c>
      <c r="AE4" s="16">
        <v>3000</v>
      </c>
      <c r="AF4" s="16">
        <v>3320</v>
      </c>
      <c r="AG4" s="16">
        <v>2500</v>
      </c>
      <c r="AH4" s="16">
        <v>2800</v>
      </c>
      <c r="AI4" s="16">
        <v>2800</v>
      </c>
      <c r="AJ4" s="16">
        <v>64000</v>
      </c>
      <c r="AK4" s="16">
        <v>-200</v>
      </c>
      <c r="AL4" s="16">
        <f>AK4/AE4*100</f>
        <v>-6.666666666666667</v>
      </c>
      <c r="AM4" s="19">
        <f>AM3/AM2*100</f>
        <v>80</v>
      </c>
      <c r="AN4" s="18">
        <v>43922</v>
      </c>
      <c r="AO4" s="16">
        <v>2756</v>
      </c>
      <c r="AP4" s="16">
        <v>2800</v>
      </c>
      <c r="AQ4" s="16">
        <v>2600</v>
      </c>
      <c r="AR4" s="16">
        <v>2780</v>
      </c>
      <c r="AS4" s="16">
        <v>2780</v>
      </c>
      <c r="AT4" s="16">
        <v>18600</v>
      </c>
      <c r="AU4" s="16">
        <v>24</v>
      </c>
      <c r="AV4" s="16">
        <f>AU4/AO4*100</f>
        <v>0.8708272859216255</v>
      </c>
      <c r="AW4" s="19">
        <f>AW3/AW2*100</f>
        <v>80</v>
      </c>
      <c r="AX4" s="18">
        <v>43952</v>
      </c>
      <c r="AY4" s="16">
        <v>2830</v>
      </c>
      <c r="AZ4" s="16">
        <v>3165</v>
      </c>
      <c r="BA4" s="16">
        <v>2780</v>
      </c>
      <c r="BB4" s="16">
        <v>3160</v>
      </c>
      <c r="BC4" s="16">
        <v>3160</v>
      </c>
      <c r="BD4" s="16">
        <v>19600</v>
      </c>
      <c r="BE4" s="16">
        <v>330</v>
      </c>
      <c r="BF4" s="16">
        <f>BE4/AY4*100</f>
        <v>11.66077738515901</v>
      </c>
      <c r="BG4" s="19">
        <f>BG3/BG2*100</f>
        <v>80</v>
      </c>
      <c r="BH4" s="18">
        <v>43983</v>
      </c>
      <c r="BI4" s="16">
        <v>3160</v>
      </c>
      <c r="BJ4" s="16">
        <v>3225</v>
      </c>
      <c r="BK4" s="16">
        <v>3030</v>
      </c>
      <c r="BL4" s="16">
        <v>3120</v>
      </c>
      <c r="BM4" s="16">
        <v>3120</v>
      </c>
      <c r="BN4" s="16">
        <v>13400</v>
      </c>
      <c r="BO4" s="16">
        <v>-40</v>
      </c>
      <c r="BP4" s="16">
        <f>BO4/BI4*100</f>
        <v>-1.2658227848101267</v>
      </c>
      <c r="BQ4" s="19">
        <f>BQ3/BQ2*100</f>
        <v>80</v>
      </c>
      <c r="BR4" s="18">
        <v>44013</v>
      </c>
      <c r="BS4" s="16">
        <v>3130</v>
      </c>
      <c r="BT4" s="16">
        <v>3150</v>
      </c>
      <c r="BU4" s="16">
        <v>2790</v>
      </c>
      <c r="BV4" s="16">
        <v>2795</v>
      </c>
      <c r="BW4" s="16">
        <v>2795</v>
      </c>
      <c r="BX4" s="16">
        <v>26400</v>
      </c>
      <c r="BY4" s="16">
        <v>-335</v>
      </c>
      <c r="BZ4" s="16">
        <f>BY4/BS4*100</f>
        <v>-10.702875399361023</v>
      </c>
      <c r="CA4" s="19">
        <f>CA3/CA2*100</f>
        <v>0</v>
      </c>
      <c r="CB4" s="18">
        <v>44044</v>
      </c>
      <c r="CC4" s="16">
        <v>2795</v>
      </c>
      <c r="CD4" s="16">
        <v>2888</v>
      </c>
      <c r="CE4" s="16">
        <v>2743</v>
      </c>
      <c r="CF4" s="16">
        <v>2817</v>
      </c>
      <c r="CG4" s="16">
        <v>2817</v>
      </c>
      <c r="CH4" s="16">
        <v>15700</v>
      </c>
      <c r="CI4" s="16">
        <v>22</v>
      </c>
      <c r="CJ4" s="16">
        <f>CI4/CC4*100</f>
        <v>0.7871198568872988</v>
      </c>
      <c r="CK4" s="19">
        <f>CK3/CK2*100</f>
        <v>80</v>
      </c>
      <c r="CL4" s="18">
        <v>44075</v>
      </c>
      <c r="CM4" s="16">
        <v>2817</v>
      </c>
      <c r="CN4" s="16">
        <v>2875</v>
      </c>
      <c r="CO4" s="16">
        <v>2811</v>
      </c>
      <c r="CP4" s="16">
        <v>2833</v>
      </c>
      <c r="CQ4" s="16">
        <v>2833</v>
      </c>
      <c r="CR4" s="16">
        <v>15500</v>
      </c>
      <c r="CS4" s="16">
        <v>16</v>
      </c>
      <c r="CT4" s="16">
        <f>CS4/CM4*100</f>
        <v>0.56798012069577564</v>
      </c>
      <c r="CU4" s="19">
        <f>CU3/CU2*100</f>
        <v>100</v>
      </c>
      <c r="CV4" s="18">
        <v>44105</v>
      </c>
      <c r="CW4" s="16">
        <v>2850</v>
      </c>
      <c r="CX4" s="16">
        <v>3060</v>
      </c>
      <c r="CY4" s="16">
        <v>2833</v>
      </c>
      <c r="CZ4" s="16">
        <v>2980</v>
      </c>
      <c r="DA4" s="16">
        <v>2980</v>
      </c>
      <c r="DB4" s="16">
        <v>16300</v>
      </c>
      <c r="DC4" s="16">
        <v>130</v>
      </c>
      <c r="DD4" s="16">
        <f>DC4/CW4*100</f>
        <v>4.5614035087719298</v>
      </c>
      <c r="DE4" s="19">
        <f>DE3/DE2*100</f>
        <v>100</v>
      </c>
      <c r="DF4" s="18">
        <v>44136</v>
      </c>
      <c r="DG4" s="16">
        <v>2955</v>
      </c>
      <c r="DH4" s="16">
        <v>3030</v>
      </c>
      <c r="DI4" s="16">
        <v>2906</v>
      </c>
      <c r="DJ4" s="16">
        <v>2945</v>
      </c>
      <c r="DK4" s="16">
        <v>2945</v>
      </c>
      <c r="DL4" s="16">
        <v>11900</v>
      </c>
      <c r="DM4" s="16">
        <v>-10</v>
      </c>
      <c r="DN4" s="16">
        <f>DM4/DG4*100</f>
        <v>-0.33840947546531303</v>
      </c>
      <c r="DO4" s="19">
        <f>DO3/DO2*100</f>
        <v>40</v>
      </c>
      <c r="DP4" s="18">
        <v>44166</v>
      </c>
      <c r="DQ4" s="16">
        <v>2965</v>
      </c>
      <c r="DR4" s="16">
        <v>3050</v>
      </c>
      <c r="DS4" s="16">
        <v>2960</v>
      </c>
      <c r="DT4" s="16">
        <v>3005</v>
      </c>
      <c r="DU4" s="16">
        <v>3005</v>
      </c>
      <c r="DV4" s="16">
        <v>20400</v>
      </c>
      <c r="DW4" s="16">
        <v>40</v>
      </c>
      <c r="DX4" s="16">
        <f>DW4/DQ4*100</f>
        <v>1.3490725126475547</v>
      </c>
      <c r="DY4" s="19">
        <f>DY3/DY2*100</f>
        <v>60</v>
      </c>
    </row>
    <row r="5" spans="1:129">
      <c r="A5" s="17">
        <v>43221</v>
      </c>
      <c r="B5" s="16">
        <v>3520</v>
      </c>
      <c r="C5" s="16">
        <v>3555</v>
      </c>
      <c r="D5" s="16">
        <v>3500</v>
      </c>
      <c r="E5" s="16">
        <v>3535</v>
      </c>
      <c r="F5" s="16">
        <v>3535</v>
      </c>
      <c r="G5" s="16">
        <v>11900</v>
      </c>
      <c r="H5" s="16">
        <f t="shared" si="0"/>
        <v>15</v>
      </c>
      <c r="J5" s="18">
        <v>44565</v>
      </c>
      <c r="K5" s="16">
        <v>3030</v>
      </c>
      <c r="L5" s="16">
        <v>3100</v>
      </c>
      <c r="M5" s="16">
        <v>2971</v>
      </c>
      <c r="N5" s="16">
        <v>2980</v>
      </c>
      <c r="O5" s="16">
        <v>2980</v>
      </c>
      <c r="P5" s="16">
        <v>30700</v>
      </c>
      <c r="Q5" s="16">
        <v>-50</v>
      </c>
      <c r="R5" s="16">
        <f>Q5/K5*100</f>
        <v>-1.6501650165016499</v>
      </c>
      <c r="S5" s="16">
        <f>AVERAGE(R2:R5)</f>
        <v>-1.0352653340717315</v>
      </c>
      <c r="T5" s="18">
        <v>44228</v>
      </c>
      <c r="U5" s="16">
        <v>2970</v>
      </c>
      <c r="V5" s="16">
        <v>2986</v>
      </c>
      <c r="W5" s="16">
        <v>2925</v>
      </c>
      <c r="X5" s="16">
        <v>2945</v>
      </c>
      <c r="Y5" s="16">
        <v>2945</v>
      </c>
      <c r="Z5" s="16">
        <v>17700</v>
      </c>
      <c r="AA5" s="16">
        <v>-25</v>
      </c>
      <c r="AB5" s="16">
        <f>AA5/U5*100</f>
        <v>-0.84175084175084169</v>
      </c>
      <c r="AC5" s="16">
        <f>AVERAGE(AB2:AB6)</f>
        <v>-3.8233272600725123</v>
      </c>
      <c r="AD5" s="18">
        <v>44256</v>
      </c>
      <c r="AE5" s="16">
        <v>2945</v>
      </c>
      <c r="AF5" s="16">
        <v>3025</v>
      </c>
      <c r="AG5" s="16">
        <v>2934</v>
      </c>
      <c r="AH5" s="16">
        <v>2995</v>
      </c>
      <c r="AI5" s="16">
        <v>2995</v>
      </c>
      <c r="AJ5" s="16">
        <v>16800</v>
      </c>
      <c r="AK5" s="16">
        <v>50</v>
      </c>
      <c r="AL5" s="16">
        <f>AK5/AE5*100</f>
        <v>1.6977928692699491</v>
      </c>
      <c r="AM5" s="16">
        <f>AVERAGE(AL2:AL6)</f>
        <v>-0.44718346281356458</v>
      </c>
      <c r="AN5" s="18">
        <v>44287</v>
      </c>
      <c r="AO5" s="16">
        <v>3005</v>
      </c>
      <c r="AP5" s="16">
        <v>3025</v>
      </c>
      <c r="AQ5" s="16">
        <v>2970</v>
      </c>
      <c r="AR5" s="16">
        <v>3010</v>
      </c>
      <c r="AS5" s="16">
        <v>3010</v>
      </c>
      <c r="AT5" s="16">
        <v>11900</v>
      </c>
      <c r="AU5" s="16">
        <v>5</v>
      </c>
      <c r="AV5" s="16">
        <f>AU5/AO5*100</f>
        <v>0.16638935108153077</v>
      </c>
      <c r="AW5" s="16">
        <f>AVERAGE(AV2:AV6)</f>
        <v>0.55245938590777055</v>
      </c>
      <c r="AX5" s="18">
        <v>44322</v>
      </c>
      <c r="AY5" s="16">
        <v>3015</v>
      </c>
      <c r="AZ5" s="16">
        <v>3035</v>
      </c>
      <c r="BA5" s="16">
        <v>2992</v>
      </c>
      <c r="BB5" s="16">
        <v>3000</v>
      </c>
      <c r="BC5" s="16">
        <v>3000</v>
      </c>
      <c r="BD5" s="16">
        <v>8400</v>
      </c>
      <c r="BE5" s="16">
        <v>-15</v>
      </c>
      <c r="BF5" s="16">
        <f>BE5/AY5*100</f>
        <v>-0.49751243781094528</v>
      </c>
      <c r="BG5" s="16">
        <f>AVERAGE(BF2:BF6)</f>
        <v>2.5362560654161816</v>
      </c>
      <c r="BH5" s="18">
        <v>44348</v>
      </c>
      <c r="BI5" s="16">
        <v>3035</v>
      </c>
      <c r="BJ5" s="16">
        <v>3125</v>
      </c>
      <c r="BK5" s="16">
        <v>3005</v>
      </c>
      <c r="BL5" s="16">
        <v>3070</v>
      </c>
      <c r="BM5" s="16">
        <v>3070</v>
      </c>
      <c r="BN5" s="16">
        <v>15000</v>
      </c>
      <c r="BO5" s="16">
        <v>35</v>
      </c>
      <c r="BP5" s="16">
        <f>BO5/BI5*100</f>
        <v>1.1532125205930808</v>
      </c>
      <c r="BQ5" s="16">
        <f>AVERAGE(BP2:BP6)</f>
        <v>0.27609263494159847</v>
      </c>
      <c r="BR5" s="18">
        <v>44378</v>
      </c>
      <c r="BS5" s="16">
        <v>3055</v>
      </c>
      <c r="BT5" s="16">
        <v>3115</v>
      </c>
      <c r="BU5" s="16">
        <v>2971</v>
      </c>
      <c r="BV5" s="16">
        <v>2985</v>
      </c>
      <c r="BW5" s="16">
        <v>2985</v>
      </c>
      <c r="BX5" s="16">
        <v>21800</v>
      </c>
      <c r="BY5" s="16">
        <v>-70</v>
      </c>
      <c r="BZ5" s="16">
        <f>BY5/BS5*100</f>
        <v>-2.2913256955810146</v>
      </c>
      <c r="CA5" s="16">
        <f>AVERAGE(BZ2:BZ6)</f>
        <v>-3.6961755956397453</v>
      </c>
      <c r="CB5" s="18">
        <v>44410</v>
      </c>
      <c r="CC5" s="16">
        <v>2981</v>
      </c>
      <c r="CD5" s="16">
        <v>3030</v>
      </c>
      <c r="CE5" s="16">
        <v>2980</v>
      </c>
      <c r="CF5" s="16">
        <v>2987</v>
      </c>
      <c r="CG5" s="16">
        <v>2987</v>
      </c>
      <c r="CH5" s="16">
        <v>10200</v>
      </c>
      <c r="CI5" s="16">
        <v>6</v>
      </c>
      <c r="CJ5" s="16">
        <f>CI5/CC5*100</f>
        <v>0.20127474002012746</v>
      </c>
      <c r="CK5" s="16">
        <f>AVERAGE(CJ2:CJ6)</f>
        <v>0.12514068087173408</v>
      </c>
      <c r="CL5" s="18">
        <v>44440</v>
      </c>
      <c r="CM5" s="16">
        <v>2995</v>
      </c>
      <c r="CN5" s="16">
        <v>3070</v>
      </c>
      <c r="CO5" s="16">
        <v>2987</v>
      </c>
      <c r="CP5" s="16">
        <v>3070</v>
      </c>
      <c r="CQ5" s="16">
        <v>3070</v>
      </c>
      <c r="CR5" s="16">
        <v>14300</v>
      </c>
      <c r="CS5" s="16">
        <v>75</v>
      </c>
      <c r="CT5" s="16">
        <f>CS5/CM5*100</f>
        <v>2.5041736227045077</v>
      </c>
      <c r="CU5" s="16">
        <f>AVERAGE(CT2:CT6)</f>
        <v>1.1752599601023024</v>
      </c>
      <c r="CV5" s="18">
        <v>44470</v>
      </c>
      <c r="CW5" s="16">
        <v>3045</v>
      </c>
      <c r="CX5" s="16">
        <v>3095</v>
      </c>
      <c r="CY5" s="16">
        <v>3045</v>
      </c>
      <c r="CZ5" s="16">
        <v>3090</v>
      </c>
      <c r="DA5" s="16">
        <v>3090</v>
      </c>
      <c r="DB5" s="16">
        <v>9200</v>
      </c>
      <c r="DC5" s="16">
        <v>45</v>
      </c>
      <c r="DD5" s="16">
        <f>DC5/CW5*100</f>
        <v>1.4778325123152709</v>
      </c>
      <c r="DE5" s="16">
        <f>AVERAGE(DD2:DD6)</f>
        <v>2.0448402549493654</v>
      </c>
      <c r="DF5" s="18">
        <v>44501</v>
      </c>
      <c r="DG5" s="16">
        <v>3090</v>
      </c>
      <c r="DH5" s="16">
        <v>3135</v>
      </c>
      <c r="DI5" s="16">
        <v>3060</v>
      </c>
      <c r="DJ5" s="16">
        <v>3075</v>
      </c>
      <c r="DK5" s="16">
        <v>3075</v>
      </c>
      <c r="DL5" s="16">
        <v>11700</v>
      </c>
      <c r="DM5" s="16">
        <v>-15</v>
      </c>
      <c r="DN5" s="16">
        <f>DM5/DG5*100</f>
        <v>-0.48543689320388345</v>
      </c>
      <c r="DO5" s="16">
        <f>AVERAGE(DN2:DN6)</f>
        <v>0.151000675846683</v>
      </c>
      <c r="DP5" s="18">
        <v>44531</v>
      </c>
      <c r="DQ5" s="16">
        <v>3080</v>
      </c>
      <c r="DR5" s="16">
        <v>3100</v>
      </c>
      <c r="DS5" s="16">
        <v>3005</v>
      </c>
      <c r="DT5" s="16">
        <v>3030</v>
      </c>
      <c r="DU5" s="16">
        <v>3030</v>
      </c>
      <c r="DV5" s="16">
        <v>20700</v>
      </c>
      <c r="DW5" s="16">
        <v>-50</v>
      </c>
      <c r="DX5" s="16">
        <f>DW5/DQ5*100</f>
        <v>-1.6233766233766231</v>
      </c>
      <c r="DY5" s="16">
        <f>AVERAGE(DX2:DX6)</f>
        <v>0.10122324815076411</v>
      </c>
    </row>
    <row r="6" spans="1:129">
      <c r="A6" s="17">
        <v>43252</v>
      </c>
      <c r="B6" s="16">
        <v>3540</v>
      </c>
      <c r="C6" s="16">
        <v>3560</v>
      </c>
      <c r="D6" s="16">
        <v>3515</v>
      </c>
      <c r="E6" s="16">
        <v>3545</v>
      </c>
      <c r="F6" s="16">
        <v>3545</v>
      </c>
      <c r="G6" s="16">
        <v>22700</v>
      </c>
      <c r="H6" s="16">
        <f t="shared" si="0"/>
        <v>5</v>
      </c>
      <c r="S6" s="16">
        <f>MEDIAN(R2:R5)</f>
        <v>-1.1456145492437195</v>
      </c>
      <c r="T6" s="18">
        <v>44593</v>
      </c>
      <c r="U6" s="16">
        <v>2995</v>
      </c>
      <c r="V6" s="16">
        <v>2998</v>
      </c>
      <c r="W6" s="16">
        <v>2960</v>
      </c>
      <c r="X6" s="16">
        <v>2964</v>
      </c>
      <c r="Y6" s="16">
        <v>2964</v>
      </c>
      <c r="Z6" s="16">
        <v>11400</v>
      </c>
      <c r="AA6" s="16">
        <v>-31</v>
      </c>
      <c r="AB6" s="16">
        <f>AA6/U6*100</f>
        <v>-1.0350584307178632</v>
      </c>
      <c r="AC6" s="16">
        <f>MEDIAN(AB2:AB6)</f>
        <v>-1.0350584307178632</v>
      </c>
      <c r="AD6" s="18">
        <v>44621</v>
      </c>
      <c r="AE6" s="16">
        <v>2960</v>
      </c>
      <c r="AF6" s="16">
        <v>3015</v>
      </c>
      <c r="AG6" s="16">
        <v>2942</v>
      </c>
      <c r="AH6" s="16">
        <v>3015</v>
      </c>
      <c r="AI6" s="16">
        <v>3015</v>
      </c>
      <c r="AJ6" s="16">
        <v>12400</v>
      </c>
      <c r="AK6" s="16">
        <v>55</v>
      </c>
      <c r="AL6" s="16">
        <f>AK6/AE6*100</f>
        <v>1.8581081081081081</v>
      </c>
      <c r="AM6" s="16">
        <f>MEDIAN(AL2:AL6)</f>
        <v>0.7288629737609329</v>
      </c>
      <c r="AN6" s="18">
        <v>44652</v>
      </c>
      <c r="AO6" s="16">
        <v>3005</v>
      </c>
      <c r="AP6" s="16">
        <v>3050</v>
      </c>
      <c r="AQ6" s="16">
        <v>2995</v>
      </c>
      <c r="AR6" s="16">
        <v>3035</v>
      </c>
      <c r="AS6" s="16">
        <v>3035</v>
      </c>
      <c r="AT6" s="16">
        <v>7800</v>
      </c>
      <c r="AU6" s="16">
        <v>30</v>
      </c>
      <c r="AV6" s="16">
        <f>AU6/AO6*100</f>
        <v>0.99833610648918469</v>
      </c>
      <c r="AW6" s="16">
        <f>MEDIAN(AV2:AV6)</f>
        <v>0.72674418604651159</v>
      </c>
      <c r="AX6" s="18">
        <v>44683</v>
      </c>
      <c r="AY6" s="16">
        <v>3035</v>
      </c>
      <c r="AZ6" s="16">
        <v>3080</v>
      </c>
      <c r="BA6" s="16">
        <v>3030</v>
      </c>
      <c r="BB6" s="16">
        <v>3055</v>
      </c>
      <c r="BC6" s="16">
        <v>3055</v>
      </c>
      <c r="BD6" s="16">
        <v>10400</v>
      </c>
      <c r="BE6" s="16">
        <v>20</v>
      </c>
      <c r="BF6" s="16">
        <f>BE6/AY6*100</f>
        <v>0.65897858319604619</v>
      </c>
      <c r="BG6" s="16">
        <f>MEDIAN(BF2:BF6)</f>
        <v>0.4329004329004329</v>
      </c>
      <c r="BH6" s="18">
        <v>44713</v>
      </c>
      <c r="BI6" s="16">
        <v>3055</v>
      </c>
      <c r="BJ6" s="16">
        <v>3100</v>
      </c>
      <c r="BK6" s="16">
        <v>3050</v>
      </c>
      <c r="BL6" s="16">
        <v>3070</v>
      </c>
      <c r="BM6" s="16">
        <v>3070</v>
      </c>
      <c r="BN6" s="16">
        <v>14800</v>
      </c>
      <c r="BO6" s="16">
        <v>15</v>
      </c>
      <c r="BP6" s="16">
        <f>BO6/BI6*100</f>
        <v>0.49099836333878888</v>
      </c>
      <c r="BQ6" s="16">
        <f>MEDIAN(BP2:BP6)</f>
        <v>0.49099836333878888</v>
      </c>
      <c r="BR6" s="18">
        <v>44743</v>
      </c>
      <c r="BS6" s="16">
        <v>3070</v>
      </c>
      <c r="BT6" s="16">
        <v>3160</v>
      </c>
      <c r="BU6" s="16">
        <v>3040</v>
      </c>
      <c r="BV6" s="16">
        <v>3050</v>
      </c>
      <c r="BW6" s="16">
        <v>3050</v>
      </c>
      <c r="BX6" s="16">
        <v>25300</v>
      </c>
      <c r="BY6" s="16">
        <v>-20</v>
      </c>
      <c r="BZ6" s="16">
        <f>BY6/BS6*100</f>
        <v>-0.65146579804560267</v>
      </c>
      <c r="CA6" s="16">
        <f>MEDIAN(BZ2:BZ6)</f>
        <v>-2.2913256955810146</v>
      </c>
      <c r="CB6" s="18">
        <v>44774</v>
      </c>
      <c r="CC6" s="16">
        <v>3055</v>
      </c>
      <c r="CD6" s="16">
        <v>3070</v>
      </c>
      <c r="CE6" s="16">
        <v>3020</v>
      </c>
      <c r="CF6" s="16">
        <v>3035</v>
      </c>
      <c r="CG6" s="16">
        <v>3035</v>
      </c>
      <c r="CH6" s="16">
        <v>12700</v>
      </c>
      <c r="CI6" s="16">
        <v>-20</v>
      </c>
      <c r="CJ6" s="16">
        <f>CI6/CC6*100</f>
        <v>-0.65466448445171854</v>
      </c>
      <c r="CK6" s="16">
        <f>MEDIAN(CJ2:CJ6)</f>
        <v>0.14641288433382138</v>
      </c>
      <c r="CL6" s="18">
        <v>44806</v>
      </c>
      <c r="CM6" s="16">
        <v>3030</v>
      </c>
      <c r="CN6" s="16">
        <v>3455</v>
      </c>
      <c r="CO6" s="16">
        <v>3020</v>
      </c>
      <c r="CP6" s="16">
        <v>3040</v>
      </c>
      <c r="CQ6" s="16">
        <v>3040</v>
      </c>
      <c r="CR6" s="16">
        <v>38800</v>
      </c>
      <c r="CS6" s="16">
        <v>10</v>
      </c>
      <c r="CT6" s="16">
        <f>CS6/CM6*100</f>
        <v>0.33003300330033003</v>
      </c>
      <c r="CU6" s="16">
        <f>MEDIAN(CT2:CT6)</f>
        <v>0.72992700729927007</v>
      </c>
      <c r="CV6" s="18">
        <v>44837</v>
      </c>
      <c r="CW6" s="16">
        <v>3045</v>
      </c>
      <c r="CX6" s="16">
        <v>3145</v>
      </c>
      <c r="CY6" s="16">
        <v>3030</v>
      </c>
      <c r="CZ6" s="16">
        <v>3115</v>
      </c>
      <c r="DA6" s="16">
        <v>3115</v>
      </c>
      <c r="DB6" s="16">
        <v>9500</v>
      </c>
      <c r="DC6" s="16">
        <v>70</v>
      </c>
      <c r="DD6" s="16">
        <f>DC6/CW6*100</f>
        <v>2.2988505747126435</v>
      </c>
      <c r="DE6" s="16">
        <f>MEDIAN(DD2:DD6)</f>
        <v>1.4778325123152709</v>
      </c>
      <c r="DF6" s="18">
        <v>44866</v>
      </c>
      <c r="DG6" s="16">
        <v>3120</v>
      </c>
      <c r="DH6" s="16">
        <v>3135</v>
      </c>
      <c r="DI6" s="16">
        <v>3065</v>
      </c>
      <c r="DJ6" s="16">
        <v>3110</v>
      </c>
      <c r="DK6" s="16">
        <v>3110</v>
      </c>
      <c r="DL6" s="16">
        <v>8100</v>
      </c>
      <c r="DM6" s="16">
        <v>-10</v>
      </c>
      <c r="DN6" s="16">
        <f>DM6/DG6*100</f>
        <v>-0.32051282051282048</v>
      </c>
      <c r="DO6" s="16">
        <f>MEDIAN(DN2:DN6)</f>
        <v>-0.32051282051282048</v>
      </c>
      <c r="DP6" s="18">
        <v>44896</v>
      </c>
      <c r="DQ6" s="16">
        <v>3130</v>
      </c>
      <c r="DR6" s="16">
        <v>3170</v>
      </c>
      <c r="DS6" s="16">
        <v>3110</v>
      </c>
      <c r="DT6" s="16">
        <v>3150</v>
      </c>
      <c r="DU6" s="16">
        <v>3150</v>
      </c>
      <c r="DV6" s="16">
        <v>22500</v>
      </c>
      <c r="DW6" s="16">
        <v>20</v>
      </c>
      <c r="DX6" s="16">
        <f>DW6/DQ6*100</f>
        <v>0.63897763578274758</v>
      </c>
      <c r="DY6" s="16">
        <f>MEDIAN(DX2:DX6)</f>
        <v>0.14144271570014144</v>
      </c>
    </row>
    <row r="7" spans="1:129">
      <c r="A7" s="17">
        <v>43282</v>
      </c>
      <c r="B7" s="16">
        <v>3520</v>
      </c>
      <c r="C7" s="16">
        <v>3550</v>
      </c>
      <c r="D7" s="16">
        <v>3400</v>
      </c>
      <c r="E7" s="16">
        <v>3420</v>
      </c>
      <c r="F7" s="16">
        <v>3420</v>
      </c>
      <c r="G7" s="16">
        <v>37800</v>
      </c>
      <c r="H7" s="16">
        <f t="shared" si="0"/>
        <v>-100</v>
      </c>
    </row>
    <row r="8" spans="1:129">
      <c r="A8" s="17">
        <v>43313</v>
      </c>
      <c r="B8" s="16">
        <v>3415</v>
      </c>
      <c r="C8" s="16">
        <v>3440</v>
      </c>
      <c r="D8" s="16">
        <v>3390</v>
      </c>
      <c r="E8" s="16">
        <v>3420</v>
      </c>
      <c r="F8" s="16">
        <v>3420</v>
      </c>
      <c r="G8" s="16">
        <v>12700</v>
      </c>
      <c r="H8" s="16">
        <f t="shared" si="0"/>
        <v>5</v>
      </c>
    </row>
    <row r="9" spans="1:129">
      <c r="A9" s="17">
        <v>43344</v>
      </c>
      <c r="B9" s="16">
        <v>3425</v>
      </c>
      <c r="C9" s="16">
        <v>3475</v>
      </c>
      <c r="D9" s="16">
        <v>3400</v>
      </c>
      <c r="E9" s="16">
        <v>3450</v>
      </c>
      <c r="F9" s="16">
        <v>3450</v>
      </c>
      <c r="G9" s="16">
        <v>10600</v>
      </c>
      <c r="H9" s="16">
        <f t="shared" si="0"/>
        <v>25</v>
      </c>
    </row>
    <row r="10" spans="1:129">
      <c r="A10" s="17">
        <v>43374</v>
      </c>
      <c r="B10" s="16">
        <v>3425</v>
      </c>
      <c r="C10" s="16">
        <v>3500</v>
      </c>
      <c r="D10" s="16">
        <v>3405</v>
      </c>
      <c r="E10" s="16">
        <v>3470</v>
      </c>
      <c r="F10" s="16">
        <v>3470</v>
      </c>
      <c r="G10" s="16">
        <v>11400</v>
      </c>
      <c r="H10" s="16">
        <f t="shared" si="0"/>
        <v>45</v>
      </c>
    </row>
    <row r="11" spans="1:129">
      <c r="A11" s="17">
        <v>43405</v>
      </c>
      <c r="B11" s="16">
        <v>3405</v>
      </c>
      <c r="C11" s="16">
        <v>3480</v>
      </c>
      <c r="D11" s="16">
        <v>3405</v>
      </c>
      <c r="E11" s="16">
        <v>3460</v>
      </c>
      <c r="F11" s="16">
        <v>3460</v>
      </c>
      <c r="G11" s="16">
        <v>8100</v>
      </c>
      <c r="H11" s="16">
        <f t="shared" si="0"/>
        <v>55</v>
      </c>
    </row>
    <row r="12" spans="1:129">
      <c r="A12" s="17">
        <v>43435</v>
      </c>
      <c r="B12" s="16">
        <v>3470</v>
      </c>
      <c r="C12" s="16">
        <v>3805</v>
      </c>
      <c r="D12" s="16">
        <v>3325</v>
      </c>
      <c r="E12" s="16">
        <v>3470</v>
      </c>
      <c r="F12" s="16">
        <v>3470</v>
      </c>
      <c r="G12" s="16">
        <v>25000</v>
      </c>
      <c r="H12" s="16">
        <f t="shared" si="0"/>
        <v>0</v>
      </c>
    </row>
    <row r="13" spans="1:129">
      <c r="A13" s="17">
        <v>43466</v>
      </c>
      <c r="B13" s="16">
        <v>3470</v>
      </c>
      <c r="C13" s="16">
        <v>3555</v>
      </c>
      <c r="D13" s="16">
        <v>3400</v>
      </c>
      <c r="E13" s="16">
        <v>3415</v>
      </c>
      <c r="F13" s="16">
        <v>3415</v>
      </c>
      <c r="G13" s="16">
        <v>29800</v>
      </c>
      <c r="H13" s="16">
        <f t="shared" si="0"/>
        <v>-55</v>
      </c>
    </row>
    <row r="14" spans="1:129">
      <c r="A14" s="17">
        <v>43497</v>
      </c>
      <c r="B14" s="16">
        <v>3415</v>
      </c>
      <c r="C14" s="16">
        <v>3425</v>
      </c>
      <c r="D14" s="16">
        <v>3390</v>
      </c>
      <c r="E14" s="16">
        <v>3425</v>
      </c>
      <c r="F14" s="16">
        <v>3425</v>
      </c>
      <c r="G14" s="16">
        <v>11400</v>
      </c>
      <c r="H14" s="16">
        <f t="shared" si="0"/>
        <v>10</v>
      </c>
    </row>
    <row r="15" spans="1:129">
      <c r="A15" s="17">
        <v>43525</v>
      </c>
      <c r="B15" s="16">
        <v>3425</v>
      </c>
      <c r="C15" s="16">
        <v>3465</v>
      </c>
      <c r="D15" s="16">
        <v>3400</v>
      </c>
      <c r="E15" s="16">
        <v>3430</v>
      </c>
      <c r="F15" s="16">
        <v>3430</v>
      </c>
      <c r="G15" s="16">
        <v>13600</v>
      </c>
      <c r="H15" s="16">
        <f t="shared" si="0"/>
        <v>5</v>
      </c>
    </row>
    <row r="16" spans="1:129">
      <c r="A16" s="17">
        <v>43556</v>
      </c>
      <c r="B16" s="16">
        <v>3440</v>
      </c>
      <c r="C16" s="16">
        <v>3520</v>
      </c>
      <c r="D16" s="16">
        <v>3425</v>
      </c>
      <c r="E16" s="16">
        <v>3465</v>
      </c>
      <c r="F16" s="16">
        <v>3465</v>
      </c>
      <c r="G16" s="16">
        <v>16400</v>
      </c>
      <c r="H16" s="16">
        <f t="shared" si="0"/>
        <v>25</v>
      </c>
    </row>
    <row r="17" spans="1:8">
      <c r="A17" s="17">
        <v>43586</v>
      </c>
      <c r="B17" s="16">
        <v>3465</v>
      </c>
      <c r="C17" s="16">
        <v>3510</v>
      </c>
      <c r="D17" s="16">
        <v>3435</v>
      </c>
      <c r="E17" s="16">
        <v>3480</v>
      </c>
      <c r="F17" s="16">
        <v>3480</v>
      </c>
      <c r="G17" s="16">
        <v>12800</v>
      </c>
      <c r="H17" s="16">
        <f t="shared" si="0"/>
        <v>15</v>
      </c>
    </row>
    <row r="18" spans="1:8">
      <c r="A18" s="17">
        <v>43617</v>
      </c>
      <c r="B18" s="16">
        <v>3485</v>
      </c>
      <c r="C18" s="16">
        <v>3535</v>
      </c>
      <c r="D18" s="16">
        <v>3455</v>
      </c>
      <c r="E18" s="16">
        <v>3515</v>
      </c>
      <c r="F18" s="16">
        <v>3515</v>
      </c>
      <c r="G18" s="16">
        <v>14700</v>
      </c>
      <c r="H18" s="16">
        <f t="shared" si="0"/>
        <v>30</v>
      </c>
    </row>
    <row r="19" spans="1:8">
      <c r="A19" s="17">
        <v>43647</v>
      </c>
      <c r="B19" s="16">
        <v>3510</v>
      </c>
      <c r="C19" s="16">
        <v>3545</v>
      </c>
      <c r="D19" s="16">
        <v>3400</v>
      </c>
      <c r="E19" s="16">
        <v>3440</v>
      </c>
      <c r="F19" s="16">
        <v>3440</v>
      </c>
      <c r="G19" s="16">
        <v>31000</v>
      </c>
      <c r="H19" s="16">
        <f t="shared" si="0"/>
        <v>-70</v>
      </c>
    </row>
    <row r="20" spans="1:8">
      <c r="A20" s="17">
        <v>43678</v>
      </c>
      <c r="B20" s="16">
        <v>3435</v>
      </c>
      <c r="C20" s="16">
        <v>3455</v>
      </c>
      <c r="D20" s="16">
        <v>3415</v>
      </c>
      <c r="E20" s="16">
        <v>3440</v>
      </c>
      <c r="F20" s="16">
        <v>3440</v>
      </c>
      <c r="G20" s="16">
        <v>16200</v>
      </c>
      <c r="H20" s="16">
        <f t="shared" si="0"/>
        <v>5</v>
      </c>
    </row>
    <row r="21" spans="1:8">
      <c r="A21" s="17">
        <v>43709</v>
      </c>
      <c r="B21" s="16">
        <v>3440</v>
      </c>
      <c r="C21" s="16">
        <v>3525</v>
      </c>
      <c r="D21" s="16">
        <v>3440</v>
      </c>
      <c r="E21" s="16">
        <v>3500</v>
      </c>
      <c r="F21" s="16">
        <v>3500</v>
      </c>
      <c r="G21" s="16">
        <v>19000</v>
      </c>
      <c r="H21" s="16">
        <f t="shared" si="0"/>
        <v>60</v>
      </c>
    </row>
    <row r="22" spans="1:8">
      <c r="A22" s="17">
        <v>43739</v>
      </c>
      <c r="B22" s="16">
        <v>3495</v>
      </c>
      <c r="C22" s="16">
        <v>3540</v>
      </c>
      <c r="D22" s="16">
        <v>3470</v>
      </c>
      <c r="E22" s="16">
        <v>3515</v>
      </c>
      <c r="F22" s="16">
        <v>3515</v>
      </c>
      <c r="G22" s="16">
        <v>12400</v>
      </c>
      <c r="H22" s="16">
        <f t="shared" si="0"/>
        <v>20</v>
      </c>
    </row>
    <row r="23" spans="1:8">
      <c r="A23" s="17">
        <v>43770</v>
      </c>
      <c r="B23" s="16">
        <v>3520</v>
      </c>
      <c r="C23" s="16">
        <v>3535</v>
      </c>
      <c r="D23" s="16">
        <v>3510</v>
      </c>
      <c r="E23" s="16">
        <v>3530</v>
      </c>
      <c r="F23" s="16">
        <v>3530</v>
      </c>
      <c r="G23" s="16">
        <v>11900</v>
      </c>
      <c r="H23" s="16">
        <f t="shared" si="0"/>
        <v>10</v>
      </c>
    </row>
    <row r="24" spans="1:8">
      <c r="A24" s="17">
        <v>43800</v>
      </c>
      <c r="B24" s="16">
        <v>3535</v>
      </c>
      <c r="C24" s="16">
        <v>3565</v>
      </c>
      <c r="D24" s="16">
        <v>3520</v>
      </c>
      <c r="E24" s="16">
        <v>3540</v>
      </c>
      <c r="F24" s="16">
        <v>3540</v>
      </c>
      <c r="G24" s="16">
        <v>39300</v>
      </c>
      <c r="H24" s="16">
        <f t="shared" si="0"/>
        <v>5</v>
      </c>
    </row>
    <row r="25" spans="1:8">
      <c r="A25" s="17">
        <v>43831</v>
      </c>
      <c r="B25" s="16">
        <v>3540</v>
      </c>
      <c r="C25" s="16">
        <v>3850</v>
      </c>
      <c r="D25" s="16">
        <v>3450</v>
      </c>
      <c r="E25" s="16">
        <v>3515</v>
      </c>
      <c r="F25" s="16">
        <v>3515</v>
      </c>
      <c r="G25" s="16">
        <v>89100</v>
      </c>
      <c r="H25" s="16">
        <f t="shared" si="0"/>
        <v>-25</v>
      </c>
    </row>
    <row r="26" spans="1:8">
      <c r="A26" s="17">
        <v>43862</v>
      </c>
      <c r="B26" s="16">
        <v>3505</v>
      </c>
      <c r="C26" s="16">
        <v>3530</v>
      </c>
      <c r="D26" s="16">
        <v>2904</v>
      </c>
      <c r="E26" s="16">
        <v>2936</v>
      </c>
      <c r="F26" s="16">
        <v>2936</v>
      </c>
      <c r="G26" s="16">
        <v>58400</v>
      </c>
      <c r="H26" s="16">
        <f t="shared" si="0"/>
        <v>-569</v>
      </c>
    </row>
    <row r="27" spans="1:8">
      <c r="A27" s="17">
        <v>43891</v>
      </c>
      <c r="B27" s="16">
        <v>3000</v>
      </c>
      <c r="C27" s="16">
        <v>3320</v>
      </c>
      <c r="D27" s="16">
        <v>2500</v>
      </c>
      <c r="E27" s="16">
        <v>2800</v>
      </c>
      <c r="F27" s="16">
        <v>2800</v>
      </c>
      <c r="G27" s="16">
        <v>64000</v>
      </c>
      <c r="H27" s="16">
        <f t="shared" si="0"/>
        <v>-200</v>
      </c>
    </row>
    <row r="28" spans="1:8">
      <c r="A28" s="17">
        <v>43922</v>
      </c>
      <c r="B28" s="16">
        <v>2756</v>
      </c>
      <c r="C28" s="16">
        <v>2800</v>
      </c>
      <c r="D28" s="16">
        <v>2600</v>
      </c>
      <c r="E28" s="16">
        <v>2780</v>
      </c>
      <c r="F28" s="16">
        <v>2780</v>
      </c>
      <c r="G28" s="16">
        <v>18600</v>
      </c>
      <c r="H28" s="16">
        <f t="shared" si="0"/>
        <v>24</v>
      </c>
    </row>
    <row r="29" spans="1:8">
      <c r="A29" s="17">
        <v>43952</v>
      </c>
      <c r="B29" s="16">
        <v>2830</v>
      </c>
      <c r="C29" s="16">
        <v>3165</v>
      </c>
      <c r="D29" s="16">
        <v>2780</v>
      </c>
      <c r="E29" s="16">
        <v>3160</v>
      </c>
      <c r="F29" s="16">
        <v>3160</v>
      </c>
      <c r="G29" s="16">
        <v>19600</v>
      </c>
      <c r="H29" s="16">
        <f t="shared" si="0"/>
        <v>330</v>
      </c>
    </row>
    <row r="30" spans="1:8">
      <c r="A30" s="17">
        <v>43983</v>
      </c>
      <c r="B30" s="16">
        <v>3160</v>
      </c>
      <c r="C30" s="16">
        <v>3225</v>
      </c>
      <c r="D30" s="16">
        <v>3030</v>
      </c>
      <c r="E30" s="16">
        <v>3120</v>
      </c>
      <c r="F30" s="16">
        <v>3120</v>
      </c>
      <c r="G30" s="16">
        <v>13400</v>
      </c>
      <c r="H30" s="16">
        <f t="shared" si="0"/>
        <v>-40</v>
      </c>
    </row>
    <row r="31" spans="1:8">
      <c r="A31" s="17">
        <v>44013</v>
      </c>
      <c r="B31" s="16">
        <v>3130</v>
      </c>
      <c r="C31" s="16">
        <v>3150</v>
      </c>
      <c r="D31" s="16">
        <v>2790</v>
      </c>
      <c r="E31" s="16">
        <v>2795</v>
      </c>
      <c r="F31" s="16">
        <v>2795</v>
      </c>
      <c r="G31" s="16">
        <v>26400</v>
      </c>
      <c r="H31" s="16">
        <f t="shared" si="0"/>
        <v>-335</v>
      </c>
    </row>
    <row r="32" spans="1:8">
      <c r="A32" s="17">
        <v>44044</v>
      </c>
      <c r="B32" s="16">
        <v>2795</v>
      </c>
      <c r="C32" s="16">
        <v>2888</v>
      </c>
      <c r="D32" s="16">
        <v>2743</v>
      </c>
      <c r="E32" s="16">
        <v>2817</v>
      </c>
      <c r="F32" s="16">
        <v>2817</v>
      </c>
      <c r="G32" s="16">
        <v>15700</v>
      </c>
      <c r="H32" s="16">
        <f t="shared" si="0"/>
        <v>22</v>
      </c>
    </row>
    <row r="33" spans="1:8">
      <c r="A33" s="17">
        <v>44075</v>
      </c>
      <c r="B33" s="16">
        <v>2817</v>
      </c>
      <c r="C33" s="16">
        <v>2875</v>
      </c>
      <c r="D33" s="16">
        <v>2811</v>
      </c>
      <c r="E33" s="16">
        <v>2833</v>
      </c>
      <c r="F33" s="16">
        <v>2833</v>
      </c>
      <c r="G33" s="16">
        <v>15500</v>
      </c>
      <c r="H33" s="16">
        <f t="shared" si="0"/>
        <v>16</v>
      </c>
    </row>
    <row r="34" spans="1:8">
      <c r="A34" s="17">
        <v>44105</v>
      </c>
      <c r="B34" s="16">
        <v>2850</v>
      </c>
      <c r="C34" s="16">
        <v>3060</v>
      </c>
      <c r="D34" s="16">
        <v>2833</v>
      </c>
      <c r="E34" s="16">
        <v>2980</v>
      </c>
      <c r="F34" s="16">
        <v>2980</v>
      </c>
      <c r="G34" s="16">
        <v>16300</v>
      </c>
      <c r="H34" s="16">
        <f t="shared" ref="H34:H60" si="1">E34-B34</f>
        <v>130</v>
      </c>
    </row>
    <row r="35" spans="1:8">
      <c r="A35" s="17">
        <v>44136</v>
      </c>
      <c r="B35" s="16">
        <v>2955</v>
      </c>
      <c r="C35" s="16">
        <v>3030</v>
      </c>
      <c r="D35" s="16">
        <v>2906</v>
      </c>
      <c r="E35" s="16">
        <v>2945</v>
      </c>
      <c r="F35" s="16">
        <v>2945</v>
      </c>
      <c r="G35" s="16">
        <v>11900</v>
      </c>
      <c r="H35" s="16">
        <f t="shared" si="1"/>
        <v>-10</v>
      </c>
    </row>
    <row r="36" spans="1:8">
      <c r="A36" s="17">
        <v>44166</v>
      </c>
      <c r="B36" s="16">
        <v>2965</v>
      </c>
      <c r="C36" s="16">
        <v>3050</v>
      </c>
      <c r="D36" s="16">
        <v>2960</v>
      </c>
      <c r="E36" s="16">
        <v>3005</v>
      </c>
      <c r="F36" s="16">
        <v>3005</v>
      </c>
      <c r="G36" s="16">
        <v>20400</v>
      </c>
      <c r="H36" s="16">
        <f t="shared" si="1"/>
        <v>40</v>
      </c>
    </row>
    <row r="37" spans="1:8">
      <c r="A37" s="17">
        <v>44200</v>
      </c>
      <c r="B37" s="16">
        <v>3005</v>
      </c>
      <c r="C37" s="16">
        <v>3060</v>
      </c>
      <c r="D37" s="16">
        <v>2925</v>
      </c>
      <c r="E37" s="16">
        <v>2999</v>
      </c>
      <c r="F37" s="16">
        <v>2999</v>
      </c>
      <c r="G37" s="16">
        <v>26900</v>
      </c>
      <c r="H37" s="16">
        <f t="shared" si="1"/>
        <v>-6</v>
      </c>
    </row>
    <row r="38" spans="1:8">
      <c r="A38" s="17">
        <v>44228</v>
      </c>
      <c r="B38" s="16">
        <v>2970</v>
      </c>
      <c r="C38" s="16">
        <v>2986</v>
      </c>
      <c r="D38" s="16">
        <v>2925</v>
      </c>
      <c r="E38" s="16">
        <v>2945</v>
      </c>
      <c r="F38" s="16">
        <v>2945</v>
      </c>
      <c r="G38" s="16">
        <v>17700</v>
      </c>
      <c r="H38" s="16">
        <f t="shared" si="1"/>
        <v>-25</v>
      </c>
    </row>
    <row r="39" spans="1:8">
      <c r="A39" s="17">
        <v>44256</v>
      </c>
      <c r="B39" s="16">
        <v>2945</v>
      </c>
      <c r="C39" s="16">
        <v>3025</v>
      </c>
      <c r="D39" s="16">
        <v>2934</v>
      </c>
      <c r="E39" s="16">
        <v>2995</v>
      </c>
      <c r="F39" s="16">
        <v>2995</v>
      </c>
      <c r="G39" s="16">
        <v>16800</v>
      </c>
      <c r="H39" s="16">
        <f t="shared" si="1"/>
        <v>50</v>
      </c>
    </row>
    <row r="40" spans="1:8">
      <c r="A40" s="17">
        <v>44287</v>
      </c>
      <c r="B40" s="16">
        <v>3005</v>
      </c>
      <c r="C40" s="16">
        <v>3025</v>
      </c>
      <c r="D40" s="16">
        <v>2970</v>
      </c>
      <c r="E40" s="16">
        <v>3010</v>
      </c>
      <c r="F40" s="16">
        <v>3010</v>
      </c>
      <c r="G40" s="16">
        <v>11900</v>
      </c>
      <c r="H40" s="16">
        <f t="shared" si="1"/>
        <v>5</v>
      </c>
    </row>
    <row r="41" spans="1:8">
      <c r="A41" s="17">
        <v>44322</v>
      </c>
      <c r="B41" s="16">
        <v>3015</v>
      </c>
      <c r="C41" s="16">
        <v>3035</v>
      </c>
      <c r="D41" s="16">
        <v>2992</v>
      </c>
      <c r="E41" s="16">
        <v>3000</v>
      </c>
      <c r="F41" s="16">
        <v>3000</v>
      </c>
      <c r="G41" s="16">
        <v>8400</v>
      </c>
      <c r="H41" s="16">
        <f t="shared" si="1"/>
        <v>-15</v>
      </c>
    </row>
    <row r="42" spans="1:8">
      <c r="A42" s="17">
        <v>44348</v>
      </c>
      <c r="B42" s="16">
        <v>3035</v>
      </c>
      <c r="C42" s="16">
        <v>3125</v>
      </c>
      <c r="D42" s="16">
        <v>3005</v>
      </c>
      <c r="E42" s="16">
        <v>3070</v>
      </c>
      <c r="F42" s="16">
        <v>3070</v>
      </c>
      <c r="G42" s="16">
        <v>15000</v>
      </c>
      <c r="H42" s="16">
        <f t="shared" si="1"/>
        <v>35</v>
      </c>
    </row>
    <row r="43" spans="1:8">
      <c r="A43" s="17">
        <v>44378</v>
      </c>
      <c r="B43" s="16">
        <v>3055</v>
      </c>
      <c r="C43" s="16">
        <v>3115</v>
      </c>
      <c r="D43" s="16">
        <v>2971</v>
      </c>
      <c r="E43" s="16">
        <v>2985</v>
      </c>
      <c r="F43" s="16">
        <v>2985</v>
      </c>
      <c r="G43" s="16">
        <v>21800</v>
      </c>
      <c r="H43" s="16">
        <f t="shared" si="1"/>
        <v>-70</v>
      </c>
    </row>
    <row r="44" spans="1:8">
      <c r="A44" s="17">
        <v>44410</v>
      </c>
      <c r="B44" s="16">
        <v>2981</v>
      </c>
      <c r="C44" s="16">
        <v>3030</v>
      </c>
      <c r="D44" s="16">
        <v>2980</v>
      </c>
      <c r="E44" s="16">
        <v>2987</v>
      </c>
      <c r="F44" s="16">
        <v>2987</v>
      </c>
      <c r="G44" s="16">
        <v>10200</v>
      </c>
      <c r="H44" s="16">
        <f t="shared" si="1"/>
        <v>6</v>
      </c>
    </row>
    <row r="45" spans="1:8">
      <c r="A45" s="17">
        <v>44440</v>
      </c>
      <c r="B45" s="16">
        <v>2995</v>
      </c>
      <c r="C45" s="16">
        <v>3070</v>
      </c>
      <c r="D45" s="16">
        <v>2987</v>
      </c>
      <c r="E45" s="16">
        <v>3070</v>
      </c>
      <c r="F45" s="16">
        <v>3070</v>
      </c>
      <c r="G45" s="16">
        <v>14300</v>
      </c>
      <c r="H45" s="16">
        <f t="shared" si="1"/>
        <v>75</v>
      </c>
    </row>
    <row r="46" spans="1:8">
      <c r="A46" s="17">
        <v>44470</v>
      </c>
      <c r="B46" s="16">
        <v>3045</v>
      </c>
      <c r="C46" s="16">
        <v>3095</v>
      </c>
      <c r="D46" s="16">
        <v>3045</v>
      </c>
      <c r="E46" s="16">
        <v>3090</v>
      </c>
      <c r="F46" s="16">
        <v>3090</v>
      </c>
      <c r="G46" s="16">
        <v>9200</v>
      </c>
      <c r="H46" s="16">
        <f t="shared" si="1"/>
        <v>45</v>
      </c>
    </row>
    <row r="47" spans="1:8">
      <c r="A47" s="17">
        <v>44501</v>
      </c>
      <c r="B47" s="16">
        <v>3090</v>
      </c>
      <c r="C47" s="16">
        <v>3135</v>
      </c>
      <c r="D47" s="16">
        <v>3060</v>
      </c>
      <c r="E47" s="16">
        <v>3075</v>
      </c>
      <c r="F47" s="16">
        <v>3075</v>
      </c>
      <c r="G47" s="16">
        <v>11700</v>
      </c>
      <c r="H47" s="16">
        <f t="shared" si="1"/>
        <v>-15</v>
      </c>
    </row>
    <row r="48" spans="1:8">
      <c r="A48" s="17">
        <v>44531</v>
      </c>
      <c r="B48" s="16">
        <v>3080</v>
      </c>
      <c r="C48" s="16">
        <v>3100</v>
      </c>
      <c r="D48" s="16">
        <v>3005</v>
      </c>
      <c r="E48" s="16">
        <v>3030</v>
      </c>
      <c r="F48" s="16">
        <v>3030</v>
      </c>
      <c r="G48" s="16">
        <v>20700</v>
      </c>
      <c r="H48" s="16">
        <f t="shared" si="1"/>
        <v>-50</v>
      </c>
    </row>
    <row r="49" spans="1:8">
      <c r="A49" s="17">
        <v>44565</v>
      </c>
      <c r="B49" s="16">
        <v>3030</v>
      </c>
      <c r="C49" s="16">
        <v>3100</v>
      </c>
      <c r="D49" s="16">
        <v>2971</v>
      </c>
      <c r="E49" s="16">
        <v>2980</v>
      </c>
      <c r="F49" s="16">
        <v>2980</v>
      </c>
      <c r="G49" s="16">
        <v>30700</v>
      </c>
      <c r="H49" s="16">
        <f t="shared" si="1"/>
        <v>-50</v>
      </c>
    </row>
    <row r="50" spans="1:8">
      <c r="A50" s="17">
        <v>44593</v>
      </c>
      <c r="B50" s="16">
        <v>2995</v>
      </c>
      <c r="C50" s="16">
        <v>2998</v>
      </c>
      <c r="D50" s="16">
        <v>2960</v>
      </c>
      <c r="E50" s="16">
        <v>2964</v>
      </c>
      <c r="F50" s="16">
        <v>2964</v>
      </c>
      <c r="G50" s="16">
        <v>11400</v>
      </c>
      <c r="H50" s="16">
        <f t="shared" si="1"/>
        <v>-31</v>
      </c>
    </row>
    <row r="51" spans="1:8">
      <c r="A51" s="17">
        <v>44621</v>
      </c>
      <c r="B51" s="16">
        <v>2960</v>
      </c>
      <c r="C51" s="16">
        <v>3015</v>
      </c>
      <c r="D51" s="16">
        <v>2942</v>
      </c>
      <c r="E51" s="16">
        <v>3015</v>
      </c>
      <c r="F51" s="16">
        <v>3015</v>
      </c>
      <c r="G51" s="16">
        <v>12400</v>
      </c>
      <c r="H51" s="16">
        <f t="shared" si="1"/>
        <v>55</v>
      </c>
    </row>
    <row r="52" spans="1:8">
      <c r="A52" s="17">
        <v>44652</v>
      </c>
      <c r="B52" s="16">
        <v>3005</v>
      </c>
      <c r="C52" s="16">
        <v>3050</v>
      </c>
      <c r="D52" s="16">
        <v>2995</v>
      </c>
      <c r="E52" s="16">
        <v>3035</v>
      </c>
      <c r="F52" s="16">
        <v>3035</v>
      </c>
      <c r="G52" s="16">
        <v>7800</v>
      </c>
      <c r="H52" s="16">
        <f t="shared" si="1"/>
        <v>30</v>
      </c>
    </row>
    <row r="53" spans="1:8">
      <c r="A53" s="17">
        <v>44683</v>
      </c>
      <c r="B53" s="16">
        <v>3035</v>
      </c>
      <c r="C53" s="16">
        <v>3080</v>
      </c>
      <c r="D53" s="16">
        <v>3030</v>
      </c>
      <c r="E53" s="16">
        <v>3055</v>
      </c>
      <c r="F53" s="16">
        <v>3055</v>
      </c>
      <c r="G53" s="16">
        <v>10400</v>
      </c>
      <c r="H53" s="16">
        <f t="shared" si="1"/>
        <v>20</v>
      </c>
    </row>
    <row r="54" spans="1:8">
      <c r="A54" s="17">
        <v>44713</v>
      </c>
      <c r="B54" s="16">
        <v>3055</v>
      </c>
      <c r="C54" s="16">
        <v>3100</v>
      </c>
      <c r="D54" s="16">
        <v>3050</v>
      </c>
      <c r="E54" s="16">
        <v>3070</v>
      </c>
      <c r="F54" s="16">
        <v>3070</v>
      </c>
      <c r="G54" s="16">
        <v>14800</v>
      </c>
      <c r="H54" s="16">
        <f t="shared" si="1"/>
        <v>15</v>
      </c>
    </row>
    <row r="55" spans="1:8">
      <c r="A55" s="17">
        <v>44743</v>
      </c>
      <c r="B55" s="16">
        <v>3070</v>
      </c>
      <c r="C55" s="16">
        <v>3160</v>
      </c>
      <c r="D55" s="16">
        <v>3040</v>
      </c>
      <c r="E55" s="16">
        <v>3050</v>
      </c>
      <c r="F55" s="16">
        <v>3050</v>
      </c>
      <c r="G55" s="16">
        <v>25300</v>
      </c>
      <c r="H55" s="16">
        <f t="shared" si="1"/>
        <v>-20</v>
      </c>
    </row>
    <row r="56" spans="1:8">
      <c r="A56" s="17">
        <v>44774</v>
      </c>
      <c r="B56" s="16">
        <v>3055</v>
      </c>
      <c r="C56" s="16">
        <v>3070</v>
      </c>
      <c r="D56" s="16">
        <v>3020</v>
      </c>
      <c r="E56" s="16">
        <v>3035</v>
      </c>
      <c r="F56" s="16">
        <v>3035</v>
      </c>
      <c r="G56" s="16">
        <v>12700</v>
      </c>
      <c r="H56" s="16">
        <f t="shared" si="1"/>
        <v>-20</v>
      </c>
    </row>
    <row r="57" spans="1:8">
      <c r="A57" s="17">
        <v>44806</v>
      </c>
      <c r="B57" s="16">
        <v>3030</v>
      </c>
      <c r="C57" s="16">
        <v>3455</v>
      </c>
      <c r="D57" s="16">
        <v>3020</v>
      </c>
      <c r="E57" s="16">
        <v>3040</v>
      </c>
      <c r="F57" s="16">
        <v>3040</v>
      </c>
      <c r="G57" s="16">
        <v>38800</v>
      </c>
      <c r="H57" s="16">
        <f t="shared" si="1"/>
        <v>10</v>
      </c>
    </row>
    <row r="58" spans="1:8">
      <c r="A58" s="17">
        <v>44837</v>
      </c>
      <c r="B58" s="16">
        <v>3045</v>
      </c>
      <c r="C58" s="16">
        <v>3145</v>
      </c>
      <c r="D58" s="16">
        <v>3030</v>
      </c>
      <c r="E58" s="16">
        <v>3115</v>
      </c>
      <c r="F58" s="16">
        <v>3115</v>
      </c>
      <c r="G58" s="16">
        <v>9500</v>
      </c>
      <c r="H58" s="16">
        <f t="shared" si="1"/>
        <v>70</v>
      </c>
    </row>
    <row r="59" spans="1:8">
      <c r="A59" s="17">
        <v>44866</v>
      </c>
      <c r="B59" s="16">
        <v>3120</v>
      </c>
      <c r="C59" s="16">
        <v>3135</v>
      </c>
      <c r="D59" s="16">
        <v>3065</v>
      </c>
      <c r="E59" s="16">
        <v>3110</v>
      </c>
      <c r="F59" s="16">
        <v>3110</v>
      </c>
      <c r="G59" s="16">
        <v>8100</v>
      </c>
      <c r="H59" s="16">
        <f t="shared" si="1"/>
        <v>-10</v>
      </c>
    </row>
    <row r="60" spans="1:8">
      <c r="A60" s="17">
        <v>44896</v>
      </c>
      <c r="B60" s="16">
        <v>3130</v>
      </c>
      <c r="C60" s="16">
        <v>3170</v>
      </c>
      <c r="D60" s="16">
        <v>3110</v>
      </c>
      <c r="E60" s="16">
        <v>3150</v>
      </c>
      <c r="F60" s="16">
        <v>3150</v>
      </c>
      <c r="G60" s="16">
        <v>22500</v>
      </c>
      <c r="H60" s="16">
        <f t="shared" si="1"/>
        <v>20</v>
      </c>
    </row>
  </sheetData>
  <phoneticPr fontId="32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D7AA4-6A3D-4EFF-9593-B2E9AEFBE5E9}">
  <sheetPr codeName="Sheet37"/>
  <dimension ref="A1:DY60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43132</v>
      </c>
      <c r="B2" s="16">
        <v>3280</v>
      </c>
      <c r="C2" s="16">
        <v>3295</v>
      </c>
      <c r="D2" s="16">
        <v>3200</v>
      </c>
      <c r="E2" s="16">
        <v>3245</v>
      </c>
      <c r="F2" s="16">
        <v>3245</v>
      </c>
      <c r="G2" s="16">
        <v>15900</v>
      </c>
      <c r="H2" s="16">
        <f t="shared" ref="H2:H33" si="0">E2-B2</f>
        <v>-35</v>
      </c>
      <c r="J2" s="18" cm="1">
        <f t="array" ref="J2:Q5">_xlfn._xlws.FILTER(A2:H60,MONTH(A2:A60)=1,"")</f>
        <v>43466</v>
      </c>
      <c r="K2" s="16">
        <v>3390</v>
      </c>
      <c r="L2" s="16">
        <v>3550</v>
      </c>
      <c r="M2" s="16">
        <v>3310</v>
      </c>
      <c r="N2" s="16">
        <v>3380</v>
      </c>
      <c r="O2" s="16">
        <v>3380</v>
      </c>
      <c r="P2" s="16">
        <v>24000</v>
      </c>
      <c r="Q2" s="16">
        <v>-10</v>
      </c>
      <c r="R2" s="16">
        <f>Q2/K2*100</f>
        <v>-0.29498525073746312</v>
      </c>
      <c r="S2" s="16">
        <f>COUNT(Q2:Q5)</f>
        <v>4</v>
      </c>
      <c r="T2" s="18" cm="1">
        <f t="array" ref="T2:AA6">_xlfn._xlws.FILTER(A2:H60,MONTH(A2:A60)=2,"")</f>
        <v>43132</v>
      </c>
      <c r="U2" s="16">
        <v>3280</v>
      </c>
      <c r="V2" s="16">
        <v>3295</v>
      </c>
      <c r="W2" s="16">
        <v>3200</v>
      </c>
      <c r="X2" s="16">
        <v>3245</v>
      </c>
      <c r="Y2" s="16">
        <v>3245</v>
      </c>
      <c r="Z2" s="16">
        <v>15900</v>
      </c>
      <c r="AA2" s="16">
        <v>-35</v>
      </c>
      <c r="AB2" s="16">
        <f>AA2/U2*100</f>
        <v>-1.0670731707317074</v>
      </c>
      <c r="AC2" s="16">
        <f>COUNT(AA2:AA6)</f>
        <v>5</v>
      </c>
      <c r="AD2" s="18" cm="1">
        <f t="array" ref="AD2:AK6">_xlfn._xlws.FILTER(A2:H60,MONTH(A2:A60)=3,"")</f>
        <v>43160</v>
      </c>
      <c r="AE2" s="16">
        <v>3285</v>
      </c>
      <c r="AF2" s="16">
        <v>3370</v>
      </c>
      <c r="AG2" s="16">
        <v>3240</v>
      </c>
      <c r="AH2" s="16">
        <v>3370</v>
      </c>
      <c r="AI2" s="16">
        <v>3370</v>
      </c>
      <c r="AJ2" s="16">
        <v>16600</v>
      </c>
      <c r="AK2" s="16">
        <v>85</v>
      </c>
      <c r="AL2" s="16">
        <f>AK2/AE2*100</f>
        <v>2.5875190258751903</v>
      </c>
      <c r="AM2" s="16">
        <f>COUNT(AK2:AK6)</f>
        <v>5</v>
      </c>
      <c r="AN2" s="18" cm="1">
        <f t="array" ref="AN2:AU6">_xlfn._xlws.FILTER(A2:H60,MONTH(A2:A60)=4,"")</f>
        <v>43191</v>
      </c>
      <c r="AO2" s="16">
        <v>3380</v>
      </c>
      <c r="AP2" s="16">
        <v>3430</v>
      </c>
      <c r="AQ2" s="16">
        <v>3320</v>
      </c>
      <c r="AR2" s="16">
        <v>3380</v>
      </c>
      <c r="AS2" s="16">
        <v>3380</v>
      </c>
      <c r="AT2" s="16">
        <v>12000</v>
      </c>
      <c r="AU2" s="16">
        <v>0</v>
      </c>
      <c r="AV2" s="16">
        <f>AU2/AO2*100</f>
        <v>0</v>
      </c>
      <c r="AW2" s="16">
        <f>COUNT(AU2:AU6)</f>
        <v>5</v>
      </c>
      <c r="AX2" s="18" cm="1">
        <f t="array" ref="AX2:BE6">_xlfn._xlws.FILTER(A2:H60,MONTH(A2:A60)=5,"")</f>
        <v>43221</v>
      </c>
      <c r="AY2" s="16">
        <v>3375</v>
      </c>
      <c r="AZ2" s="16">
        <v>3565</v>
      </c>
      <c r="BA2" s="16">
        <v>3375</v>
      </c>
      <c r="BB2" s="16">
        <v>3560</v>
      </c>
      <c r="BC2" s="16">
        <v>3560</v>
      </c>
      <c r="BD2" s="16">
        <v>12200</v>
      </c>
      <c r="BE2" s="16">
        <v>185</v>
      </c>
      <c r="BF2" s="16">
        <f>BE2/AY2*100</f>
        <v>5.4814814814814818</v>
      </c>
      <c r="BG2" s="16">
        <f>COUNT(BE2:BE6)</f>
        <v>5</v>
      </c>
      <c r="BH2" s="18" cm="1">
        <f t="array" ref="BH2:BO6">_xlfn._xlws.FILTER(A2:H60,MONTH(A2:A60)=6,"")</f>
        <v>43252</v>
      </c>
      <c r="BI2" s="16">
        <v>3535</v>
      </c>
      <c r="BJ2" s="16">
        <v>3670</v>
      </c>
      <c r="BK2" s="16">
        <v>3520</v>
      </c>
      <c r="BL2" s="16">
        <v>3660</v>
      </c>
      <c r="BM2" s="16">
        <v>3660</v>
      </c>
      <c r="BN2" s="16">
        <v>15700</v>
      </c>
      <c r="BO2" s="16">
        <v>125</v>
      </c>
      <c r="BP2" s="16">
        <f>BO2/BI2*100</f>
        <v>3.536067892503536</v>
      </c>
      <c r="BQ2" s="16">
        <f>COUNT(BO2:BO6)</f>
        <v>5</v>
      </c>
      <c r="BR2" s="18" cm="1">
        <f t="array" ref="BR2:BY6">_xlfn._xlws.FILTER(A2:H60,MONTH(A2:A60)=7,"")</f>
        <v>43282</v>
      </c>
      <c r="BS2" s="16">
        <v>3660</v>
      </c>
      <c r="BT2" s="16">
        <v>3660</v>
      </c>
      <c r="BU2" s="16">
        <v>3420</v>
      </c>
      <c r="BV2" s="16">
        <v>3450</v>
      </c>
      <c r="BW2" s="16">
        <v>3450</v>
      </c>
      <c r="BX2" s="16">
        <v>32500</v>
      </c>
      <c r="BY2" s="16">
        <v>-210</v>
      </c>
      <c r="BZ2" s="16">
        <f>BY2/BS2*100</f>
        <v>-5.7377049180327866</v>
      </c>
      <c r="CA2" s="16">
        <f>COUNT(BY2:BY6)</f>
        <v>5</v>
      </c>
      <c r="CB2" s="18" cm="1">
        <f t="array" ref="CB2:CI6">_xlfn._xlws.FILTER(A2:H60,MONTH(A2:A60)=8,"")</f>
        <v>43313</v>
      </c>
      <c r="CC2" s="16">
        <v>3455</v>
      </c>
      <c r="CD2" s="16">
        <v>3460</v>
      </c>
      <c r="CE2" s="16">
        <v>3405</v>
      </c>
      <c r="CF2" s="16">
        <v>3445</v>
      </c>
      <c r="CG2" s="16">
        <v>3445</v>
      </c>
      <c r="CH2" s="16">
        <v>8800</v>
      </c>
      <c r="CI2" s="16">
        <v>-10</v>
      </c>
      <c r="CJ2" s="16">
        <f>CI2/CC2*100</f>
        <v>-0.28943560057887119</v>
      </c>
      <c r="CK2" s="16">
        <f>COUNT(CI2:CI6)</f>
        <v>5</v>
      </c>
      <c r="CL2" s="18" cm="1">
        <f t="array" ref="CL2:CS6">_xlfn._xlws.FILTER(A2:H60,MONTH(A2:A60)=9,"")</f>
        <v>43344</v>
      </c>
      <c r="CM2" s="16">
        <v>3430</v>
      </c>
      <c r="CN2" s="16">
        <v>3535</v>
      </c>
      <c r="CO2" s="16">
        <v>3430</v>
      </c>
      <c r="CP2" s="16">
        <v>3510</v>
      </c>
      <c r="CQ2" s="16">
        <v>3510</v>
      </c>
      <c r="CR2" s="16">
        <v>13900</v>
      </c>
      <c r="CS2" s="16">
        <v>80</v>
      </c>
      <c r="CT2" s="16">
        <f>CS2/CM2*100</f>
        <v>2.3323615160349855</v>
      </c>
      <c r="CU2" s="16">
        <f>COUNT(CS2:CS6)</f>
        <v>5</v>
      </c>
      <c r="CV2" s="18" cm="1">
        <f t="array" ref="CV2:DC6">_xlfn._xlws.FILTER(A2:H60,MONTH(A2:A60)=10,"")</f>
        <v>43374</v>
      </c>
      <c r="CW2" s="16">
        <v>3565</v>
      </c>
      <c r="CX2" s="16">
        <v>3590</v>
      </c>
      <c r="CY2" s="16">
        <v>3485</v>
      </c>
      <c r="CZ2" s="16">
        <v>3485</v>
      </c>
      <c r="DA2" s="16">
        <v>3485</v>
      </c>
      <c r="DB2" s="16">
        <v>13200</v>
      </c>
      <c r="DC2" s="16">
        <v>-80</v>
      </c>
      <c r="DD2" s="16">
        <f>DC2/CW2*100</f>
        <v>-2.244039270687237</v>
      </c>
      <c r="DE2" s="16">
        <f>COUNT(DC2:DC6)</f>
        <v>5</v>
      </c>
      <c r="DF2" s="18" cm="1">
        <f t="array" ref="DF2:DM6">_xlfn._xlws.FILTER(A2:H60,MONTH(A2:A60)=11,"")</f>
        <v>43405</v>
      </c>
      <c r="DG2" s="16">
        <v>3490</v>
      </c>
      <c r="DH2" s="16">
        <v>3605</v>
      </c>
      <c r="DI2" s="16">
        <v>3480</v>
      </c>
      <c r="DJ2" s="16">
        <v>3560</v>
      </c>
      <c r="DK2" s="16">
        <v>3560</v>
      </c>
      <c r="DL2" s="16">
        <v>9700</v>
      </c>
      <c r="DM2" s="16">
        <v>70</v>
      </c>
      <c r="DN2" s="16">
        <f>DM2/DG2*100</f>
        <v>2.005730659025788</v>
      </c>
      <c r="DO2" s="16">
        <f>COUNT(DM2:DM6)</f>
        <v>5</v>
      </c>
      <c r="DP2" s="18" cm="1">
        <f t="array" ref="DP2:DW6">_xlfn._xlws.FILTER(A2:H60,MONTH(A2:A60)=12,"")</f>
        <v>43435</v>
      </c>
      <c r="DQ2" s="16">
        <v>3555</v>
      </c>
      <c r="DR2" s="16">
        <v>3580</v>
      </c>
      <c r="DS2" s="16">
        <v>3300</v>
      </c>
      <c r="DT2" s="16">
        <v>3410</v>
      </c>
      <c r="DU2" s="16">
        <v>3410</v>
      </c>
      <c r="DV2" s="16">
        <v>17200</v>
      </c>
      <c r="DW2" s="16">
        <v>-145</v>
      </c>
      <c r="DX2" s="16">
        <f>DW2/DQ2*100</f>
        <v>-4.0787623066104075</v>
      </c>
      <c r="DY2" s="16">
        <f>COUNT(DW2:DW6)</f>
        <v>5</v>
      </c>
    </row>
    <row r="3" spans="1:129">
      <c r="A3" s="17">
        <v>43160</v>
      </c>
      <c r="B3" s="16">
        <v>3285</v>
      </c>
      <c r="C3" s="16">
        <v>3370</v>
      </c>
      <c r="D3" s="16">
        <v>3240</v>
      </c>
      <c r="E3" s="16">
        <v>3370</v>
      </c>
      <c r="F3" s="16">
        <v>3370</v>
      </c>
      <c r="G3" s="16">
        <v>16600</v>
      </c>
      <c r="H3" s="16">
        <f t="shared" si="0"/>
        <v>85</v>
      </c>
      <c r="J3" s="18">
        <v>43831</v>
      </c>
      <c r="K3" s="16">
        <v>3500</v>
      </c>
      <c r="L3" s="16">
        <v>3515</v>
      </c>
      <c r="M3" s="16">
        <v>3360</v>
      </c>
      <c r="N3" s="16">
        <v>3395</v>
      </c>
      <c r="O3" s="16">
        <v>3395</v>
      </c>
      <c r="P3" s="16">
        <v>37000</v>
      </c>
      <c r="Q3" s="16">
        <v>-105</v>
      </c>
      <c r="R3" s="16">
        <f>Q3/K3*100</f>
        <v>-3</v>
      </c>
      <c r="S3" s="16">
        <f>COUNTIF(Q2:Q5,"&gt;0")</f>
        <v>0</v>
      </c>
      <c r="T3" s="18">
        <v>43497</v>
      </c>
      <c r="U3" s="16">
        <v>3370</v>
      </c>
      <c r="V3" s="16">
        <v>3425</v>
      </c>
      <c r="W3" s="16">
        <v>3365</v>
      </c>
      <c r="X3" s="16">
        <v>3395</v>
      </c>
      <c r="Y3" s="16">
        <v>3395</v>
      </c>
      <c r="Z3" s="16">
        <v>7600</v>
      </c>
      <c r="AA3" s="16">
        <v>25</v>
      </c>
      <c r="AB3" s="16">
        <f>AA3/U3*100</f>
        <v>0.74183976261127604</v>
      </c>
      <c r="AC3" s="16">
        <f>COUNTIF(AA2:AA6,"&gt;0")</f>
        <v>2</v>
      </c>
      <c r="AD3" s="18">
        <v>43525</v>
      </c>
      <c r="AE3" s="16">
        <v>3395</v>
      </c>
      <c r="AF3" s="16">
        <v>3450</v>
      </c>
      <c r="AG3" s="16">
        <v>3350</v>
      </c>
      <c r="AH3" s="16">
        <v>3450</v>
      </c>
      <c r="AI3" s="16">
        <v>3450</v>
      </c>
      <c r="AJ3" s="16">
        <v>12900</v>
      </c>
      <c r="AK3" s="16">
        <v>55</v>
      </c>
      <c r="AL3" s="16">
        <f>AK3/AE3*100</f>
        <v>1.6200294550810017</v>
      </c>
      <c r="AM3" s="16">
        <f>COUNTIF(AK2:AK6,"&gt;0")</f>
        <v>5</v>
      </c>
      <c r="AN3" s="18">
        <v>43556</v>
      </c>
      <c r="AO3" s="16">
        <v>3450</v>
      </c>
      <c r="AP3" s="16">
        <v>3550</v>
      </c>
      <c r="AQ3" s="16">
        <v>3430</v>
      </c>
      <c r="AR3" s="16">
        <v>3535</v>
      </c>
      <c r="AS3" s="16">
        <v>3535</v>
      </c>
      <c r="AT3" s="16">
        <v>11200</v>
      </c>
      <c r="AU3" s="16">
        <v>85</v>
      </c>
      <c r="AV3" s="16">
        <f>AU3/AO3*100</f>
        <v>2.4637681159420293</v>
      </c>
      <c r="AW3" s="16">
        <f>COUNTIF(AU2:AU6,"&gt;0")</f>
        <v>3</v>
      </c>
      <c r="AX3" s="18">
        <v>43586</v>
      </c>
      <c r="AY3" s="16">
        <v>3550</v>
      </c>
      <c r="AZ3" s="16">
        <v>3580</v>
      </c>
      <c r="BA3" s="16">
        <v>3495</v>
      </c>
      <c r="BB3" s="16">
        <v>3530</v>
      </c>
      <c r="BC3" s="16">
        <v>3530</v>
      </c>
      <c r="BD3" s="16">
        <v>10300</v>
      </c>
      <c r="BE3" s="16">
        <v>-20</v>
      </c>
      <c r="BF3" s="16">
        <f>BE3/AY3*100</f>
        <v>-0.56338028169014087</v>
      </c>
      <c r="BG3" s="16">
        <f>COUNTIF(BE2:BE6,"&gt;0")</f>
        <v>2</v>
      </c>
      <c r="BH3" s="18">
        <v>43617</v>
      </c>
      <c r="BI3" s="16">
        <v>3540</v>
      </c>
      <c r="BJ3" s="16">
        <v>3600</v>
      </c>
      <c r="BK3" s="16">
        <v>3505</v>
      </c>
      <c r="BL3" s="16">
        <v>3555</v>
      </c>
      <c r="BM3" s="16">
        <v>3555</v>
      </c>
      <c r="BN3" s="16">
        <v>15200</v>
      </c>
      <c r="BO3" s="16">
        <v>15</v>
      </c>
      <c r="BP3" s="16">
        <f>BO3/BI3*100</f>
        <v>0.42372881355932202</v>
      </c>
      <c r="BQ3" s="16">
        <f>COUNTIF(BO2:BO6,"&gt;0")</f>
        <v>3</v>
      </c>
      <c r="BR3" s="18">
        <v>43647</v>
      </c>
      <c r="BS3" s="16">
        <v>3560</v>
      </c>
      <c r="BT3" s="16">
        <v>3610</v>
      </c>
      <c r="BU3" s="16">
        <v>3435</v>
      </c>
      <c r="BV3" s="16">
        <v>3490</v>
      </c>
      <c r="BW3" s="16">
        <v>3490</v>
      </c>
      <c r="BX3" s="16">
        <v>28900</v>
      </c>
      <c r="BY3" s="16">
        <v>-70</v>
      </c>
      <c r="BZ3" s="16">
        <f>BY3/BS3*100</f>
        <v>-1.9662921348314606</v>
      </c>
      <c r="CA3" s="16">
        <f>COUNTIF(BY2:BY6,"&gt;0")</f>
        <v>0</v>
      </c>
      <c r="CB3" s="18">
        <v>43678</v>
      </c>
      <c r="CC3" s="16">
        <v>3495</v>
      </c>
      <c r="CD3" s="16">
        <v>3525</v>
      </c>
      <c r="CE3" s="16">
        <v>3450</v>
      </c>
      <c r="CF3" s="16">
        <v>3460</v>
      </c>
      <c r="CG3" s="16">
        <v>3460</v>
      </c>
      <c r="CH3" s="16">
        <v>8800</v>
      </c>
      <c r="CI3" s="16">
        <v>-35</v>
      </c>
      <c r="CJ3" s="16">
        <f>CI3/CC3*100</f>
        <v>-1.0014306151645207</v>
      </c>
      <c r="CK3" s="16">
        <f>COUNTIF(CI2:CI6,"&gt;0")</f>
        <v>2</v>
      </c>
      <c r="CL3" s="18">
        <v>43709</v>
      </c>
      <c r="CM3" s="16">
        <v>3470</v>
      </c>
      <c r="CN3" s="16">
        <v>3670</v>
      </c>
      <c r="CO3" s="16">
        <v>3470</v>
      </c>
      <c r="CP3" s="16">
        <v>3585</v>
      </c>
      <c r="CQ3" s="16">
        <v>3585</v>
      </c>
      <c r="CR3" s="16">
        <v>14800</v>
      </c>
      <c r="CS3" s="16">
        <v>115</v>
      </c>
      <c r="CT3" s="16">
        <f>CS3/CM3*100</f>
        <v>3.3141210374639769</v>
      </c>
      <c r="CU3" s="16">
        <f>COUNTIF(CS2:CS6,"&gt;0")</f>
        <v>4</v>
      </c>
      <c r="CV3" s="18">
        <v>43739</v>
      </c>
      <c r="CW3" s="16">
        <v>3550</v>
      </c>
      <c r="CX3" s="16">
        <v>3585</v>
      </c>
      <c r="CY3" s="16">
        <v>3335</v>
      </c>
      <c r="CZ3" s="16">
        <v>3425</v>
      </c>
      <c r="DA3" s="16">
        <v>3425</v>
      </c>
      <c r="DB3" s="16">
        <v>48400</v>
      </c>
      <c r="DC3" s="16">
        <v>-125</v>
      </c>
      <c r="DD3" s="16">
        <f>DC3/CW3*100</f>
        <v>-3.5211267605633805</v>
      </c>
      <c r="DE3" s="16">
        <f>COUNTIF(DC2:DC6,"&gt;0")</f>
        <v>2</v>
      </c>
      <c r="DF3" s="18">
        <v>43770</v>
      </c>
      <c r="DG3" s="16">
        <v>3415</v>
      </c>
      <c r="DH3" s="16">
        <v>3470</v>
      </c>
      <c r="DI3" s="16">
        <v>3405</v>
      </c>
      <c r="DJ3" s="16">
        <v>3440</v>
      </c>
      <c r="DK3" s="16">
        <v>3440</v>
      </c>
      <c r="DL3" s="16">
        <v>19500</v>
      </c>
      <c r="DM3" s="16">
        <v>25</v>
      </c>
      <c r="DN3" s="16">
        <f>DM3/DG3*100</f>
        <v>0.7320644216691069</v>
      </c>
      <c r="DO3" s="16">
        <f>COUNTIF(DM2:DM6,"&gt;0")</f>
        <v>4</v>
      </c>
      <c r="DP3" s="18">
        <v>43800</v>
      </c>
      <c r="DQ3" s="16">
        <v>3440</v>
      </c>
      <c r="DR3" s="16">
        <v>3565</v>
      </c>
      <c r="DS3" s="16">
        <v>3440</v>
      </c>
      <c r="DT3" s="16">
        <v>3505</v>
      </c>
      <c r="DU3" s="16">
        <v>3505</v>
      </c>
      <c r="DV3" s="16">
        <v>41100</v>
      </c>
      <c r="DW3" s="16">
        <v>65</v>
      </c>
      <c r="DX3" s="16">
        <f>DW3/DQ3*100</f>
        <v>1.88953488372093</v>
      </c>
      <c r="DY3" s="16">
        <f>COUNTIF(DW2:DW6,"&gt;0")</f>
        <v>3</v>
      </c>
    </row>
    <row r="4" spans="1:129">
      <c r="A4" s="17">
        <v>43191</v>
      </c>
      <c r="B4" s="16">
        <v>3380</v>
      </c>
      <c r="C4" s="16">
        <v>3430</v>
      </c>
      <c r="D4" s="16">
        <v>3320</v>
      </c>
      <c r="E4" s="16">
        <v>3380</v>
      </c>
      <c r="F4" s="16">
        <v>3380</v>
      </c>
      <c r="G4" s="16">
        <v>12000</v>
      </c>
      <c r="H4" s="16">
        <f t="shared" si="0"/>
        <v>0</v>
      </c>
      <c r="J4" s="18">
        <v>44200</v>
      </c>
      <c r="K4" s="16">
        <v>3035</v>
      </c>
      <c r="L4" s="16">
        <v>3130</v>
      </c>
      <c r="M4" s="16">
        <v>2920</v>
      </c>
      <c r="N4" s="16">
        <v>2960</v>
      </c>
      <c r="O4" s="16">
        <v>2960</v>
      </c>
      <c r="P4" s="16">
        <v>21700</v>
      </c>
      <c r="Q4" s="16">
        <v>-75</v>
      </c>
      <c r="R4" s="16">
        <f>Q4/K4*100</f>
        <v>-2.4711696869851729</v>
      </c>
      <c r="S4" s="19">
        <f>S3/S2*100</f>
        <v>0</v>
      </c>
      <c r="T4" s="18">
        <v>43862</v>
      </c>
      <c r="U4" s="16">
        <v>3355</v>
      </c>
      <c r="V4" s="16">
        <v>3400</v>
      </c>
      <c r="W4" s="16">
        <v>2870</v>
      </c>
      <c r="X4" s="16">
        <v>2935</v>
      </c>
      <c r="Y4" s="16">
        <v>2935</v>
      </c>
      <c r="Z4" s="16">
        <v>28800</v>
      </c>
      <c r="AA4" s="16">
        <v>-420</v>
      </c>
      <c r="AB4" s="16">
        <f>AA4/U4*100</f>
        <v>-12.518628912071536</v>
      </c>
      <c r="AC4" s="19">
        <f>AC3/AC2*100</f>
        <v>40</v>
      </c>
      <c r="AD4" s="18">
        <v>43891</v>
      </c>
      <c r="AE4" s="16">
        <v>2851</v>
      </c>
      <c r="AF4" s="16">
        <v>3200</v>
      </c>
      <c r="AG4" s="16">
        <v>2540</v>
      </c>
      <c r="AH4" s="16">
        <v>2945</v>
      </c>
      <c r="AI4" s="16">
        <v>2945</v>
      </c>
      <c r="AJ4" s="16">
        <v>38000</v>
      </c>
      <c r="AK4" s="16">
        <v>94</v>
      </c>
      <c r="AL4" s="16">
        <f>AK4/AE4*100</f>
        <v>3.2970887407927045</v>
      </c>
      <c r="AM4" s="19">
        <f>AM3/AM2*100</f>
        <v>100</v>
      </c>
      <c r="AN4" s="18">
        <v>43922</v>
      </c>
      <c r="AO4" s="16">
        <v>2856</v>
      </c>
      <c r="AP4" s="16">
        <v>2910</v>
      </c>
      <c r="AQ4" s="16">
        <v>2730</v>
      </c>
      <c r="AR4" s="16">
        <v>2829</v>
      </c>
      <c r="AS4" s="16">
        <v>2829</v>
      </c>
      <c r="AT4" s="16">
        <v>12700</v>
      </c>
      <c r="AU4" s="16">
        <v>-27</v>
      </c>
      <c r="AV4" s="16">
        <f>AU4/AO4*100</f>
        <v>-0.94537815126050417</v>
      </c>
      <c r="AW4" s="19">
        <f>AW3/AW2*100</f>
        <v>60</v>
      </c>
      <c r="AX4" s="18">
        <v>43952</v>
      </c>
      <c r="AY4" s="16">
        <v>2829</v>
      </c>
      <c r="AZ4" s="16">
        <v>3160</v>
      </c>
      <c r="BA4" s="16">
        <v>2802</v>
      </c>
      <c r="BB4" s="16">
        <v>3120</v>
      </c>
      <c r="BC4" s="16">
        <v>3120</v>
      </c>
      <c r="BD4" s="16">
        <v>9000</v>
      </c>
      <c r="BE4" s="16">
        <v>291</v>
      </c>
      <c r="BF4" s="16">
        <f>BE4/AY4*100</f>
        <v>10.286320254506894</v>
      </c>
      <c r="BG4" s="19">
        <f>BG3/BG2*100</f>
        <v>40</v>
      </c>
      <c r="BH4" s="18">
        <v>43983</v>
      </c>
      <c r="BI4" s="16">
        <v>3115</v>
      </c>
      <c r="BJ4" s="16">
        <v>3195</v>
      </c>
      <c r="BK4" s="16">
        <v>2995</v>
      </c>
      <c r="BL4" s="16">
        <v>3070</v>
      </c>
      <c r="BM4" s="16">
        <v>3070</v>
      </c>
      <c r="BN4" s="16">
        <v>14200</v>
      </c>
      <c r="BO4" s="16">
        <v>-45</v>
      </c>
      <c r="BP4" s="16">
        <f>BO4/BI4*100</f>
        <v>-1.4446227929373996</v>
      </c>
      <c r="BQ4" s="19">
        <f>BQ3/BQ2*100</f>
        <v>60</v>
      </c>
      <c r="BR4" s="18">
        <v>44013</v>
      </c>
      <c r="BS4" s="16">
        <v>3040</v>
      </c>
      <c r="BT4" s="16">
        <v>3070</v>
      </c>
      <c r="BU4" s="16">
        <v>2802</v>
      </c>
      <c r="BV4" s="16">
        <v>2860</v>
      </c>
      <c r="BW4" s="16">
        <v>2860</v>
      </c>
      <c r="BX4" s="16">
        <v>17600</v>
      </c>
      <c r="BY4" s="16">
        <v>-180</v>
      </c>
      <c r="BZ4" s="16">
        <f>BY4/BS4*100</f>
        <v>-5.9210526315789469</v>
      </c>
      <c r="CA4" s="19">
        <f>CA3/CA2*100</f>
        <v>0</v>
      </c>
      <c r="CB4" s="18">
        <v>44044</v>
      </c>
      <c r="CC4" s="16">
        <v>2863</v>
      </c>
      <c r="CD4" s="16">
        <v>2980</v>
      </c>
      <c r="CE4" s="16">
        <v>2800</v>
      </c>
      <c r="CF4" s="16">
        <v>2862</v>
      </c>
      <c r="CG4" s="16">
        <v>2862</v>
      </c>
      <c r="CH4" s="16">
        <v>12700</v>
      </c>
      <c r="CI4" s="16">
        <v>-1</v>
      </c>
      <c r="CJ4" s="16">
        <f>CI4/CC4*100</f>
        <v>-3.4928396786587497E-2</v>
      </c>
      <c r="CK4" s="19">
        <f>CK3/CK2*100</f>
        <v>40</v>
      </c>
      <c r="CL4" s="18">
        <v>44075</v>
      </c>
      <c r="CM4" s="16">
        <v>2855</v>
      </c>
      <c r="CN4" s="16">
        <v>2969</v>
      </c>
      <c r="CO4" s="16">
        <v>2832</v>
      </c>
      <c r="CP4" s="16">
        <v>2906</v>
      </c>
      <c r="CQ4" s="16">
        <v>2906</v>
      </c>
      <c r="CR4" s="16">
        <v>12500</v>
      </c>
      <c r="CS4" s="16">
        <v>51</v>
      </c>
      <c r="CT4" s="16">
        <f>CS4/CM4*100</f>
        <v>1.786339754816112</v>
      </c>
      <c r="CU4" s="19">
        <f>CU3/CU2*100</f>
        <v>80</v>
      </c>
      <c r="CV4" s="18">
        <v>44105</v>
      </c>
      <c r="CW4" s="16">
        <v>2943</v>
      </c>
      <c r="CX4" s="16">
        <v>3115</v>
      </c>
      <c r="CY4" s="16">
        <v>2860</v>
      </c>
      <c r="CZ4" s="16">
        <v>3055</v>
      </c>
      <c r="DA4" s="16">
        <v>3055</v>
      </c>
      <c r="DB4" s="16">
        <v>11000</v>
      </c>
      <c r="DC4" s="16">
        <v>112</v>
      </c>
      <c r="DD4" s="16">
        <f>DC4/CW4*100</f>
        <v>3.8056405028882092</v>
      </c>
      <c r="DE4" s="19">
        <f>DE3/DE2*100</f>
        <v>40</v>
      </c>
      <c r="DF4" s="18">
        <v>44136</v>
      </c>
      <c r="DG4" s="16">
        <v>3055</v>
      </c>
      <c r="DH4" s="16">
        <v>3055</v>
      </c>
      <c r="DI4" s="16">
        <v>2909</v>
      </c>
      <c r="DJ4" s="16">
        <v>2943</v>
      </c>
      <c r="DK4" s="16">
        <v>2943</v>
      </c>
      <c r="DL4" s="16">
        <v>12600</v>
      </c>
      <c r="DM4" s="16">
        <v>-112</v>
      </c>
      <c r="DN4" s="16">
        <f>DM4/DG4*100</f>
        <v>-3.6661211129296234</v>
      </c>
      <c r="DO4" s="19">
        <f>DO3/DO2*100</f>
        <v>80</v>
      </c>
      <c r="DP4" s="18">
        <v>44166</v>
      </c>
      <c r="DQ4" s="16">
        <v>2992</v>
      </c>
      <c r="DR4" s="16">
        <v>3050</v>
      </c>
      <c r="DS4" s="16">
        <v>2930</v>
      </c>
      <c r="DT4" s="16">
        <v>3050</v>
      </c>
      <c r="DU4" s="16">
        <v>3050</v>
      </c>
      <c r="DV4" s="16">
        <v>16600</v>
      </c>
      <c r="DW4" s="16">
        <v>58</v>
      </c>
      <c r="DX4" s="16">
        <f>DW4/DQ4*100</f>
        <v>1.9385026737967916</v>
      </c>
      <c r="DY4" s="19">
        <f>DY3/DY2*100</f>
        <v>60</v>
      </c>
    </row>
    <row r="5" spans="1:129">
      <c r="A5" s="17">
        <v>43221</v>
      </c>
      <c r="B5" s="16">
        <v>3375</v>
      </c>
      <c r="C5" s="16">
        <v>3565</v>
      </c>
      <c r="D5" s="16">
        <v>3375</v>
      </c>
      <c r="E5" s="16">
        <v>3560</v>
      </c>
      <c r="F5" s="16">
        <v>3560</v>
      </c>
      <c r="G5" s="16">
        <v>12200</v>
      </c>
      <c r="H5" s="16">
        <f t="shared" si="0"/>
        <v>185</v>
      </c>
      <c r="J5" s="18">
        <v>44565</v>
      </c>
      <c r="K5" s="16">
        <v>3155</v>
      </c>
      <c r="L5" s="16">
        <v>3205</v>
      </c>
      <c r="M5" s="16">
        <v>2950</v>
      </c>
      <c r="N5" s="16">
        <v>3080</v>
      </c>
      <c r="O5" s="16">
        <v>3080</v>
      </c>
      <c r="P5" s="16">
        <v>24800</v>
      </c>
      <c r="Q5" s="16">
        <v>-75</v>
      </c>
      <c r="R5" s="16">
        <f>Q5/K5*100</f>
        <v>-2.3771790808240887</v>
      </c>
      <c r="S5" s="16">
        <f>AVERAGE(R2:R5)</f>
        <v>-2.0358335046366811</v>
      </c>
      <c r="T5" s="18">
        <v>44228</v>
      </c>
      <c r="U5" s="16">
        <v>2946</v>
      </c>
      <c r="V5" s="16">
        <v>3030</v>
      </c>
      <c r="W5" s="16">
        <v>2946</v>
      </c>
      <c r="X5" s="16">
        <v>2994</v>
      </c>
      <c r="Y5" s="16">
        <v>2994</v>
      </c>
      <c r="Z5" s="16">
        <v>9500</v>
      </c>
      <c r="AA5" s="16">
        <v>48</v>
      </c>
      <c r="AB5" s="16">
        <f>AA5/U5*100</f>
        <v>1.6293279022403258</v>
      </c>
      <c r="AC5" s="16">
        <f>AVERAGE(AB2:AB6)</f>
        <v>-2.4071104960698029</v>
      </c>
      <c r="AD5" s="18">
        <v>44256</v>
      </c>
      <c r="AE5" s="16">
        <v>2995</v>
      </c>
      <c r="AF5" s="16">
        <v>3090</v>
      </c>
      <c r="AG5" s="16">
        <v>2974</v>
      </c>
      <c r="AH5" s="16">
        <v>3060</v>
      </c>
      <c r="AI5" s="16">
        <v>3060</v>
      </c>
      <c r="AJ5" s="16">
        <v>11900</v>
      </c>
      <c r="AK5" s="16">
        <v>65</v>
      </c>
      <c r="AL5" s="16">
        <f>AK5/AE5*100</f>
        <v>2.1702838063439067</v>
      </c>
      <c r="AM5" s="16">
        <f>AVERAGE(AL2:AL6)</f>
        <v>2.5961412304119493</v>
      </c>
      <c r="AN5" s="18">
        <v>44287</v>
      </c>
      <c r="AO5" s="16">
        <v>3065</v>
      </c>
      <c r="AP5" s="16">
        <v>3100</v>
      </c>
      <c r="AQ5" s="16">
        <v>3005</v>
      </c>
      <c r="AR5" s="16">
        <v>3090</v>
      </c>
      <c r="AS5" s="16">
        <v>3090</v>
      </c>
      <c r="AT5" s="16">
        <v>8700</v>
      </c>
      <c r="AU5" s="16">
        <v>25</v>
      </c>
      <c r="AV5" s="16">
        <f>AU5/AO5*100</f>
        <v>0.81566068515497547</v>
      </c>
      <c r="AW5" s="16">
        <f>AVERAGE(AV2:AV6)</f>
        <v>0.69009561641068129</v>
      </c>
      <c r="AX5" s="18">
        <v>44322</v>
      </c>
      <c r="AY5" s="16">
        <v>3115</v>
      </c>
      <c r="AZ5" s="16">
        <v>3130</v>
      </c>
      <c r="BA5" s="16">
        <v>3025</v>
      </c>
      <c r="BB5" s="16">
        <v>3070</v>
      </c>
      <c r="BC5" s="16">
        <v>3070</v>
      </c>
      <c r="BD5" s="16">
        <v>6300</v>
      </c>
      <c r="BE5" s="16">
        <v>-45</v>
      </c>
      <c r="BF5" s="16">
        <f>BE5/AY5*100</f>
        <v>-1.4446227929373996</v>
      </c>
      <c r="BG5" s="16">
        <f>AVERAGE(BF2:BF6)</f>
        <v>2.7204139909472458</v>
      </c>
      <c r="BH5" s="18">
        <v>44348</v>
      </c>
      <c r="BI5" s="16">
        <v>3140</v>
      </c>
      <c r="BJ5" s="16">
        <v>3250</v>
      </c>
      <c r="BK5" s="16">
        <v>3075</v>
      </c>
      <c r="BL5" s="16">
        <v>3100</v>
      </c>
      <c r="BM5" s="16">
        <v>3100</v>
      </c>
      <c r="BN5" s="16">
        <v>15200</v>
      </c>
      <c r="BO5" s="16">
        <v>-40</v>
      </c>
      <c r="BP5" s="16">
        <f>BO5/BI5*100</f>
        <v>-1.2738853503184715</v>
      </c>
      <c r="BQ5" s="16">
        <f>AVERAGE(BP2:BP6)</f>
        <v>0.43783117227703716</v>
      </c>
      <c r="BR5" s="18">
        <v>44378</v>
      </c>
      <c r="BS5" s="16">
        <v>3095</v>
      </c>
      <c r="BT5" s="16">
        <v>3195</v>
      </c>
      <c r="BU5" s="16">
        <v>3010</v>
      </c>
      <c r="BV5" s="16">
        <v>3025</v>
      </c>
      <c r="BW5" s="16">
        <v>3025</v>
      </c>
      <c r="BX5" s="16">
        <v>20600</v>
      </c>
      <c r="BY5" s="16">
        <v>-70</v>
      </c>
      <c r="BZ5" s="16">
        <f>BY5/BS5*100</f>
        <v>-2.2617124394184165</v>
      </c>
      <c r="CA5" s="16">
        <f>AVERAGE(BZ2:BZ6)</f>
        <v>-3.4590425656173927</v>
      </c>
      <c r="CB5" s="18">
        <v>44410</v>
      </c>
      <c r="CC5" s="16">
        <v>3030</v>
      </c>
      <c r="CD5" s="16">
        <v>3100</v>
      </c>
      <c r="CE5" s="16">
        <v>3030</v>
      </c>
      <c r="CF5" s="16">
        <v>3095</v>
      </c>
      <c r="CG5" s="16">
        <v>3095</v>
      </c>
      <c r="CH5" s="16">
        <v>12100</v>
      </c>
      <c r="CI5" s="16">
        <v>65</v>
      </c>
      <c r="CJ5" s="16">
        <f>CI5/CC5*100</f>
        <v>2.1452145214521452</v>
      </c>
      <c r="CK5" s="16">
        <f>AVERAGE(CJ2:CJ6)</f>
        <v>0.35436017226062366</v>
      </c>
      <c r="CL5" s="18">
        <v>44440</v>
      </c>
      <c r="CM5" s="16">
        <v>3050</v>
      </c>
      <c r="CN5" s="16">
        <v>3270</v>
      </c>
      <c r="CO5" s="16">
        <v>3045</v>
      </c>
      <c r="CP5" s="16">
        <v>3110</v>
      </c>
      <c r="CQ5" s="16">
        <v>3110</v>
      </c>
      <c r="CR5" s="16">
        <v>34800</v>
      </c>
      <c r="CS5" s="16">
        <v>60</v>
      </c>
      <c r="CT5" s="16">
        <f>CS5/CM5*100</f>
        <v>1.9672131147540985</v>
      </c>
      <c r="CU5" s="16">
        <f>AVERAGE(CT2:CT6)</f>
        <v>1.8171140028528285</v>
      </c>
      <c r="CV5" s="18">
        <v>44470</v>
      </c>
      <c r="CW5" s="16">
        <v>3115</v>
      </c>
      <c r="CX5" s="16">
        <v>3185</v>
      </c>
      <c r="CY5" s="16">
        <v>3090</v>
      </c>
      <c r="CZ5" s="16">
        <v>3170</v>
      </c>
      <c r="DA5" s="16">
        <v>3170</v>
      </c>
      <c r="DB5" s="16">
        <v>9900</v>
      </c>
      <c r="DC5" s="16">
        <v>55</v>
      </c>
      <c r="DD5" s="16">
        <f>DC5/CW5*100</f>
        <v>1.7656500802568218</v>
      </c>
      <c r="DE5" s="16">
        <f>AVERAGE(DD2:DD6)</f>
        <v>-3.8775089621117198E-2</v>
      </c>
      <c r="DF5" s="18">
        <v>44501</v>
      </c>
      <c r="DG5" s="16">
        <v>3170</v>
      </c>
      <c r="DH5" s="16">
        <v>3290</v>
      </c>
      <c r="DI5" s="16">
        <v>3170</v>
      </c>
      <c r="DJ5" s="16">
        <v>3230</v>
      </c>
      <c r="DK5" s="16">
        <v>3230</v>
      </c>
      <c r="DL5" s="16">
        <v>10900</v>
      </c>
      <c r="DM5" s="16">
        <v>60</v>
      </c>
      <c r="DN5" s="16">
        <f>DM5/DG5*100</f>
        <v>1.8927444794952681</v>
      </c>
      <c r="DO5" s="16">
        <f>AVERAGE(DN2:DN6)</f>
        <v>0.31788368945210793</v>
      </c>
      <c r="DP5" s="18">
        <v>44531</v>
      </c>
      <c r="DQ5" s="16">
        <v>3230</v>
      </c>
      <c r="DR5" s="16">
        <v>3260</v>
      </c>
      <c r="DS5" s="16">
        <v>3110</v>
      </c>
      <c r="DT5" s="16">
        <v>3150</v>
      </c>
      <c r="DU5" s="16">
        <v>3150</v>
      </c>
      <c r="DV5" s="16">
        <v>14700</v>
      </c>
      <c r="DW5" s="16">
        <v>-80</v>
      </c>
      <c r="DX5" s="16">
        <f>DW5/DQ5*100</f>
        <v>-2.4767801857585141</v>
      </c>
      <c r="DY5" s="16">
        <f>AVERAGE(DX2:DX6)</f>
        <v>-0.51444508634912189</v>
      </c>
    </row>
    <row r="6" spans="1:129">
      <c r="A6" s="17">
        <v>43252</v>
      </c>
      <c r="B6" s="16">
        <v>3535</v>
      </c>
      <c r="C6" s="16">
        <v>3670</v>
      </c>
      <c r="D6" s="16">
        <v>3520</v>
      </c>
      <c r="E6" s="16">
        <v>3660</v>
      </c>
      <c r="F6" s="16">
        <v>3660</v>
      </c>
      <c r="G6" s="16">
        <v>15700</v>
      </c>
      <c r="H6" s="16">
        <f t="shared" si="0"/>
        <v>125</v>
      </c>
      <c r="S6" s="16">
        <f>MEDIAN(R2:R5)</f>
        <v>-2.4241743839046306</v>
      </c>
      <c r="T6" s="18">
        <v>44593</v>
      </c>
      <c r="U6" s="16">
        <v>3045</v>
      </c>
      <c r="V6" s="16">
        <v>3105</v>
      </c>
      <c r="W6" s="16">
        <v>3000</v>
      </c>
      <c r="X6" s="16">
        <v>3020</v>
      </c>
      <c r="Y6" s="16">
        <v>3020</v>
      </c>
      <c r="Z6" s="16">
        <v>8300</v>
      </c>
      <c r="AA6" s="16">
        <v>-25</v>
      </c>
      <c r="AB6" s="16">
        <f>AA6/U6*100</f>
        <v>-0.82101806239737274</v>
      </c>
      <c r="AC6" s="16">
        <f>MEDIAN(AB2:AB6)</f>
        <v>-0.82101806239737274</v>
      </c>
      <c r="AD6" s="18">
        <v>44621</v>
      </c>
      <c r="AE6" s="16">
        <v>3025</v>
      </c>
      <c r="AF6" s="16">
        <v>3165</v>
      </c>
      <c r="AG6" s="16">
        <v>3000</v>
      </c>
      <c r="AH6" s="16">
        <v>3125</v>
      </c>
      <c r="AI6" s="16">
        <v>3125</v>
      </c>
      <c r="AJ6" s="16">
        <v>14300</v>
      </c>
      <c r="AK6" s="16">
        <v>100</v>
      </c>
      <c r="AL6" s="16">
        <f>AK6/AE6*100</f>
        <v>3.3057851239669422</v>
      </c>
      <c r="AM6" s="16">
        <f>MEDIAN(AL2:AL6)</f>
        <v>2.5875190258751903</v>
      </c>
      <c r="AN6" s="18">
        <v>44652</v>
      </c>
      <c r="AO6" s="16">
        <v>3135</v>
      </c>
      <c r="AP6" s="16">
        <v>3180</v>
      </c>
      <c r="AQ6" s="16">
        <v>3085</v>
      </c>
      <c r="AR6" s="16">
        <v>3170</v>
      </c>
      <c r="AS6" s="16">
        <v>3170</v>
      </c>
      <c r="AT6" s="16">
        <v>8100</v>
      </c>
      <c r="AU6" s="16">
        <v>35</v>
      </c>
      <c r="AV6" s="16">
        <f>AU6/AO6*100</f>
        <v>1.1164274322169059</v>
      </c>
      <c r="AW6" s="16">
        <f>MEDIAN(AV2:AV6)</f>
        <v>0.81566068515497547</v>
      </c>
      <c r="AX6" s="18">
        <v>44683</v>
      </c>
      <c r="AY6" s="16">
        <v>3170</v>
      </c>
      <c r="AZ6" s="16">
        <v>3215</v>
      </c>
      <c r="BA6" s="16">
        <v>3145</v>
      </c>
      <c r="BB6" s="16">
        <v>3165</v>
      </c>
      <c r="BC6" s="16">
        <v>3165</v>
      </c>
      <c r="BD6" s="16">
        <v>8000</v>
      </c>
      <c r="BE6" s="16">
        <v>-5</v>
      </c>
      <c r="BF6" s="16">
        <f>BE6/AY6*100</f>
        <v>-0.15772870662460567</v>
      </c>
      <c r="BG6" s="16">
        <f>MEDIAN(BF2:BF6)</f>
        <v>-0.15772870662460567</v>
      </c>
      <c r="BH6" s="18">
        <v>44713</v>
      </c>
      <c r="BI6" s="16">
        <v>3165</v>
      </c>
      <c r="BJ6" s="16">
        <v>3220</v>
      </c>
      <c r="BK6" s="16">
        <v>3160</v>
      </c>
      <c r="BL6" s="16">
        <v>3195</v>
      </c>
      <c r="BM6" s="16">
        <v>3195</v>
      </c>
      <c r="BN6" s="16">
        <v>12500</v>
      </c>
      <c r="BO6" s="16">
        <v>30</v>
      </c>
      <c r="BP6" s="16">
        <f>BO6/BI6*100</f>
        <v>0.94786729857819907</v>
      </c>
      <c r="BQ6" s="16">
        <f>MEDIAN(BP2:BP6)</f>
        <v>0.42372881355932202</v>
      </c>
      <c r="BR6" s="18">
        <v>44743</v>
      </c>
      <c r="BS6" s="16">
        <v>3195</v>
      </c>
      <c r="BT6" s="16">
        <v>3240</v>
      </c>
      <c r="BU6" s="16">
        <v>3150</v>
      </c>
      <c r="BV6" s="16">
        <v>3150</v>
      </c>
      <c r="BW6" s="16">
        <v>3150</v>
      </c>
      <c r="BX6" s="16">
        <v>20200</v>
      </c>
      <c r="BY6" s="16">
        <v>-45</v>
      </c>
      <c r="BZ6" s="16">
        <f>BY6/BS6*100</f>
        <v>-1.4084507042253522</v>
      </c>
      <c r="CA6" s="16">
        <f>MEDIAN(BZ2:BZ6)</f>
        <v>-2.2617124394184165</v>
      </c>
      <c r="CB6" s="18">
        <v>44774</v>
      </c>
      <c r="CC6" s="16">
        <v>3150</v>
      </c>
      <c r="CD6" s="16">
        <v>3195</v>
      </c>
      <c r="CE6" s="16">
        <v>3130</v>
      </c>
      <c r="CF6" s="16">
        <v>3180</v>
      </c>
      <c r="CG6" s="16">
        <v>3180</v>
      </c>
      <c r="CH6" s="16">
        <v>6600</v>
      </c>
      <c r="CI6" s="16">
        <v>30</v>
      </c>
      <c r="CJ6" s="16">
        <f>CI6/CC6*100</f>
        <v>0.95238095238095244</v>
      </c>
      <c r="CK6" s="16">
        <f>MEDIAN(CJ2:CJ6)</f>
        <v>-3.4928396786587497E-2</v>
      </c>
      <c r="CL6" s="18">
        <v>44805</v>
      </c>
      <c r="CM6" s="16">
        <v>3180</v>
      </c>
      <c r="CN6" s="16">
        <v>3190</v>
      </c>
      <c r="CO6" s="16">
        <v>3150</v>
      </c>
      <c r="CP6" s="16">
        <v>3170</v>
      </c>
      <c r="CQ6" s="16">
        <v>3170</v>
      </c>
      <c r="CR6" s="16">
        <v>10400</v>
      </c>
      <c r="CS6" s="16">
        <v>-10</v>
      </c>
      <c r="CT6" s="16">
        <f>CS6/CM6*100</f>
        <v>-0.31446540880503149</v>
      </c>
      <c r="CU6" s="16">
        <f>MEDIAN(CT2:CT6)</f>
        <v>1.9672131147540985</v>
      </c>
      <c r="CV6" s="18">
        <v>44838</v>
      </c>
      <c r="CW6" s="16">
        <v>3175</v>
      </c>
      <c r="CX6" s="16">
        <v>3200</v>
      </c>
      <c r="CY6" s="16">
        <v>3155</v>
      </c>
      <c r="CZ6" s="16">
        <v>3175</v>
      </c>
      <c r="DA6" s="16">
        <v>3175</v>
      </c>
      <c r="DB6" s="16">
        <v>7100</v>
      </c>
      <c r="DC6" s="16">
        <v>0</v>
      </c>
      <c r="DD6" s="16">
        <f>DC6/CW6*100</f>
        <v>0</v>
      </c>
      <c r="DE6" s="16">
        <f>MEDIAN(DD2:DD6)</f>
        <v>0</v>
      </c>
      <c r="DF6" s="18">
        <v>44866</v>
      </c>
      <c r="DG6" s="16">
        <v>3200</v>
      </c>
      <c r="DH6" s="16">
        <v>3220</v>
      </c>
      <c r="DI6" s="16">
        <v>3180</v>
      </c>
      <c r="DJ6" s="16">
        <v>3220</v>
      </c>
      <c r="DK6" s="16">
        <v>3220</v>
      </c>
      <c r="DL6" s="16">
        <v>8600</v>
      </c>
      <c r="DM6" s="16">
        <v>20</v>
      </c>
      <c r="DN6" s="16">
        <f>DM6/DG6*100</f>
        <v>0.625</v>
      </c>
      <c r="DO6" s="16">
        <f>MEDIAN(DN2:DN6)</f>
        <v>0.7320644216691069</v>
      </c>
      <c r="DP6" s="18">
        <v>44897</v>
      </c>
      <c r="DQ6" s="16">
        <v>3220</v>
      </c>
      <c r="DR6" s="16">
        <v>3240</v>
      </c>
      <c r="DS6" s="16">
        <v>3190</v>
      </c>
      <c r="DT6" s="16">
        <v>3225</v>
      </c>
      <c r="DU6" s="16">
        <v>3225</v>
      </c>
      <c r="DV6" s="16">
        <v>8700</v>
      </c>
      <c r="DW6" s="16">
        <v>5</v>
      </c>
      <c r="DX6" s="16">
        <f>DW6/DQ6*100</f>
        <v>0.15527950310559005</v>
      </c>
      <c r="DY6" s="16">
        <f>MEDIAN(DX2:DX6)</f>
        <v>0.15527950310559005</v>
      </c>
    </row>
    <row r="7" spans="1:129">
      <c r="A7" s="17">
        <v>43282</v>
      </c>
      <c r="B7" s="16">
        <v>3660</v>
      </c>
      <c r="C7" s="16">
        <v>3660</v>
      </c>
      <c r="D7" s="16">
        <v>3420</v>
      </c>
      <c r="E7" s="16">
        <v>3450</v>
      </c>
      <c r="F7" s="16">
        <v>3450</v>
      </c>
      <c r="G7" s="16">
        <v>32500</v>
      </c>
      <c r="H7" s="16">
        <f t="shared" si="0"/>
        <v>-210</v>
      </c>
    </row>
    <row r="8" spans="1:129">
      <c r="A8" s="17">
        <v>43313</v>
      </c>
      <c r="B8" s="16">
        <v>3455</v>
      </c>
      <c r="C8" s="16">
        <v>3460</v>
      </c>
      <c r="D8" s="16">
        <v>3405</v>
      </c>
      <c r="E8" s="16">
        <v>3445</v>
      </c>
      <c r="F8" s="16">
        <v>3445</v>
      </c>
      <c r="G8" s="16">
        <v>8800</v>
      </c>
      <c r="H8" s="16">
        <f t="shared" si="0"/>
        <v>-10</v>
      </c>
    </row>
    <row r="9" spans="1:129">
      <c r="A9" s="17">
        <v>43344</v>
      </c>
      <c r="B9" s="16">
        <v>3430</v>
      </c>
      <c r="C9" s="16">
        <v>3535</v>
      </c>
      <c r="D9" s="16">
        <v>3430</v>
      </c>
      <c r="E9" s="16">
        <v>3510</v>
      </c>
      <c r="F9" s="16">
        <v>3510</v>
      </c>
      <c r="G9" s="16">
        <v>13900</v>
      </c>
      <c r="H9" s="16">
        <f t="shared" si="0"/>
        <v>80</v>
      </c>
    </row>
    <row r="10" spans="1:129">
      <c r="A10" s="17">
        <v>43374</v>
      </c>
      <c r="B10" s="16">
        <v>3565</v>
      </c>
      <c r="C10" s="16">
        <v>3590</v>
      </c>
      <c r="D10" s="16">
        <v>3485</v>
      </c>
      <c r="E10" s="16">
        <v>3485</v>
      </c>
      <c r="F10" s="16">
        <v>3485</v>
      </c>
      <c r="G10" s="16">
        <v>13200</v>
      </c>
      <c r="H10" s="16">
        <f t="shared" si="0"/>
        <v>-80</v>
      </c>
    </row>
    <row r="11" spans="1:129">
      <c r="A11" s="17">
        <v>43405</v>
      </c>
      <c r="B11" s="16">
        <v>3490</v>
      </c>
      <c r="C11" s="16">
        <v>3605</v>
      </c>
      <c r="D11" s="16">
        <v>3480</v>
      </c>
      <c r="E11" s="16">
        <v>3560</v>
      </c>
      <c r="F11" s="16">
        <v>3560</v>
      </c>
      <c r="G11" s="16">
        <v>9700</v>
      </c>
      <c r="H11" s="16">
        <f t="shared" si="0"/>
        <v>70</v>
      </c>
    </row>
    <row r="12" spans="1:129">
      <c r="A12" s="17">
        <v>43435</v>
      </c>
      <c r="B12" s="16">
        <v>3555</v>
      </c>
      <c r="C12" s="16">
        <v>3580</v>
      </c>
      <c r="D12" s="16">
        <v>3300</v>
      </c>
      <c r="E12" s="16">
        <v>3410</v>
      </c>
      <c r="F12" s="16">
        <v>3410</v>
      </c>
      <c r="G12" s="16">
        <v>17200</v>
      </c>
      <c r="H12" s="16">
        <f t="shared" si="0"/>
        <v>-145</v>
      </c>
    </row>
    <row r="13" spans="1:129">
      <c r="A13" s="17">
        <v>43466</v>
      </c>
      <c r="B13" s="16">
        <v>3390</v>
      </c>
      <c r="C13" s="16">
        <v>3550</v>
      </c>
      <c r="D13" s="16">
        <v>3310</v>
      </c>
      <c r="E13" s="16">
        <v>3380</v>
      </c>
      <c r="F13" s="16">
        <v>3380</v>
      </c>
      <c r="G13" s="16">
        <v>24000</v>
      </c>
      <c r="H13" s="16">
        <f t="shared" si="0"/>
        <v>-10</v>
      </c>
    </row>
    <row r="14" spans="1:129">
      <c r="A14" s="17">
        <v>43497</v>
      </c>
      <c r="B14" s="16">
        <v>3370</v>
      </c>
      <c r="C14" s="16">
        <v>3425</v>
      </c>
      <c r="D14" s="16">
        <v>3365</v>
      </c>
      <c r="E14" s="16">
        <v>3395</v>
      </c>
      <c r="F14" s="16">
        <v>3395</v>
      </c>
      <c r="G14" s="16">
        <v>7600</v>
      </c>
      <c r="H14" s="16">
        <f t="shared" si="0"/>
        <v>25</v>
      </c>
    </row>
    <row r="15" spans="1:129">
      <c r="A15" s="17">
        <v>43525</v>
      </c>
      <c r="B15" s="16">
        <v>3395</v>
      </c>
      <c r="C15" s="16">
        <v>3450</v>
      </c>
      <c r="D15" s="16">
        <v>3350</v>
      </c>
      <c r="E15" s="16">
        <v>3450</v>
      </c>
      <c r="F15" s="16">
        <v>3450</v>
      </c>
      <c r="G15" s="16">
        <v>12900</v>
      </c>
      <c r="H15" s="16">
        <f t="shared" si="0"/>
        <v>55</v>
      </c>
    </row>
    <row r="16" spans="1:129">
      <c r="A16" s="17">
        <v>43556</v>
      </c>
      <c r="B16" s="16">
        <v>3450</v>
      </c>
      <c r="C16" s="16">
        <v>3550</v>
      </c>
      <c r="D16" s="16">
        <v>3430</v>
      </c>
      <c r="E16" s="16">
        <v>3535</v>
      </c>
      <c r="F16" s="16">
        <v>3535</v>
      </c>
      <c r="G16" s="16">
        <v>11200</v>
      </c>
      <c r="H16" s="16">
        <f t="shared" si="0"/>
        <v>85</v>
      </c>
    </row>
    <row r="17" spans="1:8">
      <c r="A17" s="17">
        <v>43586</v>
      </c>
      <c r="B17" s="16">
        <v>3550</v>
      </c>
      <c r="C17" s="16">
        <v>3580</v>
      </c>
      <c r="D17" s="16">
        <v>3495</v>
      </c>
      <c r="E17" s="16">
        <v>3530</v>
      </c>
      <c r="F17" s="16">
        <v>3530</v>
      </c>
      <c r="G17" s="16">
        <v>10300</v>
      </c>
      <c r="H17" s="16">
        <f t="shared" si="0"/>
        <v>-20</v>
      </c>
    </row>
    <row r="18" spans="1:8">
      <c r="A18" s="17">
        <v>43617</v>
      </c>
      <c r="B18" s="16">
        <v>3540</v>
      </c>
      <c r="C18" s="16">
        <v>3600</v>
      </c>
      <c r="D18" s="16">
        <v>3505</v>
      </c>
      <c r="E18" s="16">
        <v>3555</v>
      </c>
      <c r="F18" s="16">
        <v>3555</v>
      </c>
      <c r="G18" s="16">
        <v>15200</v>
      </c>
      <c r="H18" s="16">
        <f t="shared" si="0"/>
        <v>15</v>
      </c>
    </row>
    <row r="19" spans="1:8">
      <c r="A19" s="17">
        <v>43647</v>
      </c>
      <c r="B19" s="16">
        <v>3560</v>
      </c>
      <c r="C19" s="16">
        <v>3610</v>
      </c>
      <c r="D19" s="16">
        <v>3435</v>
      </c>
      <c r="E19" s="16">
        <v>3490</v>
      </c>
      <c r="F19" s="16">
        <v>3490</v>
      </c>
      <c r="G19" s="16">
        <v>28900</v>
      </c>
      <c r="H19" s="16">
        <f t="shared" si="0"/>
        <v>-70</v>
      </c>
    </row>
    <row r="20" spans="1:8">
      <c r="A20" s="17">
        <v>43678</v>
      </c>
      <c r="B20" s="16">
        <v>3495</v>
      </c>
      <c r="C20" s="16">
        <v>3525</v>
      </c>
      <c r="D20" s="16">
        <v>3450</v>
      </c>
      <c r="E20" s="16">
        <v>3460</v>
      </c>
      <c r="F20" s="16">
        <v>3460</v>
      </c>
      <c r="G20" s="16">
        <v>8800</v>
      </c>
      <c r="H20" s="16">
        <f t="shared" si="0"/>
        <v>-35</v>
      </c>
    </row>
    <row r="21" spans="1:8">
      <c r="A21" s="17">
        <v>43709</v>
      </c>
      <c r="B21" s="16">
        <v>3470</v>
      </c>
      <c r="C21" s="16">
        <v>3670</v>
      </c>
      <c r="D21" s="16">
        <v>3470</v>
      </c>
      <c r="E21" s="16">
        <v>3585</v>
      </c>
      <c r="F21" s="16">
        <v>3585</v>
      </c>
      <c r="G21" s="16">
        <v>14800</v>
      </c>
      <c r="H21" s="16">
        <f t="shared" si="0"/>
        <v>115</v>
      </c>
    </row>
    <row r="22" spans="1:8">
      <c r="A22" s="17">
        <v>43739</v>
      </c>
      <c r="B22" s="16">
        <v>3550</v>
      </c>
      <c r="C22" s="16">
        <v>3585</v>
      </c>
      <c r="D22" s="16">
        <v>3335</v>
      </c>
      <c r="E22" s="16">
        <v>3425</v>
      </c>
      <c r="F22" s="16">
        <v>3425</v>
      </c>
      <c r="G22" s="16">
        <v>48400</v>
      </c>
      <c r="H22" s="16">
        <f t="shared" si="0"/>
        <v>-125</v>
      </c>
    </row>
    <row r="23" spans="1:8">
      <c r="A23" s="17">
        <v>43770</v>
      </c>
      <c r="B23" s="16">
        <v>3415</v>
      </c>
      <c r="C23" s="16">
        <v>3470</v>
      </c>
      <c r="D23" s="16">
        <v>3405</v>
      </c>
      <c r="E23" s="16">
        <v>3440</v>
      </c>
      <c r="F23" s="16">
        <v>3440</v>
      </c>
      <c r="G23" s="16">
        <v>19500</v>
      </c>
      <c r="H23" s="16">
        <f t="shared" si="0"/>
        <v>25</v>
      </c>
    </row>
    <row r="24" spans="1:8">
      <c r="A24" s="17">
        <v>43800</v>
      </c>
      <c r="B24" s="16">
        <v>3440</v>
      </c>
      <c r="C24" s="16">
        <v>3565</v>
      </c>
      <c r="D24" s="16">
        <v>3440</v>
      </c>
      <c r="E24" s="16">
        <v>3505</v>
      </c>
      <c r="F24" s="16">
        <v>3505</v>
      </c>
      <c r="G24" s="16">
        <v>41100</v>
      </c>
      <c r="H24" s="16">
        <f t="shared" si="0"/>
        <v>65</v>
      </c>
    </row>
    <row r="25" spans="1:8">
      <c r="A25" s="17">
        <v>43831</v>
      </c>
      <c r="B25" s="16">
        <v>3500</v>
      </c>
      <c r="C25" s="16">
        <v>3515</v>
      </c>
      <c r="D25" s="16">
        <v>3360</v>
      </c>
      <c r="E25" s="16">
        <v>3395</v>
      </c>
      <c r="F25" s="16">
        <v>3395</v>
      </c>
      <c r="G25" s="16">
        <v>37000</v>
      </c>
      <c r="H25" s="16">
        <f t="shared" si="0"/>
        <v>-105</v>
      </c>
    </row>
    <row r="26" spans="1:8">
      <c r="A26" s="17">
        <v>43862</v>
      </c>
      <c r="B26" s="16">
        <v>3355</v>
      </c>
      <c r="C26" s="16">
        <v>3400</v>
      </c>
      <c r="D26" s="16">
        <v>2870</v>
      </c>
      <c r="E26" s="16">
        <v>2935</v>
      </c>
      <c r="F26" s="16">
        <v>2935</v>
      </c>
      <c r="G26" s="16">
        <v>28800</v>
      </c>
      <c r="H26" s="16">
        <f t="shared" si="0"/>
        <v>-420</v>
      </c>
    </row>
    <row r="27" spans="1:8">
      <c r="A27" s="17">
        <v>43891</v>
      </c>
      <c r="B27" s="16">
        <v>2851</v>
      </c>
      <c r="C27" s="16">
        <v>3200</v>
      </c>
      <c r="D27" s="16">
        <v>2540</v>
      </c>
      <c r="E27" s="16">
        <v>2945</v>
      </c>
      <c r="F27" s="16">
        <v>2945</v>
      </c>
      <c r="G27" s="16">
        <v>38000</v>
      </c>
      <c r="H27" s="16">
        <f t="shared" si="0"/>
        <v>94</v>
      </c>
    </row>
    <row r="28" spans="1:8">
      <c r="A28" s="17">
        <v>43922</v>
      </c>
      <c r="B28" s="16">
        <v>2856</v>
      </c>
      <c r="C28" s="16">
        <v>2910</v>
      </c>
      <c r="D28" s="16">
        <v>2730</v>
      </c>
      <c r="E28" s="16">
        <v>2829</v>
      </c>
      <c r="F28" s="16">
        <v>2829</v>
      </c>
      <c r="G28" s="16">
        <v>12700</v>
      </c>
      <c r="H28" s="16">
        <f t="shared" si="0"/>
        <v>-27</v>
      </c>
    </row>
    <row r="29" spans="1:8">
      <c r="A29" s="17">
        <v>43952</v>
      </c>
      <c r="B29" s="16">
        <v>2829</v>
      </c>
      <c r="C29" s="16">
        <v>3160</v>
      </c>
      <c r="D29" s="16">
        <v>2802</v>
      </c>
      <c r="E29" s="16">
        <v>3120</v>
      </c>
      <c r="F29" s="16">
        <v>3120</v>
      </c>
      <c r="G29" s="16">
        <v>9000</v>
      </c>
      <c r="H29" s="16">
        <f t="shared" si="0"/>
        <v>291</v>
      </c>
    </row>
    <row r="30" spans="1:8">
      <c r="A30" s="17">
        <v>43983</v>
      </c>
      <c r="B30" s="16">
        <v>3115</v>
      </c>
      <c r="C30" s="16">
        <v>3195</v>
      </c>
      <c r="D30" s="16">
        <v>2995</v>
      </c>
      <c r="E30" s="16">
        <v>3070</v>
      </c>
      <c r="F30" s="16">
        <v>3070</v>
      </c>
      <c r="G30" s="16">
        <v>14200</v>
      </c>
      <c r="H30" s="16">
        <f t="shared" si="0"/>
        <v>-45</v>
      </c>
    </row>
    <row r="31" spans="1:8">
      <c r="A31" s="17">
        <v>44013</v>
      </c>
      <c r="B31" s="16">
        <v>3040</v>
      </c>
      <c r="C31" s="16">
        <v>3070</v>
      </c>
      <c r="D31" s="16">
        <v>2802</v>
      </c>
      <c r="E31" s="16">
        <v>2860</v>
      </c>
      <c r="F31" s="16">
        <v>2860</v>
      </c>
      <c r="G31" s="16">
        <v>17600</v>
      </c>
      <c r="H31" s="16">
        <f t="shared" si="0"/>
        <v>-180</v>
      </c>
    </row>
    <row r="32" spans="1:8">
      <c r="A32" s="17">
        <v>44044</v>
      </c>
      <c r="B32" s="16">
        <v>2863</v>
      </c>
      <c r="C32" s="16">
        <v>2980</v>
      </c>
      <c r="D32" s="16">
        <v>2800</v>
      </c>
      <c r="E32" s="16">
        <v>2862</v>
      </c>
      <c r="F32" s="16">
        <v>2862</v>
      </c>
      <c r="G32" s="16">
        <v>12700</v>
      </c>
      <c r="H32" s="16">
        <f t="shared" si="0"/>
        <v>-1</v>
      </c>
    </row>
    <row r="33" spans="1:8">
      <c r="A33" s="17">
        <v>44075</v>
      </c>
      <c r="B33" s="16">
        <v>2855</v>
      </c>
      <c r="C33" s="16">
        <v>2969</v>
      </c>
      <c r="D33" s="16">
        <v>2832</v>
      </c>
      <c r="E33" s="16">
        <v>2906</v>
      </c>
      <c r="F33" s="16">
        <v>2906</v>
      </c>
      <c r="G33" s="16">
        <v>12500</v>
      </c>
      <c r="H33" s="16">
        <f t="shared" si="0"/>
        <v>51</v>
      </c>
    </row>
    <row r="34" spans="1:8">
      <c r="A34" s="17">
        <v>44105</v>
      </c>
      <c r="B34" s="16">
        <v>2943</v>
      </c>
      <c r="C34" s="16">
        <v>3115</v>
      </c>
      <c r="D34" s="16">
        <v>2860</v>
      </c>
      <c r="E34" s="16">
        <v>3055</v>
      </c>
      <c r="F34" s="16">
        <v>3055</v>
      </c>
      <c r="G34" s="16">
        <v>11000</v>
      </c>
      <c r="H34" s="16">
        <f t="shared" ref="H34:H60" si="1">E34-B34</f>
        <v>112</v>
      </c>
    </row>
    <row r="35" spans="1:8">
      <c r="A35" s="17">
        <v>44136</v>
      </c>
      <c r="B35" s="16">
        <v>3055</v>
      </c>
      <c r="C35" s="16">
        <v>3055</v>
      </c>
      <c r="D35" s="16">
        <v>2909</v>
      </c>
      <c r="E35" s="16">
        <v>2943</v>
      </c>
      <c r="F35" s="16">
        <v>2943</v>
      </c>
      <c r="G35" s="16">
        <v>12600</v>
      </c>
      <c r="H35" s="16">
        <f t="shared" si="1"/>
        <v>-112</v>
      </c>
    </row>
    <row r="36" spans="1:8">
      <c r="A36" s="17">
        <v>44166</v>
      </c>
      <c r="B36" s="16">
        <v>2992</v>
      </c>
      <c r="C36" s="16">
        <v>3050</v>
      </c>
      <c r="D36" s="16">
        <v>2930</v>
      </c>
      <c r="E36" s="16">
        <v>3050</v>
      </c>
      <c r="F36" s="16">
        <v>3050</v>
      </c>
      <c r="G36" s="16">
        <v>16600</v>
      </c>
      <c r="H36" s="16">
        <f t="shared" si="1"/>
        <v>58</v>
      </c>
    </row>
    <row r="37" spans="1:8">
      <c r="A37" s="17">
        <v>44200</v>
      </c>
      <c r="B37" s="16">
        <v>3035</v>
      </c>
      <c r="C37" s="16">
        <v>3130</v>
      </c>
      <c r="D37" s="16">
        <v>2920</v>
      </c>
      <c r="E37" s="16">
        <v>2960</v>
      </c>
      <c r="F37" s="16">
        <v>2960</v>
      </c>
      <c r="G37" s="16">
        <v>21700</v>
      </c>
      <c r="H37" s="16">
        <f t="shared" si="1"/>
        <v>-75</v>
      </c>
    </row>
    <row r="38" spans="1:8">
      <c r="A38" s="17">
        <v>44228</v>
      </c>
      <c r="B38" s="16">
        <v>2946</v>
      </c>
      <c r="C38" s="16">
        <v>3030</v>
      </c>
      <c r="D38" s="16">
        <v>2946</v>
      </c>
      <c r="E38" s="16">
        <v>2994</v>
      </c>
      <c r="F38" s="16">
        <v>2994</v>
      </c>
      <c r="G38" s="16">
        <v>9500</v>
      </c>
      <c r="H38" s="16">
        <f t="shared" si="1"/>
        <v>48</v>
      </c>
    </row>
    <row r="39" spans="1:8">
      <c r="A39" s="17">
        <v>44256</v>
      </c>
      <c r="B39" s="16">
        <v>2995</v>
      </c>
      <c r="C39" s="16">
        <v>3090</v>
      </c>
      <c r="D39" s="16">
        <v>2974</v>
      </c>
      <c r="E39" s="16">
        <v>3060</v>
      </c>
      <c r="F39" s="16">
        <v>3060</v>
      </c>
      <c r="G39" s="16">
        <v>11900</v>
      </c>
      <c r="H39" s="16">
        <f t="shared" si="1"/>
        <v>65</v>
      </c>
    </row>
    <row r="40" spans="1:8">
      <c r="A40" s="17">
        <v>44287</v>
      </c>
      <c r="B40" s="16">
        <v>3065</v>
      </c>
      <c r="C40" s="16">
        <v>3100</v>
      </c>
      <c r="D40" s="16">
        <v>3005</v>
      </c>
      <c r="E40" s="16">
        <v>3090</v>
      </c>
      <c r="F40" s="16">
        <v>3090</v>
      </c>
      <c r="G40" s="16">
        <v>8700</v>
      </c>
      <c r="H40" s="16">
        <f t="shared" si="1"/>
        <v>25</v>
      </c>
    </row>
    <row r="41" spans="1:8">
      <c r="A41" s="17">
        <v>44322</v>
      </c>
      <c r="B41" s="16">
        <v>3115</v>
      </c>
      <c r="C41" s="16">
        <v>3130</v>
      </c>
      <c r="D41" s="16">
        <v>3025</v>
      </c>
      <c r="E41" s="16">
        <v>3070</v>
      </c>
      <c r="F41" s="16">
        <v>3070</v>
      </c>
      <c r="G41" s="16">
        <v>6300</v>
      </c>
      <c r="H41" s="16">
        <f t="shared" si="1"/>
        <v>-45</v>
      </c>
    </row>
    <row r="42" spans="1:8">
      <c r="A42" s="17">
        <v>44348</v>
      </c>
      <c r="B42" s="16">
        <v>3140</v>
      </c>
      <c r="C42" s="16">
        <v>3250</v>
      </c>
      <c r="D42" s="16">
        <v>3075</v>
      </c>
      <c r="E42" s="16">
        <v>3100</v>
      </c>
      <c r="F42" s="16">
        <v>3100</v>
      </c>
      <c r="G42" s="16">
        <v>15200</v>
      </c>
      <c r="H42" s="16">
        <f t="shared" si="1"/>
        <v>-40</v>
      </c>
    </row>
    <row r="43" spans="1:8">
      <c r="A43" s="17">
        <v>44378</v>
      </c>
      <c r="B43" s="16">
        <v>3095</v>
      </c>
      <c r="C43" s="16">
        <v>3195</v>
      </c>
      <c r="D43" s="16">
        <v>3010</v>
      </c>
      <c r="E43" s="16">
        <v>3025</v>
      </c>
      <c r="F43" s="16">
        <v>3025</v>
      </c>
      <c r="G43" s="16">
        <v>20600</v>
      </c>
      <c r="H43" s="16">
        <f t="shared" si="1"/>
        <v>-70</v>
      </c>
    </row>
    <row r="44" spans="1:8">
      <c r="A44" s="17">
        <v>44410</v>
      </c>
      <c r="B44" s="16">
        <v>3030</v>
      </c>
      <c r="C44" s="16">
        <v>3100</v>
      </c>
      <c r="D44" s="16">
        <v>3030</v>
      </c>
      <c r="E44" s="16">
        <v>3095</v>
      </c>
      <c r="F44" s="16">
        <v>3095</v>
      </c>
      <c r="G44" s="16">
        <v>12100</v>
      </c>
      <c r="H44" s="16">
        <f t="shared" si="1"/>
        <v>65</v>
      </c>
    </row>
    <row r="45" spans="1:8">
      <c r="A45" s="17">
        <v>44440</v>
      </c>
      <c r="B45" s="16">
        <v>3050</v>
      </c>
      <c r="C45" s="16">
        <v>3270</v>
      </c>
      <c r="D45" s="16">
        <v>3045</v>
      </c>
      <c r="E45" s="16">
        <v>3110</v>
      </c>
      <c r="F45" s="16">
        <v>3110</v>
      </c>
      <c r="G45" s="16">
        <v>34800</v>
      </c>
      <c r="H45" s="16">
        <f t="shared" si="1"/>
        <v>60</v>
      </c>
    </row>
    <row r="46" spans="1:8">
      <c r="A46" s="17">
        <v>44470</v>
      </c>
      <c r="B46" s="16">
        <v>3115</v>
      </c>
      <c r="C46" s="16">
        <v>3185</v>
      </c>
      <c r="D46" s="16">
        <v>3090</v>
      </c>
      <c r="E46" s="16">
        <v>3170</v>
      </c>
      <c r="F46" s="16">
        <v>3170</v>
      </c>
      <c r="G46" s="16">
        <v>9900</v>
      </c>
      <c r="H46" s="16">
        <f t="shared" si="1"/>
        <v>55</v>
      </c>
    </row>
    <row r="47" spans="1:8">
      <c r="A47" s="17">
        <v>44501</v>
      </c>
      <c r="B47" s="16">
        <v>3170</v>
      </c>
      <c r="C47" s="16">
        <v>3290</v>
      </c>
      <c r="D47" s="16">
        <v>3170</v>
      </c>
      <c r="E47" s="16">
        <v>3230</v>
      </c>
      <c r="F47" s="16">
        <v>3230</v>
      </c>
      <c r="G47" s="16">
        <v>10900</v>
      </c>
      <c r="H47" s="16">
        <f t="shared" si="1"/>
        <v>60</v>
      </c>
    </row>
    <row r="48" spans="1:8">
      <c r="A48" s="17">
        <v>44531</v>
      </c>
      <c r="B48" s="16">
        <v>3230</v>
      </c>
      <c r="C48" s="16">
        <v>3260</v>
      </c>
      <c r="D48" s="16">
        <v>3110</v>
      </c>
      <c r="E48" s="16">
        <v>3150</v>
      </c>
      <c r="F48" s="16">
        <v>3150</v>
      </c>
      <c r="G48" s="16">
        <v>14700</v>
      </c>
      <c r="H48" s="16">
        <f t="shared" si="1"/>
        <v>-80</v>
      </c>
    </row>
    <row r="49" spans="1:8">
      <c r="A49" s="17">
        <v>44565</v>
      </c>
      <c r="B49" s="16">
        <v>3155</v>
      </c>
      <c r="C49" s="16">
        <v>3205</v>
      </c>
      <c r="D49" s="16">
        <v>2950</v>
      </c>
      <c r="E49" s="16">
        <v>3080</v>
      </c>
      <c r="F49" s="16">
        <v>3080</v>
      </c>
      <c r="G49" s="16">
        <v>24800</v>
      </c>
      <c r="H49" s="16">
        <f t="shared" si="1"/>
        <v>-75</v>
      </c>
    </row>
    <row r="50" spans="1:8">
      <c r="A50" s="17">
        <v>44593</v>
      </c>
      <c r="B50" s="16">
        <v>3045</v>
      </c>
      <c r="C50" s="16">
        <v>3105</v>
      </c>
      <c r="D50" s="16">
        <v>3000</v>
      </c>
      <c r="E50" s="16">
        <v>3020</v>
      </c>
      <c r="F50" s="16">
        <v>3020</v>
      </c>
      <c r="G50" s="16">
        <v>8300</v>
      </c>
      <c r="H50" s="16">
        <f t="shared" si="1"/>
        <v>-25</v>
      </c>
    </row>
    <row r="51" spans="1:8">
      <c r="A51" s="17">
        <v>44621</v>
      </c>
      <c r="B51" s="16">
        <v>3025</v>
      </c>
      <c r="C51" s="16">
        <v>3165</v>
      </c>
      <c r="D51" s="16">
        <v>3000</v>
      </c>
      <c r="E51" s="16">
        <v>3125</v>
      </c>
      <c r="F51" s="16">
        <v>3125</v>
      </c>
      <c r="G51" s="16">
        <v>14300</v>
      </c>
      <c r="H51" s="16">
        <f t="shared" si="1"/>
        <v>100</v>
      </c>
    </row>
    <row r="52" spans="1:8">
      <c r="A52" s="17">
        <v>44652</v>
      </c>
      <c r="B52" s="16">
        <v>3135</v>
      </c>
      <c r="C52" s="16">
        <v>3180</v>
      </c>
      <c r="D52" s="16">
        <v>3085</v>
      </c>
      <c r="E52" s="16">
        <v>3170</v>
      </c>
      <c r="F52" s="16">
        <v>3170</v>
      </c>
      <c r="G52" s="16">
        <v>8100</v>
      </c>
      <c r="H52" s="16">
        <f t="shared" si="1"/>
        <v>35</v>
      </c>
    </row>
    <row r="53" spans="1:8">
      <c r="A53" s="17">
        <v>44683</v>
      </c>
      <c r="B53" s="16">
        <v>3170</v>
      </c>
      <c r="C53" s="16">
        <v>3215</v>
      </c>
      <c r="D53" s="16">
        <v>3145</v>
      </c>
      <c r="E53" s="16">
        <v>3165</v>
      </c>
      <c r="F53" s="16">
        <v>3165</v>
      </c>
      <c r="G53" s="16">
        <v>8000</v>
      </c>
      <c r="H53" s="16">
        <f t="shared" si="1"/>
        <v>-5</v>
      </c>
    </row>
    <row r="54" spans="1:8">
      <c r="A54" s="17">
        <v>44713</v>
      </c>
      <c r="B54" s="16">
        <v>3165</v>
      </c>
      <c r="C54" s="16">
        <v>3220</v>
      </c>
      <c r="D54" s="16">
        <v>3160</v>
      </c>
      <c r="E54" s="16">
        <v>3195</v>
      </c>
      <c r="F54" s="16">
        <v>3195</v>
      </c>
      <c r="G54" s="16">
        <v>12500</v>
      </c>
      <c r="H54" s="16">
        <f t="shared" si="1"/>
        <v>30</v>
      </c>
    </row>
    <row r="55" spans="1:8">
      <c r="A55" s="17">
        <v>44743</v>
      </c>
      <c r="B55" s="16">
        <v>3195</v>
      </c>
      <c r="C55" s="16">
        <v>3240</v>
      </c>
      <c r="D55" s="16">
        <v>3150</v>
      </c>
      <c r="E55" s="16">
        <v>3150</v>
      </c>
      <c r="F55" s="16">
        <v>3150</v>
      </c>
      <c r="G55" s="16">
        <v>20200</v>
      </c>
      <c r="H55" s="16">
        <f t="shared" si="1"/>
        <v>-45</v>
      </c>
    </row>
    <row r="56" spans="1:8">
      <c r="A56" s="17">
        <v>44774</v>
      </c>
      <c r="B56" s="16">
        <v>3150</v>
      </c>
      <c r="C56" s="16">
        <v>3195</v>
      </c>
      <c r="D56" s="16">
        <v>3130</v>
      </c>
      <c r="E56" s="16">
        <v>3180</v>
      </c>
      <c r="F56" s="16">
        <v>3180</v>
      </c>
      <c r="G56" s="16">
        <v>6600</v>
      </c>
      <c r="H56" s="16">
        <f t="shared" si="1"/>
        <v>30</v>
      </c>
    </row>
    <row r="57" spans="1:8">
      <c r="A57" s="17">
        <v>44805</v>
      </c>
      <c r="B57" s="16">
        <v>3180</v>
      </c>
      <c r="C57" s="16">
        <v>3190</v>
      </c>
      <c r="D57" s="16">
        <v>3150</v>
      </c>
      <c r="E57" s="16">
        <v>3170</v>
      </c>
      <c r="F57" s="16">
        <v>3170</v>
      </c>
      <c r="G57" s="16">
        <v>10400</v>
      </c>
      <c r="H57" s="16">
        <f t="shared" si="1"/>
        <v>-10</v>
      </c>
    </row>
    <row r="58" spans="1:8">
      <c r="A58" s="17">
        <v>44838</v>
      </c>
      <c r="B58" s="16">
        <v>3175</v>
      </c>
      <c r="C58" s="16">
        <v>3200</v>
      </c>
      <c r="D58" s="16">
        <v>3155</v>
      </c>
      <c r="E58" s="16">
        <v>3175</v>
      </c>
      <c r="F58" s="16">
        <v>3175</v>
      </c>
      <c r="G58" s="16">
        <v>7100</v>
      </c>
      <c r="H58" s="16">
        <f t="shared" si="1"/>
        <v>0</v>
      </c>
    </row>
    <row r="59" spans="1:8">
      <c r="A59" s="17">
        <v>44866</v>
      </c>
      <c r="B59" s="16">
        <v>3200</v>
      </c>
      <c r="C59" s="16">
        <v>3220</v>
      </c>
      <c r="D59" s="16">
        <v>3180</v>
      </c>
      <c r="E59" s="16">
        <v>3220</v>
      </c>
      <c r="F59" s="16">
        <v>3220</v>
      </c>
      <c r="G59" s="16">
        <v>8600</v>
      </c>
      <c r="H59" s="16">
        <f t="shared" si="1"/>
        <v>20</v>
      </c>
    </row>
    <row r="60" spans="1:8">
      <c r="A60" s="17">
        <v>44897</v>
      </c>
      <c r="B60" s="16">
        <v>3220</v>
      </c>
      <c r="C60" s="16">
        <v>3240</v>
      </c>
      <c r="D60" s="16">
        <v>3190</v>
      </c>
      <c r="E60" s="16">
        <v>3225</v>
      </c>
      <c r="F60" s="16">
        <v>3225</v>
      </c>
      <c r="G60" s="16">
        <v>8700</v>
      </c>
      <c r="H60" s="16">
        <f t="shared" si="1"/>
        <v>5</v>
      </c>
    </row>
  </sheetData>
  <phoneticPr fontId="32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41401-445F-48BE-8A89-99B6A3D2A90E}">
  <sheetPr codeName="Sheet36"/>
  <dimension ref="A1:DY60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43132</v>
      </c>
      <c r="B2" s="16">
        <v>7180</v>
      </c>
      <c r="C2" s="16">
        <v>7450</v>
      </c>
      <c r="D2" s="16">
        <v>6320</v>
      </c>
      <c r="E2" s="16">
        <v>6500</v>
      </c>
      <c r="F2" s="16">
        <v>6500</v>
      </c>
      <c r="G2" s="16">
        <v>98700</v>
      </c>
      <c r="H2" s="16">
        <f t="shared" ref="H2:H33" si="0">E2-B2</f>
        <v>-680</v>
      </c>
      <c r="J2" s="18" cm="1">
        <f t="array" ref="J2:Q5">_xlfn._xlws.FILTER(A2:H60,MONTH(A2:A60)=1,"")</f>
        <v>43466</v>
      </c>
      <c r="K2" s="16">
        <v>5210</v>
      </c>
      <c r="L2" s="16">
        <v>5800</v>
      </c>
      <c r="M2" s="16">
        <v>5170</v>
      </c>
      <c r="N2" s="16">
        <v>5370</v>
      </c>
      <c r="O2" s="16">
        <v>5370</v>
      </c>
      <c r="P2" s="16">
        <v>133700</v>
      </c>
      <c r="Q2" s="16">
        <v>160</v>
      </c>
      <c r="R2" s="16">
        <f>Q2/K2*100</f>
        <v>3.0710172744721689</v>
      </c>
      <c r="S2" s="16">
        <f>COUNT(Q2:Q5)</f>
        <v>4</v>
      </c>
      <c r="T2" s="18" cm="1">
        <f t="array" ref="T2:AA6">_xlfn._xlws.FILTER(A2:H60,MONTH(A2:A60)=2,"")</f>
        <v>43132</v>
      </c>
      <c r="U2" s="16">
        <v>7180</v>
      </c>
      <c r="V2" s="16">
        <v>7450</v>
      </c>
      <c r="W2" s="16">
        <v>6320</v>
      </c>
      <c r="X2" s="16">
        <v>6500</v>
      </c>
      <c r="Y2" s="16">
        <v>6500</v>
      </c>
      <c r="Z2" s="16">
        <v>98700</v>
      </c>
      <c r="AA2" s="16">
        <v>-680</v>
      </c>
      <c r="AB2" s="16">
        <f>AA2/U2*100</f>
        <v>-9.4707520891364894</v>
      </c>
      <c r="AC2" s="16">
        <f>COUNT(AA2:AA6)</f>
        <v>5</v>
      </c>
      <c r="AD2" s="18" cm="1">
        <f t="array" ref="AD2:AK6">_xlfn._xlws.FILTER(A2:H60,MONTH(A2:A60)=3,"")</f>
        <v>43160</v>
      </c>
      <c r="AE2" s="16">
        <v>6520</v>
      </c>
      <c r="AF2" s="16">
        <v>6780</v>
      </c>
      <c r="AG2" s="16">
        <v>6140</v>
      </c>
      <c r="AH2" s="16">
        <v>6640</v>
      </c>
      <c r="AI2" s="16">
        <v>6640</v>
      </c>
      <c r="AJ2" s="16">
        <v>101500</v>
      </c>
      <c r="AK2" s="16">
        <v>120</v>
      </c>
      <c r="AL2" s="16">
        <f>AK2/AE2*100</f>
        <v>1.8404907975460123</v>
      </c>
      <c r="AM2" s="16">
        <f>COUNT(AK2:AK6)</f>
        <v>5</v>
      </c>
      <c r="AN2" s="18" cm="1">
        <f t="array" ref="AN2:AU6">_xlfn._xlws.FILTER(A2:H60,MONTH(A2:A60)=4,"")</f>
        <v>43191</v>
      </c>
      <c r="AO2" s="16">
        <v>6670</v>
      </c>
      <c r="AP2" s="16">
        <v>7030</v>
      </c>
      <c r="AQ2" s="16">
        <v>6510</v>
      </c>
      <c r="AR2" s="16">
        <v>7020</v>
      </c>
      <c r="AS2" s="16">
        <v>7020</v>
      </c>
      <c r="AT2" s="16">
        <v>35100</v>
      </c>
      <c r="AU2" s="16">
        <v>350</v>
      </c>
      <c r="AV2" s="16">
        <f>AU2/AO2*100</f>
        <v>5.2473763118440777</v>
      </c>
      <c r="AW2" s="16">
        <f>COUNT(AU2:AU6)</f>
        <v>5</v>
      </c>
      <c r="AX2" s="18" cm="1">
        <f t="array" ref="AX2:BE6">_xlfn._xlws.FILTER(A2:H60,MONTH(A2:A60)=5,"")</f>
        <v>43221</v>
      </c>
      <c r="AY2" s="16">
        <v>6950</v>
      </c>
      <c r="AZ2" s="16">
        <v>7130</v>
      </c>
      <c r="BA2" s="16">
        <v>6800</v>
      </c>
      <c r="BB2" s="16">
        <v>7020</v>
      </c>
      <c r="BC2" s="16">
        <v>7020</v>
      </c>
      <c r="BD2" s="16">
        <v>35300</v>
      </c>
      <c r="BE2" s="16">
        <v>70</v>
      </c>
      <c r="BF2" s="16">
        <f>BE2/AY2*100</f>
        <v>1.0071942446043165</v>
      </c>
      <c r="BG2" s="16">
        <f>COUNT(BE2:BE6)</f>
        <v>5</v>
      </c>
      <c r="BH2" s="18" cm="1">
        <f t="array" ref="BH2:BO6">_xlfn._xlws.FILTER(A2:H60,MONTH(A2:A60)=6,"")</f>
        <v>43252</v>
      </c>
      <c r="BI2" s="16">
        <v>7010</v>
      </c>
      <c r="BJ2" s="16">
        <v>7360</v>
      </c>
      <c r="BK2" s="16">
        <v>6350</v>
      </c>
      <c r="BL2" s="16">
        <v>6500</v>
      </c>
      <c r="BM2" s="16">
        <v>6500</v>
      </c>
      <c r="BN2" s="16">
        <v>93600</v>
      </c>
      <c r="BO2" s="16">
        <v>-510</v>
      </c>
      <c r="BP2" s="16">
        <f>BO2/BI2*100</f>
        <v>-7.2753209700427961</v>
      </c>
      <c r="BQ2" s="16">
        <f>COUNT(BO2:BO6)</f>
        <v>5</v>
      </c>
      <c r="BR2" s="18" cm="1">
        <f t="array" ref="BR2:BY6">_xlfn._xlws.FILTER(A2:H60,MONTH(A2:A60)=7,"")</f>
        <v>43282</v>
      </c>
      <c r="BS2" s="16">
        <v>6500</v>
      </c>
      <c r="BT2" s="16">
        <v>6510</v>
      </c>
      <c r="BU2" s="16">
        <v>6180</v>
      </c>
      <c r="BV2" s="16">
        <v>6180</v>
      </c>
      <c r="BW2" s="16">
        <v>6180</v>
      </c>
      <c r="BX2" s="16">
        <v>121300</v>
      </c>
      <c r="BY2" s="16">
        <v>-320</v>
      </c>
      <c r="BZ2" s="16">
        <f>BY2/BS2*100</f>
        <v>-4.9230769230769234</v>
      </c>
      <c r="CA2" s="16">
        <f>COUNT(BY2:BY6)</f>
        <v>5</v>
      </c>
      <c r="CB2" s="18" cm="1">
        <f t="array" ref="CB2:CI6">_xlfn._xlws.FILTER(A2:H60,MONTH(A2:A60)=8,"")</f>
        <v>43313</v>
      </c>
      <c r="CC2" s="16">
        <v>6180</v>
      </c>
      <c r="CD2" s="16">
        <v>6240</v>
      </c>
      <c r="CE2" s="16">
        <v>5550</v>
      </c>
      <c r="CF2" s="16">
        <v>5850</v>
      </c>
      <c r="CG2" s="16">
        <v>5850</v>
      </c>
      <c r="CH2" s="16">
        <v>39200</v>
      </c>
      <c r="CI2" s="16">
        <v>-330</v>
      </c>
      <c r="CJ2" s="16">
        <f>CI2/CC2*100</f>
        <v>-5.3398058252427179</v>
      </c>
      <c r="CK2" s="16">
        <f>COUNT(CI2:CI6)</f>
        <v>5</v>
      </c>
      <c r="CL2" s="18" cm="1">
        <f t="array" ref="CL2:CS6">_xlfn._xlws.FILTER(A2:H60,MONTH(A2:A60)=9,"")</f>
        <v>43344</v>
      </c>
      <c r="CM2" s="16">
        <v>5910</v>
      </c>
      <c r="CN2" s="16">
        <v>6110</v>
      </c>
      <c r="CO2" s="16">
        <v>5380</v>
      </c>
      <c r="CP2" s="16">
        <v>5940</v>
      </c>
      <c r="CQ2" s="16">
        <v>5940</v>
      </c>
      <c r="CR2" s="16">
        <v>42400</v>
      </c>
      <c r="CS2" s="16">
        <v>30</v>
      </c>
      <c r="CT2" s="16">
        <f>CS2/CM2*100</f>
        <v>0.50761421319796951</v>
      </c>
      <c r="CU2" s="16">
        <f>COUNT(CS2:CS6)</f>
        <v>5</v>
      </c>
      <c r="CV2" s="18" cm="1">
        <f t="array" ref="CV2:DC6">_xlfn._xlws.FILTER(A2:H60,MONTH(A2:A60)=10,"")</f>
        <v>43374</v>
      </c>
      <c r="CW2" s="16">
        <v>5890</v>
      </c>
      <c r="CX2" s="16">
        <v>5930</v>
      </c>
      <c r="CY2" s="16">
        <v>5030</v>
      </c>
      <c r="CZ2" s="16">
        <v>5290</v>
      </c>
      <c r="DA2" s="16">
        <v>5290</v>
      </c>
      <c r="DB2" s="16">
        <v>45000</v>
      </c>
      <c r="DC2" s="16">
        <v>-600</v>
      </c>
      <c r="DD2" s="16">
        <f>DC2/CW2*100</f>
        <v>-10.186757215619695</v>
      </c>
      <c r="DE2" s="16">
        <f>COUNT(DC2:DC6)</f>
        <v>5</v>
      </c>
      <c r="DF2" s="18" cm="1">
        <f t="array" ref="DF2:DM6">_xlfn._xlws.FILTER(A2:H60,MONTH(A2:A60)=11,"")</f>
        <v>43405</v>
      </c>
      <c r="DG2" s="16">
        <v>5290</v>
      </c>
      <c r="DH2" s="16">
        <v>5690</v>
      </c>
      <c r="DI2" s="16">
        <v>5100</v>
      </c>
      <c r="DJ2" s="16">
        <v>5580</v>
      </c>
      <c r="DK2" s="16">
        <v>5580</v>
      </c>
      <c r="DL2" s="16">
        <v>41100</v>
      </c>
      <c r="DM2" s="16">
        <v>290</v>
      </c>
      <c r="DN2" s="16">
        <f>DM2/DG2*100</f>
        <v>5.4820415879017013</v>
      </c>
      <c r="DO2" s="16">
        <f>COUNT(DM2:DM6)</f>
        <v>5</v>
      </c>
      <c r="DP2" s="18" cm="1">
        <f t="array" ref="DP2:DW6">_xlfn._xlws.FILTER(A2:H60,MONTH(A2:A60)=12,"")</f>
        <v>43435</v>
      </c>
      <c r="DQ2" s="16">
        <v>5580</v>
      </c>
      <c r="DR2" s="16">
        <v>5800</v>
      </c>
      <c r="DS2" s="16">
        <v>5000</v>
      </c>
      <c r="DT2" s="16">
        <v>5300</v>
      </c>
      <c r="DU2" s="16">
        <v>5300</v>
      </c>
      <c r="DV2" s="16">
        <v>72900</v>
      </c>
      <c r="DW2" s="16">
        <v>-280</v>
      </c>
      <c r="DX2" s="16">
        <f>DW2/DQ2*100</f>
        <v>-5.0179211469534053</v>
      </c>
      <c r="DY2" s="16">
        <f>COUNT(DW2:DW6)</f>
        <v>5</v>
      </c>
    </row>
    <row r="3" spans="1:129">
      <c r="A3" s="17">
        <v>43160</v>
      </c>
      <c r="B3" s="16">
        <v>6520</v>
      </c>
      <c r="C3" s="16">
        <v>6780</v>
      </c>
      <c r="D3" s="16">
        <v>6140</v>
      </c>
      <c r="E3" s="16">
        <v>6640</v>
      </c>
      <c r="F3" s="16">
        <v>6640</v>
      </c>
      <c r="G3" s="16">
        <v>101500</v>
      </c>
      <c r="H3" s="16">
        <f t="shared" si="0"/>
        <v>120</v>
      </c>
      <c r="J3" s="18">
        <v>43831</v>
      </c>
      <c r="K3" s="16">
        <v>9450</v>
      </c>
      <c r="L3" s="16">
        <v>11280</v>
      </c>
      <c r="M3" s="16">
        <v>9120</v>
      </c>
      <c r="N3" s="16">
        <v>9520</v>
      </c>
      <c r="O3" s="16">
        <v>9520</v>
      </c>
      <c r="P3" s="16">
        <v>473200</v>
      </c>
      <c r="Q3" s="16">
        <v>70</v>
      </c>
      <c r="R3" s="16">
        <f>Q3/K3*100</f>
        <v>0.74074074074074081</v>
      </c>
      <c r="S3" s="16">
        <f>COUNTIF(Q2:Q5,"&gt;0")</f>
        <v>2</v>
      </c>
      <c r="T3" s="18">
        <v>43497</v>
      </c>
      <c r="U3" s="16">
        <v>5330</v>
      </c>
      <c r="V3" s="16">
        <v>6080</v>
      </c>
      <c r="W3" s="16">
        <v>5320</v>
      </c>
      <c r="X3" s="16">
        <v>6040</v>
      </c>
      <c r="Y3" s="16">
        <v>6040</v>
      </c>
      <c r="Z3" s="16">
        <v>62300</v>
      </c>
      <c r="AA3" s="16">
        <v>710</v>
      </c>
      <c r="AB3" s="16">
        <f>AA3/U3*100</f>
        <v>13.320825515947469</v>
      </c>
      <c r="AC3" s="16">
        <f>COUNTIF(AA2:AA6,"&gt;0")</f>
        <v>2</v>
      </c>
      <c r="AD3" s="18">
        <v>43525</v>
      </c>
      <c r="AE3" s="16">
        <v>6040</v>
      </c>
      <c r="AF3" s="16">
        <v>6140</v>
      </c>
      <c r="AG3" s="16">
        <v>5660</v>
      </c>
      <c r="AH3" s="16">
        <v>5800</v>
      </c>
      <c r="AI3" s="16">
        <v>5800</v>
      </c>
      <c r="AJ3" s="16">
        <v>61900</v>
      </c>
      <c r="AK3" s="16">
        <v>-240</v>
      </c>
      <c r="AL3" s="16">
        <f>AK3/AE3*100</f>
        <v>-3.9735099337748347</v>
      </c>
      <c r="AM3" s="16">
        <f>COUNTIF(AK2:AK6,"&gt;0")</f>
        <v>4</v>
      </c>
      <c r="AN3" s="18">
        <v>43556</v>
      </c>
      <c r="AO3" s="16">
        <v>5820</v>
      </c>
      <c r="AP3" s="16">
        <v>6160</v>
      </c>
      <c r="AQ3" s="16">
        <v>5660</v>
      </c>
      <c r="AR3" s="16">
        <v>5750</v>
      </c>
      <c r="AS3" s="16">
        <v>5750</v>
      </c>
      <c r="AT3" s="16">
        <v>50300</v>
      </c>
      <c r="AU3" s="16">
        <v>-70</v>
      </c>
      <c r="AV3" s="16">
        <f>AU3/AO3*100</f>
        <v>-1.202749140893471</v>
      </c>
      <c r="AW3" s="16">
        <f>COUNTIF(AU2:AU6,"&gt;0")</f>
        <v>2</v>
      </c>
      <c r="AX3" s="18">
        <v>43586</v>
      </c>
      <c r="AY3" s="16">
        <v>5800</v>
      </c>
      <c r="AZ3" s="16">
        <v>5900</v>
      </c>
      <c r="BA3" s="16">
        <v>5230</v>
      </c>
      <c r="BB3" s="16">
        <v>5390</v>
      </c>
      <c r="BC3" s="16">
        <v>5390</v>
      </c>
      <c r="BD3" s="16">
        <v>32500</v>
      </c>
      <c r="BE3" s="16">
        <v>-410</v>
      </c>
      <c r="BF3" s="16">
        <f>BE3/AY3*100</f>
        <v>-7.0689655172413799</v>
      </c>
      <c r="BG3" s="16">
        <f>COUNTIF(BE2:BE6,"&gt;0")</f>
        <v>3</v>
      </c>
      <c r="BH3" s="18">
        <v>43617</v>
      </c>
      <c r="BI3" s="16">
        <v>5290</v>
      </c>
      <c r="BJ3" s="16">
        <v>6260</v>
      </c>
      <c r="BK3" s="16">
        <v>5260</v>
      </c>
      <c r="BL3" s="16">
        <v>6190</v>
      </c>
      <c r="BM3" s="16">
        <v>6190</v>
      </c>
      <c r="BN3" s="16">
        <v>65100</v>
      </c>
      <c r="BO3" s="16">
        <v>900</v>
      </c>
      <c r="BP3" s="16">
        <f>BO3/BI3*100</f>
        <v>17.013232514177691</v>
      </c>
      <c r="BQ3" s="16">
        <f>COUNTIF(BO2:BO6,"&gt;0")</f>
        <v>3</v>
      </c>
      <c r="BR3" s="18">
        <v>43647</v>
      </c>
      <c r="BS3" s="16">
        <v>6200</v>
      </c>
      <c r="BT3" s="16">
        <v>6390</v>
      </c>
      <c r="BU3" s="16">
        <v>6100</v>
      </c>
      <c r="BV3" s="16">
        <v>6160</v>
      </c>
      <c r="BW3" s="16">
        <v>6160</v>
      </c>
      <c r="BX3" s="16">
        <v>103500</v>
      </c>
      <c r="BY3" s="16">
        <v>-40</v>
      </c>
      <c r="BZ3" s="16">
        <f>BY3/BS3*100</f>
        <v>-0.64516129032258063</v>
      </c>
      <c r="CA3" s="16">
        <f>COUNTIF(BY2:BY6,"&gt;0")</f>
        <v>1</v>
      </c>
      <c r="CB3" s="18">
        <v>43678</v>
      </c>
      <c r="CC3" s="16">
        <v>6150</v>
      </c>
      <c r="CD3" s="16">
        <v>6150</v>
      </c>
      <c r="CE3" s="16">
        <v>5790</v>
      </c>
      <c r="CF3" s="16">
        <v>6040</v>
      </c>
      <c r="CG3" s="16">
        <v>6040</v>
      </c>
      <c r="CH3" s="16">
        <v>48900</v>
      </c>
      <c r="CI3" s="16">
        <v>-110</v>
      </c>
      <c r="CJ3" s="16">
        <f>CI3/CC3*100</f>
        <v>-1.788617886178862</v>
      </c>
      <c r="CK3" s="16">
        <f>COUNTIF(CI2:CI6,"&gt;0")</f>
        <v>2</v>
      </c>
      <c r="CL3" s="18">
        <v>43709</v>
      </c>
      <c r="CM3" s="16">
        <v>6050</v>
      </c>
      <c r="CN3" s="16">
        <v>7140</v>
      </c>
      <c r="CO3" s="16">
        <v>6050</v>
      </c>
      <c r="CP3" s="16">
        <v>6890</v>
      </c>
      <c r="CQ3" s="16">
        <v>6890</v>
      </c>
      <c r="CR3" s="16">
        <v>91900</v>
      </c>
      <c r="CS3" s="16">
        <v>840</v>
      </c>
      <c r="CT3" s="16">
        <f>CS3/CM3*100</f>
        <v>13.884297520661157</v>
      </c>
      <c r="CU3" s="16">
        <f>COUNTIF(CS2:CS6,"&gt;0")</f>
        <v>5</v>
      </c>
      <c r="CV3" s="18">
        <v>43739</v>
      </c>
      <c r="CW3" s="16">
        <v>6920</v>
      </c>
      <c r="CX3" s="16">
        <v>7320</v>
      </c>
      <c r="CY3" s="16">
        <v>6850</v>
      </c>
      <c r="CZ3" s="16">
        <v>7250</v>
      </c>
      <c r="DA3" s="16">
        <v>7250</v>
      </c>
      <c r="DB3" s="16">
        <v>71700</v>
      </c>
      <c r="DC3" s="16">
        <v>330</v>
      </c>
      <c r="DD3" s="16">
        <f>DC3/CW3*100</f>
        <v>4.7687861271676297</v>
      </c>
      <c r="DE3" s="16">
        <f>COUNTIF(DC2:DC6,"&gt;0")</f>
        <v>3</v>
      </c>
      <c r="DF3" s="18">
        <v>43770</v>
      </c>
      <c r="DG3" s="16">
        <v>7250</v>
      </c>
      <c r="DH3" s="16">
        <v>7870</v>
      </c>
      <c r="DI3" s="16">
        <v>7080</v>
      </c>
      <c r="DJ3" s="16">
        <v>7810</v>
      </c>
      <c r="DK3" s="16">
        <v>7810</v>
      </c>
      <c r="DL3" s="16">
        <v>69700</v>
      </c>
      <c r="DM3" s="16">
        <v>560</v>
      </c>
      <c r="DN3" s="16">
        <f>DM3/DG3*100</f>
        <v>7.7241379310344831</v>
      </c>
      <c r="DO3" s="16">
        <f>COUNTIF(DM2:DM6,"&gt;0")</f>
        <v>4</v>
      </c>
      <c r="DP3" s="18">
        <v>43800</v>
      </c>
      <c r="DQ3" s="16">
        <v>7880</v>
      </c>
      <c r="DR3" s="16">
        <v>9450</v>
      </c>
      <c r="DS3" s="16">
        <v>7790</v>
      </c>
      <c r="DT3" s="16">
        <v>9440</v>
      </c>
      <c r="DU3" s="16">
        <v>9440</v>
      </c>
      <c r="DV3" s="16">
        <v>313600</v>
      </c>
      <c r="DW3" s="16">
        <v>1560</v>
      </c>
      <c r="DX3" s="16">
        <f>DW3/DQ3*100</f>
        <v>19.796954314720814</v>
      </c>
      <c r="DY3" s="16">
        <f>COUNTIF(DW2:DW6,"&gt;0")</f>
        <v>4</v>
      </c>
    </row>
    <row r="4" spans="1:129">
      <c r="A4" s="17">
        <v>43191</v>
      </c>
      <c r="B4" s="16">
        <v>6670</v>
      </c>
      <c r="C4" s="16">
        <v>7030</v>
      </c>
      <c r="D4" s="16">
        <v>6510</v>
      </c>
      <c r="E4" s="16">
        <v>7020</v>
      </c>
      <c r="F4" s="16">
        <v>7020</v>
      </c>
      <c r="G4" s="16">
        <v>35100</v>
      </c>
      <c r="H4" s="16">
        <f t="shared" si="0"/>
        <v>350</v>
      </c>
      <c r="J4" s="18">
        <v>44200</v>
      </c>
      <c r="K4" s="16">
        <v>9060</v>
      </c>
      <c r="L4" s="16">
        <v>9220</v>
      </c>
      <c r="M4" s="16">
        <v>8310</v>
      </c>
      <c r="N4" s="16">
        <v>8320</v>
      </c>
      <c r="O4" s="16">
        <v>8320</v>
      </c>
      <c r="P4" s="16">
        <v>273900</v>
      </c>
      <c r="Q4" s="16">
        <v>-740</v>
      </c>
      <c r="R4" s="16">
        <f>Q4/K4*100</f>
        <v>-8.1677704194260485</v>
      </c>
      <c r="S4" s="19">
        <f>S3/S2*100</f>
        <v>50</v>
      </c>
      <c r="T4" s="18">
        <v>43862</v>
      </c>
      <c r="U4" s="16">
        <v>9110</v>
      </c>
      <c r="V4" s="16">
        <v>9590</v>
      </c>
      <c r="W4" s="16">
        <v>7230</v>
      </c>
      <c r="X4" s="16">
        <v>7390</v>
      </c>
      <c r="Y4" s="16">
        <v>7390</v>
      </c>
      <c r="Z4" s="16">
        <v>170000</v>
      </c>
      <c r="AA4" s="16">
        <v>-1720</v>
      </c>
      <c r="AB4" s="16">
        <f>AA4/U4*100</f>
        <v>-18.88035126234907</v>
      </c>
      <c r="AC4" s="19">
        <f>AC3/AC2*100</f>
        <v>40</v>
      </c>
      <c r="AD4" s="18">
        <v>43891</v>
      </c>
      <c r="AE4" s="16">
        <v>7390</v>
      </c>
      <c r="AF4" s="16">
        <v>8500</v>
      </c>
      <c r="AG4" s="16">
        <v>5410</v>
      </c>
      <c r="AH4" s="16">
        <v>7820</v>
      </c>
      <c r="AI4" s="16">
        <v>7820</v>
      </c>
      <c r="AJ4" s="16">
        <v>338100</v>
      </c>
      <c r="AK4" s="16">
        <v>430</v>
      </c>
      <c r="AL4" s="16">
        <f>AK4/AE4*100</f>
        <v>5.8186738836265226</v>
      </c>
      <c r="AM4" s="19">
        <f>AM3/AM2*100</f>
        <v>80</v>
      </c>
      <c r="AN4" s="18">
        <v>43922</v>
      </c>
      <c r="AO4" s="16">
        <v>7800</v>
      </c>
      <c r="AP4" s="16">
        <v>8190</v>
      </c>
      <c r="AQ4" s="16">
        <v>6940</v>
      </c>
      <c r="AR4" s="16">
        <v>7960</v>
      </c>
      <c r="AS4" s="16">
        <v>7960</v>
      </c>
      <c r="AT4" s="16">
        <v>113400</v>
      </c>
      <c r="AU4" s="16">
        <v>160</v>
      </c>
      <c r="AV4" s="16">
        <f>AU4/AO4*100</f>
        <v>2.0512820512820511</v>
      </c>
      <c r="AW4" s="19">
        <f>AW3/AW2*100</f>
        <v>40</v>
      </c>
      <c r="AX4" s="18">
        <v>43952</v>
      </c>
      <c r="AY4" s="16">
        <v>7960</v>
      </c>
      <c r="AZ4" s="16">
        <v>8080</v>
      </c>
      <c r="BA4" s="16">
        <v>7690</v>
      </c>
      <c r="BB4" s="16">
        <v>7870</v>
      </c>
      <c r="BC4" s="16">
        <v>7870</v>
      </c>
      <c r="BD4" s="16">
        <v>42300</v>
      </c>
      <c r="BE4" s="16">
        <v>-90</v>
      </c>
      <c r="BF4" s="16">
        <f>BE4/AY4*100</f>
        <v>-1.1306532663316584</v>
      </c>
      <c r="BG4" s="19">
        <f>BG3/BG2*100</f>
        <v>60</v>
      </c>
      <c r="BH4" s="18">
        <v>43983</v>
      </c>
      <c r="BI4" s="16">
        <v>7950</v>
      </c>
      <c r="BJ4" s="16">
        <v>8390</v>
      </c>
      <c r="BK4" s="16">
        <v>7290</v>
      </c>
      <c r="BL4" s="16">
        <v>8250</v>
      </c>
      <c r="BM4" s="16">
        <v>8250</v>
      </c>
      <c r="BN4" s="16">
        <v>107600</v>
      </c>
      <c r="BO4" s="16">
        <v>300</v>
      </c>
      <c r="BP4" s="16">
        <f>BO4/BI4*100</f>
        <v>3.7735849056603774</v>
      </c>
      <c r="BQ4" s="19">
        <f>BQ3/BQ2*100</f>
        <v>60</v>
      </c>
      <c r="BR4" s="18">
        <v>44013</v>
      </c>
      <c r="BS4" s="16">
        <v>8120</v>
      </c>
      <c r="BT4" s="16">
        <v>8370</v>
      </c>
      <c r="BU4" s="16">
        <v>7130</v>
      </c>
      <c r="BV4" s="16">
        <v>7140</v>
      </c>
      <c r="BW4" s="16">
        <v>7140</v>
      </c>
      <c r="BX4" s="16">
        <v>90000</v>
      </c>
      <c r="BY4" s="16">
        <v>-980</v>
      </c>
      <c r="BZ4" s="16">
        <f>BY4/BS4*100</f>
        <v>-12.068965517241379</v>
      </c>
      <c r="CA4" s="19">
        <f>CA3/CA2*100</f>
        <v>20</v>
      </c>
      <c r="CB4" s="18">
        <v>44044</v>
      </c>
      <c r="CC4" s="16">
        <v>7290</v>
      </c>
      <c r="CD4" s="16">
        <v>7590</v>
      </c>
      <c r="CE4" s="16">
        <v>7080</v>
      </c>
      <c r="CF4" s="16">
        <v>7480</v>
      </c>
      <c r="CG4" s="16">
        <v>7480</v>
      </c>
      <c r="CH4" s="16">
        <v>70600</v>
      </c>
      <c r="CI4" s="16">
        <v>190</v>
      </c>
      <c r="CJ4" s="16">
        <f>CI4/CC4*100</f>
        <v>2.6063100137174211</v>
      </c>
      <c r="CK4" s="19">
        <f>CK3/CK2*100</f>
        <v>40</v>
      </c>
      <c r="CL4" s="18">
        <v>44075</v>
      </c>
      <c r="CM4" s="16">
        <v>7440</v>
      </c>
      <c r="CN4" s="16">
        <v>8150</v>
      </c>
      <c r="CO4" s="16">
        <v>7400</v>
      </c>
      <c r="CP4" s="16">
        <v>7800</v>
      </c>
      <c r="CQ4" s="16">
        <v>7800</v>
      </c>
      <c r="CR4" s="16">
        <v>74200</v>
      </c>
      <c r="CS4" s="16">
        <v>360</v>
      </c>
      <c r="CT4" s="16">
        <f>CS4/CM4*100</f>
        <v>4.838709677419355</v>
      </c>
      <c r="CU4" s="19">
        <f>CU3/CU2*100</f>
        <v>100</v>
      </c>
      <c r="CV4" s="18">
        <v>44105</v>
      </c>
      <c r="CW4" s="16">
        <v>7790</v>
      </c>
      <c r="CX4" s="16">
        <v>7970</v>
      </c>
      <c r="CY4" s="16">
        <v>7670</v>
      </c>
      <c r="CZ4" s="16">
        <v>7910</v>
      </c>
      <c r="DA4" s="16">
        <v>7910</v>
      </c>
      <c r="DB4" s="16">
        <v>35800</v>
      </c>
      <c r="DC4" s="16">
        <v>120</v>
      </c>
      <c r="DD4" s="16">
        <f>DC4/CW4*100</f>
        <v>1.5404364569961491</v>
      </c>
      <c r="DE4" s="19">
        <f>DE3/DE2*100</f>
        <v>60</v>
      </c>
      <c r="DF4" s="18">
        <v>44136</v>
      </c>
      <c r="DG4" s="16">
        <v>7940</v>
      </c>
      <c r="DH4" s="16">
        <v>8240</v>
      </c>
      <c r="DI4" s="16">
        <v>7880</v>
      </c>
      <c r="DJ4" s="16">
        <v>8130</v>
      </c>
      <c r="DK4" s="16">
        <v>8130</v>
      </c>
      <c r="DL4" s="16">
        <v>35900</v>
      </c>
      <c r="DM4" s="16">
        <v>190</v>
      </c>
      <c r="DN4" s="16">
        <f>DM4/DG4*100</f>
        <v>2.3929471032745591</v>
      </c>
      <c r="DO4" s="19">
        <f>DO3/DO2*100</f>
        <v>80</v>
      </c>
      <c r="DP4" s="18">
        <v>44166</v>
      </c>
      <c r="DQ4" s="16">
        <v>8130</v>
      </c>
      <c r="DR4" s="16">
        <v>9110</v>
      </c>
      <c r="DS4" s="16">
        <v>8000</v>
      </c>
      <c r="DT4" s="16">
        <v>9090</v>
      </c>
      <c r="DU4" s="16">
        <v>9090</v>
      </c>
      <c r="DV4" s="16">
        <v>86700</v>
      </c>
      <c r="DW4" s="16">
        <v>960</v>
      </c>
      <c r="DX4" s="16">
        <f>DW4/DQ4*100</f>
        <v>11.808118081180812</v>
      </c>
      <c r="DY4" s="19">
        <f>DY3/DY2*100</f>
        <v>80</v>
      </c>
    </row>
    <row r="5" spans="1:129">
      <c r="A5" s="17">
        <v>43221</v>
      </c>
      <c r="B5" s="16">
        <v>6950</v>
      </c>
      <c r="C5" s="16">
        <v>7130</v>
      </c>
      <c r="D5" s="16">
        <v>6800</v>
      </c>
      <c r="E5" s="16">
        <v>7020</v>
      </c>
      <c r="F5" s="16">
        <v>7020</v>
      </c>
      <c r="G5" s="16">
        <v>35300</v>
      </c>
      <c r="H5" s="16">
        <f t="shared" si="0"/>
        <v>70</v>
      </c>
      <c r="J5" s="18">
        <v>44565</v>
      </c>
      <c r="K5" s="16">
        <v>9050</v>
      </c>
      <c r="L5" s="16">
        <v>9180</v>
      </c>
      <c r="M5" s="16">
        <v>7850</v>
      </c>
      <c r="N5" s="16">
        <v>7970</v>
      </c>
      <c r="O5" s="16">
        <v>7970</v>
      </c>
      <c r="P5" s="16">
        <v>286600</v>
      </c>
      <c r="Q5" s="16">
        <v>-1080</v>
      </c>
      <c r="R5" s="16">
        <f>Q5/K5*100</f>
        <v>-11.933701657458563</v>
      </c>
      <c r="S5" s="16">
        <f>AVERAGE(R2:R5)</f>
        <v>-4.0724285154179256</v>
      </c>
      <c r="T5" s="18">
        <v>44228</v>
      </c>
      <c r="U5" s="16">
        <v>8310</v>
      </c>
      <c r="V5" s="16">
        <v>8440</v>
      </c>
      <c r="W5" s="16">
        <v>7670</v>
      </c>
      <c r="X5" s="16">
        <v>7670</v>
      </c>
      <c r="Y5" s="16">
        <v>7670</v>
      </c>
      <c r="Z5" s="16">
        <v>135200</v>
      </c>
      <c r="AA5" s="16">
        <v>-640</v>
      </c>
      <c r="AB5" s="16">
        <f>AA5/U5*100</f>
        <v>-7.7015643802647418</v>
      </c>
      <c r="AC5" s="16">
        <f>AVERAGE(AB2:AB6)</f>
        <v>-3.9949899970452782</v>
      </c>
      <c r="AD5" s="18">
        <v>44256</v>
      </c>
      <c r="AE5" s="16">
        <v>7810</v>
      </c>
      <c r="AF5" s="16">
        <v>8330</v>
      </c>
      <c r="AG5" s="16">
        <v>7710</v>
      </c>
      <c r="AH5" s="16">
        <v>8130</v>
      </c>
      <c r="AI5" s="16">
        <v>8130</v>
      </c>
      <c r="AJ5" s="16">
        <v>108400</v>
      </c>
      <c r="AK5" s="16">
        <v>320</v>
      </c>
      <c r="AL5" s="16">
        <f>AK5/AE5*100</f>
        <v>4.0973111395646606</v>
      </c>
      <c r="AM5" s="16">
        <f>AVERAGE(AL2:AL6)</f>
        <v>2.3858614700753988</v>
      </c>
      <c r="AN5" s="18">
        <v>44287</v>
      </c>
      <c r="AO5" s="16">
        <v>8130</v>
      </c>
      <c r="AP5" s="16">
        <v>8320</v>
      </c>
      <c r="AQ5" s="16">
        <v>8020</v>
      </c>
      <c r="AR5" s="16">
        <v>8080</v>
      </c>
      <c r="AS5" s="16">
        <v>8080</v>
      </c>
      <c r="AT5" s="16">
        <v>35000</v>
      </c>
      <c r="AU5" s="16">
        <v>-50</v>
      </c>
      <c r="AV5" s="16">
        <f>AU5/AO5*100</f>
        <v>-0.61500615006150061</v>
      </c>
      <c r="AW5" s="16">
        <f>AVERAGE(AV2:AV6)</f>
        <v>0.65069409626307084</v>
      </c>
      <c r="AX5" s="18">
        <v>44322</v>
      </c>
      <c r="AY5" s="16">
        <v>8140</v>
      </c>
      <c r="AZ5" s="16">
        <v>8270</v>
      </c>
      <c r="BA5" s="16">
        <v>7900</v>
      </c>
      <c r="BB5" s="16">
        <v>8260</v>
      </c>
      <c r="BC5" s="16">
        <v>8260</v>
      </c>
      <c r="BD5" s="16">
        <v>25600</v>
      </c>
      <c r="BE5" s="16">
        <v>120</v>
      </c>
      <c r="BF5" s="16">
        <f>BE5/AY5*100</f>
        <v>1.4742014742014742</v>
      </c>
      <c r="BG5" s="16">
        <f>AVERAGE(BF2:BF6)</f>
        <v>-0.86095910058595826</v>
      </c>
      <c r="BH5" s="18">
        <v>44348</v>
      </c>
      <c r="BI5" s="16">
        <v>8300</v>
      </c>
      <c r="BJ5" s="16">
        <v>8480</v>
      </c>
      <c r="BK5" s="16">
        <v>7850</v>
      </c>
      <c r="BL5" s="16">
        <v>7920</v>
      </c>
      <c r="BM5" s="16">
        <v>7920</v>
      </c>
      <c r="BN5" s="16">
        <v>46900</v>
      </c>
      <c r="BO5" s="16">
        <v>-380</v>
      </c>
      <c r="BP5" s="16">
        <f>BO5/BI5*100</f>
        <v>-4.5783132530120483</v>
      </c>
      <c r="BQ5" s="16">
        <f>AVERAGE(BP2:BP6)</f>
        <v>2.5067295545715114</v>
      </c>
      <c r="BR5" s="18">
        <v>44378</v>
      </c>
      <c r="BS5" s="16">
        <v>7930</v>
      </c>
      <c r="BT5" s="16">
        <v>8250</v>
      </c>
      <c r="BU5" s="16">
        <v>7900</v>
      </c>
      <c r="BV5" s="16">
        <v>7950</v>
      </c>
      <c r="BW5" s="16">
        <v>7950</v>
      </c>
      <c r="BX5" s="16">
        <v>79100</v>
      </c>
      <c r="BY5" s="16">
        <v>20</v>
      </c>
      <c r="BZ5" s="16">
        <f>BY5/BS5*100</f>
        <v>0.25220680958385877</v>
      </c>
      <c r="CA5" s="16">
        <f>AVERAGE(BZ2:BZ6)</f>
        <v>-3.9030083528212698</v>
      </c>
      <c r="CB5" s="18">
        <v>44410</v>
      </c>
      <c r="CC5" s="16">
        <v>7990</v>
      </c>
      <c r="CD5" s="16">
        <v>8020</v>
      </c>
      <c r="CE5" s="16">
        <v>7820</v>
      </c>
      <c r="CF5" s="16">
        <v>7980</v>
      </c>
      <c r="CG5" s="16">
        <v>7980</v>
      </c>
      <c r="CH5" s="16">
        <v>69100</v>
      </c>
      <c r="CI5" s="16">
        <v>-10</v>
      </c>
      <c r="CJ5" s="16">
        <f>CI5/CC5*100</f>
        <v>-0.12515644555694619</v>
      </c>
      <c r="CK5" s="16">
        <f>AVERAGE(CJ2:CJ6)</f>
        <v>-0.58698827522756347</v>
      </c>
      <c r="CL5" s="18">
        <v>44440</v>
      </c>
      <c r="CM5" s="16">
        <v>8000</v>
      </c>
      <c r="CN5" s="16">
        <v>8500</v>
      </c>
      <c r="CO5" s="16">
        <v>8000</v>
      </c>
      <c r="CP5" s="16">
        <v>8180</v>
      </c>
      <c r="CQ5" s="16">
        <v>8180</v>
      </c>
      <c r="CR5" s="16">
        <v>72300</v>
      </c>
      <c r="CS5" s="16">
        <v>180</v>
      </c>
      <c r="CT5" s="16">
        <f>CS5/CM5*100</f>
        <v>2.25</v>
      </c>
      <c r="CU5" s="16">
        <f>AVERAGE(CT2:CT6)</f>
        <v>4.4088638538453235</v>
      </c>
      <c r="CV5" s="18">
        <v>44470</v>
      </c>
      <c r="CW5" s="16">
        <v>8180</v>
      </c>
      <c r="CX5" s="16">
        <v>8200</v>
      </c>
      <c r="CY5" s="16">
        <v>8000</v>
      </c>
      <c r="CZ5" s="16">
        <v>8190</v>
      </c>
      <c r="DA5" s="16">
        <v>8190</v>
      </c>
      <c r="DB5" s="16">
        <v>28600</v>
      </c>
      <c r="DC5" s="16">
        <v>10</v>
      </c>
      <c r="DD5" s="16">
        <f>DC5/CW5*100</f>
        <v>0.12224938875305623</v>
      </c>
      <c r="DE5" s="16">
        <f>AVERAGE(DD2:DD6)</f>
        <v>-2.0024536965852646</v>
      </c>
      <c r="DF5" s="18">
        <v>44501</v>
      </c>
      <c r="DG5" s="16">
        <v>8230</v>
      </c>
      <c r="DH5" s="16">
        <v>8420</v>
      </c>
      <c r="DI5" s="16">
        <v>7930</v>
      </c>
      <c r="DJ5" s="16">
        <v>7970</v>
      </c>
      <c r="DK5" s="16">
        <v>7970</v>
      </c>
      <c r="DL5" s="16">
        <v>30500</v>
      </c>
      <c r="DM5" s="16">
        <v>-260</v>
      </c>
      <c r="DN5" s="16">
        <f>DM5/DG5*100</f>
        <v>-3.1591737545565004</v>
      </c>
      <c r="DO5" s="16">
        <f>AVERAGE(DN2:DN6)</f>
        <v>3.9047556266595378</v>
      </c>
      <c r="DP5" s="18">
        <v>44531</v>
      </c>
      <c r="DQ5" s="16">
        <v>7970</v>
      </c>
      <c r="DR5" s="16">
        <v>9200</v>
      </c>
      <c r="DS5" s="16">
        <v>7970</v>
      </c>
      <c r="DT5" s="16">
        <v>9060</v>
      </c>
      <c r="DU5" s="16">
        <v>9060</v>
      </c>
      <c r="DV5" s="16">
        <v>109500</v>
      </c>
      <c r="DW5" s="16">
        <v>1090</v>
      </c>
      <c r="DX5" s="16">
        <f>DW5/DQ5*100</f>
        <v>13.676286072772898</v>
      </c>
      <c r="DY5" s="16">
        <f>AVERAGE(DX2:DX6)</f>
        <v>8.7084251692622576</v>
      </c>
    </row>
    <row r="6" spans="1:129">
      <c r="A6" s="17">
        <v>43252</v>
      </c>
      <c r="B6" s="16">
        <v>7010</v>
      </c>
      <c r="C6" s="16">
        <v>7360</v>
      </c>
      <c r="D6" s="16">
        <v>6350</v>
      </c>
      <c r="E6" s="16">
        <v>6500</v>
      </c>
      <c r="F6" s="16">
        <v>6500</v>
      </c>
      <c r="G6" s="16">
        <v>93600</v>
      </c>
      <c r="H6" s="16">
        <f t="shared" si="0"/>
        <v>-510</v>
      </c>
      <c r="S6" s="16">
        <f>MEDIAN(R2:R5)</f>
        <v>-3.713514839342654</v>
      </c>
      <c r="T6" s="18">
        <v>44593</v>
      </c>
      <c r="U6" s="16">
        <v>7980</v>
      </c>
      <c r="V6" s="16">
        <v>8230</v>
      </c>
      <c r="W6" s="16">
        <v>7850</v>
      </c>
      <c r="X6" s="16">
        <v>8200</v>
      </c>
      <c r="Y6" s="16">
        <v>8200</v>
      </c>
      <c r="Z6" s="16">
        <v>94900</v>
      </c>
      <c r="AA6" s="16">
        <v>220</v>
      </c>
      <c r="AB6" s="16">
        <f>AA6/U6*100</f>
        <v>2.7568922305764412</v>
      </c>
      <c r="AC6" s="16">
        <f>MEDIAN(AB2:AB6)</f>
        <v>-7.7015643802647418</v>
      </c>
      <c r="AD6" s="18">
        <v>44621</v>
      </c>
      <c r="AE6" s="16">
        <v>8200</v>
      </c>
      <c r="AF6" s="16">
        <v>8610</v>
      </c>
      <c r="AG6" s="16">
        <v>7920</v>
      </c>
      <c r="AH6" s="16">
        <v>8540</v>
      </c>
      <c r="AI6" s="16">
        <v>8540</v>
      </c>
      <c r="AJ6" s="16">
        <v>106300</v>
      </c>
      <c r="AK6" s="16">
        <v>340</v>
      </c>
      <c r="AL6" s="16">
        <f>AK6/AE6*100</f>
        <v>4.1463414634146343</v>
      </c>
      <c r="AM6" s="16">
        <f>MEDIAN(AL2:AL6)</f>
        <v>4.0973111395646606</v>
      </c>
      <c r="AN6" s="18">
        <v>44652</v>
      </c>
      <c r="AO6" s="16">
        <v>8530</v>
      </c>
      <c r="AP6" s="16">
        <v>8610</v>
      </c>
      <c r="AQ6" s="16">
        <v>8060</v>
      </c>
      <c r="AR6" s="16">
        <v>8340</v>
      </c>
      <c r="AS6" s="16">
        <v>8340</v>
      </c>
      <c r="AT6" s="16">
        <v>44200</v>
      </c>
      <c r="AU6" s="16">
        <v>-190</v>
      </c>
      <c r="AV6" s="16">
        <f>AU6/AO6*100</f>
        <v>-2.2274325908558033</v>
      </c>
      <c r="AW6" s="16">
        <f>MEDIAN(AV2:AV6)</f>
        <v>-0.61500615006150061</v>
      </c>
      <c r="AX6" s="18">
        <v>44683</v>
      </c>
      <c r="AY6" s="16">
        <v>8490</v>
      </c>
      <c r="AZ6" s="16">
        <v>8630</v>
      </c>
      <c r="BA6" s="16">
        <v>8320</v>
      </c>
      <c r="BB6" s="16">
        <v>8610</v>
      </c>
      <c r="BC6" s="16">
        <v>8610</v>
      </c>
      <c r="BD6" s="16">
        <v>32500</v>
      </c>
      <c r="BE6" s="16">
        <v>120</v>
      </c>
      <c r="BF6" s="16">
        <f>BE6/AY6*100</f>
        <v>1.4134275618374559</v>
      </c>
      <c r="BG6" s="16">
        <f>MEDIAN(BF2:BF6)</f>
        <v>1.0071942446043165</v>
      </c>
      <c r="BH6" s="18">
        <v>44713</v>
      </c>
      <c r="BI6" s="16">
        <v>8610</v>
      </c>
      <c r="BJ6" s="16">
        <v>8990</v>
      </c>
      <c r="BK6" s="16">
        <v>8510</v>
      </c>
      <c r="BL6" s="16">
        <v>8920</v>
      </c>
      <c r="BM6" s="16">
        <v>8920</v>
      </c>
      <c r="BN6" s="16">
        <v>71800</v>
      </c>
      <c r="BO6" s="16">
        <v>310</v>
      </c>
      <c r="BP6" s="16">
        <f>BO6/BI6*100</f>
        <v>3.6004645760743323</v>
      </c>
      <c r="BQ6" s="16">
        <f>MEDIAN(BP2:BP6)</f>
        <v>3.6004645760743323</v>
      </c>
      <c r="BR6" s="18">
        <v>44743</v>
      </c>
      <c r="BS6" s="16">
        <v>8920</v>
      </c>
      <c r="BT6" s="16">
        <v>9010</v>
      </c>
      <c r="BU6" s="16">
        <v>8550</v>
      </c>
      <c r="BV6" s="16">
        <v>8730</v>
      </c>
      <c r="BW6" s="16">
        <v>8730</v>
      </c>
      <c r="BX6" s="16">
        <v>44000</v>
      </c>
      <c r="BY6" s="16">
        <v>-190</v>
      </c>
      <c r="BZ6" s="16">
        <f>BY6/BS6*100</f>
        <v>-2.1300448430493271</v>
      </c>
      <c r="CA6" s="16">
        <f>MEDIAN(BZ2:BZ6)</f>
        <v>-2.1300448430493271</v>
      </c>
      <c r="CB6" s="18">
        <v>44774</v>
      </c>
      <c r="CC6" s="16">
        <v>8760</v>
      </c>
      <c r="CD6" s="16">
        <v>8920</v>
      </c>
      <c r="CE6" s="16">
        <v>8690</v>
      </c>
      <c r="CF6" s="16">
        <v>8910</v>
      </c>
      <c r="CG6" s="16">
        <v>8910</v>
      </c>
      <c r="CH6" s="16">
        <v>26200</v>
      </c>
      <c r="CI6" s="16">
        <v>150</v>
      </c>
      <c r="CJ6" s="16">
        <f>CI6/CC6*100</f>
        <v>1.7123287671232876</v>
      </c>
      <c r="CK6" s="16">
        <f>MEDIAN(CJ2:CJ6)</f>
        <v>-0.12515644555694619</v>
      </c>
      <c r="CL6" s="18">
        <v>44805</v>
      </c>
      <c r="CM6" s="16">
        <v>8870</v>
      </c>
      <c r="CN6" s="16">
        <v>9490</v>
      </c>
      <c r="CO6" s="16">
        <v>8820</v>
      </c>
      <c r="CP6" s="16">
        <v>8920</v>
      </c>
      <c r="CQ6" s="16">
        <v>8920</v>
      </c>
      <c r="CR6" s="16">
        <v>55200</v>
      </c>
      <c r="CS6" s="16">
        <v>50</v>
      </c>
      <c r="CT6" s="16">
        <f>CS6/CM6*100</f>
        <v>0.56369785794813976</v>
      </c>
      <c r="CU6" s="16">
        <f>MEDIAN(CT2:CT6)</f>
        <v>2.25</v>
      </c>
      <c r="CV6" s="18">
        <v>44837</v>
      </c>
      <c r="CW6" s="16">
        <v>8950</v>
      </c>
      <c r="CX6" s="16">
        <v>9210</v>
      </c>
      <c r="CY6" s="16">
        <v>8370</v>
      </c>
      <c r="CZ6" s="16">
        <v>8390</v>
      </c>
      <c r="DA6" s="16">
        <v>8390</v>
      </c>
      <c r="DB6" s="16">
        <v>69600</v>
      </c>
      <c r="DC6" s="16">
        <v>-560</v>
      </c>
      <c r="DD6" s="16">
        <f>DC6/CW6*100</f>
        <v>-6.2569832402234642</v>
      </c>
      <c r="DE6" s="16">
        <f>MEDIAN(DD2:DD6)</f>
        <v>0.12224938875305623</v>
      </c>
      <c r="DF6" s="18">
        <v>44866</v>
      </c>
      <c r="DG6" s="16">
        <v>8470</v>
      </c>
      <c r="DH6" s="16">
        <v>9280</v>
      </c>
      <c r="DI6" s="16">
        <v>8410</v>
      </c>
      <c r="DJ6" s="16">
        <v>9070</v>
      </c>
      <c r="DK6" s="16">
        <v>9070</v>
      </c>
      <c r="DL6" s="16">
        <v>51500</v>
      </c>
      <c r="DM6" s="16">
        <v>600</v>
      </c>
      <c r="DN6" s="16">
        <f>DM6/DG6*100</f>
        <v>7.0838252656434477</v>
      </c>
      <c r="DO6" s="16">
        <f>MEDIAN(DN2:DN6)</f>
        <v>5.4820415879017013</v>
      </c>
      <c r="DP6" s="18">
        <v>44896</v>
      </c>
      <c r="DQ6" s="16">
        <v>9150</v>
      </c>
      <c r="DR6" s="16">
        <v>9590</v>
      </c>
      <c r="DS6" s="16">
        <v>9000</v>
      </c>
      <c r="DT6" s="16">
        <v>9450</v>
      </c>
      <c r="DU6" s="16">
        <v>9450</v>
      </c>
      <c r="DV6" s="16">
        <v>110700</v>
      </c>
      <c r="DW6" s="16">
        <v>300</v>
      </c>
      <c r="DX6" s="16">
        <f>DW6/DQ6*100</f>
        <v>3.278688524590164</v>
      </c>
      <c r="DY6" s="16">
        <f>MEDIAN(DX2:DX6)</f>
        <v>11.808118081180812</v>
      </c>
    </row>
    <row r="7" spans="1:129">
      <c r="A7" s="17">
        <v>43282</v>
      </c>
      <c r="B7" s="16">
        <v>6500</v>
      </c>
      <c r="C7" s="16">
        <v>6510</v>
      </c>
      <c r="D7" s="16">
        <v>6180</v>
      </c>
      <c r="E7" s="16">
        <v>6180</v>
      </c>
      <c r="F7" s="16">
        <v>6180</v>
      </c>
      <c r="G7" s="16">
        <v>121300</v>
      </c>
      <c r="H7" s="16">
        <f t="shared" si="0"/>
        <v>-320</v>
      </c>
    </row>
    <row r="8" spans="1:129">
      <c r="A8" s="17">
        <v>43313</v>
      </c>
      <c r="B8" s="16">
        <v>6180</v>
      </c>
      <c r="C8" s="16">
        <v>6240</v>
      </c>
      <c r="D8" s="16">
        <v>5550</v>
      </c>
      <c r="E8" s="16">
        <v>5850</v>
      </c>
      <c r="F8" s="16">
        <v>5850</v>
      </c>
      <c r="G8" s="16">
        <v>39200</v>
      </c>
      <c r="H8" s="16">
        <f t="shared" si="0"/>
        <v>-330</v>
      </c>
    </row>
    <row r="9" spans="1:129">
      <c r="A9" s="17">
        <v>43344</v>
      </c>
      <c r="B9" s="16">
        <v>5910</v>
      </c>
      <c r="C9" s="16">
        <v>6110</v>
      </c>
      <c r="D9" s="16">
        <v>5380</v>
      </c>
      <c r="E9" s="16">
        <v>5940</v>
      </c>
      <c r="F9" s="16">
        <v>5940</v>
      </c>
      <c r="G9" s="16">
        <v>42400</v>
      </c>
      <c r="H9" s="16">
        <f t="shared" si="0"/>
        <v>30</v>
      </c>
    </row>
    <row r="10" spans="1:129">
      <c r="A10" s="17">
        <v>43374</v>
      </c>
      <c r="B10" s="16">
        <v>5890</v>
      </c>
      <c r="C10" s="16">
        <v>5930</v>
      </c>
      <c r="D10" s="16">
        <v>5030</v>
      </c>
      <c r="E10" s="16">
        <v>5290</v>
      </c>
      <c r="F10" s="16">
        <v>5290</v>
      </c>
      <c r="G10" s="16">
        <v>45000</v>
      </c>
      <c r="H10" s="16">
        <f t="shared" si="0"/>
        <v>-600</v>
      </c>
    </row>
    <row r="11" spans="1:129">
      <c r="A11" s="17">
        <v>43405</v>
      </c>
      <c r="B11" s="16">
        <v>5290</v>
      </c>
      <c r="C11" s="16">
        <v>5690</v>
      </c>
      <c r="D11" s="16">
        <v>5100</v>
      </c>
      <c r="E11" s="16">
        <v>5580</v>
      </c>
      <c r="F11" s="16">
        <v>5580</v>
      </c>
      <c r="G11" s="16">
        <v>41100</v>
      </c>
      <c r="H11" s="16">
        <f t="shared" si="0"/>
        <v>290</v>
      </c>
    </row>
    <row r="12" spans="1:129">
      <c r="A12" s="17">
        <v>43435</v>
      </c>
      <c r="B12" s="16">
        <v>5580</v>
      </c>
      <c r="C12" s="16">
        <v>5800</v>
      </c>
      <c r="D12" s="16">
        <v>5000</v>
      </c>
      <c r="E12" s="16">
        <v>5300</v>
      </c>
      <c r="F12" s="16">
        <v>5300</v>
      </c>
      <c r="G12" s="16">
        <v>72900</v>
      </c>
      <c r="H12" s="16">
        <f t="shared" si="0"/>
        <v>-280</v>
      </c>
    </row>
    <row r="13" spans="1:129">
      <c r="A13" s="17">
        <v>43466</v>
      </c>
      <c r="B13" s="16">
        <v>5210</v>
      </c>
      <c r="C13" s="16">
        <v>5800</v>
      </c>
      <c r="D13" s="16">
        <v>5170</v>
      </c>
      <c r="E13" s="16">
        <v>5370</v>
      </c>
      <c r="F13" s="16">
        <v>5370</v>
      </c>
      <c r="G13" s="16">
        <v>133700</v>
      </c>
      <c r="H13" s="16">
        <f t="shared" si="0"/>
        <v>160</v>
      </c>
    </row>
    <row r="14" spans="1:129">
      <c r="A14" s="17">
        <v>43497</v>
      </c>
      <c r="B14" s="16">
        <v>5330</v>
      </c>
      <c r="C14" s="16">
        <v>6080</v>
      </c>
      <c r="D14" s="16">
        <v>5320</v>
      </c>
      <c r="E14" s="16">
        <v>6040</v>
      </c>
      <c r="F14" s="16">
        <v>6040</v>
      </c>
      <c r="G14" s="16">
        <v>62300</v>
      </c>
      <c r="H14" s="16">
        <f t="shared" si="0"/>
        <v>710</v>
      </c>
    </row>
    <row r="15" spans="1:129">
      <c r="A15" s="17">
        <v>43525</v>
      </c>
      <c r="B15" s="16">
        <v>6040</v>
      </c>
      <c r="C15" s="16">
        <v>6140</v>
      </c>
      <c r="D15" s="16">
        <v>5660</v>
      </c>
      <c r="E15" s="16">
        <v>5800</v>
      </c>
      <c r="F15" s="16">
        <v>5800</v>
      </c>
      <c r="G15" s="16">
        <v>61900</v>
      </c>
      <c r="H15" s="16">
        <f t="shared" si="0"/>
        <v>-240</v>
      </c>
    </row>
    <row r="16" spans="1:129">
      <c r="A16" s="17">
        <v>43556</v>
      </c>
      <c r="B16" s="16">
        <v>5820</v>
      </c>
      <c r="C16" s="16">
        <v>6160</v>
      </c>
      <c r="D16" s="16">
        <v>5660</v>
      </c>
      <c r="E16" s="16">
        <v>5750</v>
      </c>
      <c r="F16" s="16">
        <v>5750</v>
      </c>
      <c r="G16" s="16">
        <v>50300</v>
      </c>
      <c r="H16" s="16">
        <f t="shared" si="0"/>
        <v>-70</v>
      </c>
    </row>
    <row r="17" spans="1:8">
      <c r="A17" s="17">
        <v>43586</v>
      </c>
      <c r="B17" s="16">
        <v>5800</v>
      </c>
      <c r="C17" s="16">
        <v>5900</v>
      </c>
      <c r="D17" s="16">
        <v>5230</v>
      </c>
      <c r="E17" s="16">
        <v>5390</v>
      </c>
      <c r="F17" s="16">
        <v>5390</v>
      </c>
      <c r="G17" s="16">
        <v>32500</v>
      </c>
      <c r="H17" s="16">
        <f t="shared" si="0"/>
        <v>-410</v>
      </c>
    </row>
    <row r="18" spans="1:8">
      <c r="A18" s="17">
        <v>43617</v>
      </c>
      <c r="B18" s="16">
        <v>5290</v>
      </c>
      <c r="C18" s="16">
        <v>6260</v>
      </c>
      <c r="D18" s="16">
        <v>5260</v>
      </c>
      <c r="E18" s="16">
        <v>6190</v>
      </c>
      <c r="F18" s="16">
        <v>6190</v>
      </c>
      <c r="G18" s="16">
        <v>65100</v>
      </c>
      <c r="H18" s="16">
        <f t="shared" si="0"/>
        <v>900</v>
      </c>
    </row>
    <row r="19" spans="1:8">
      <c r="A19" s="17">
        <v>43647</v>
      </c>
      <c r="B19" s="16">
        <v>6200</v>
      </c>
      <c r="C19" s="16">
        <v>6390</v>
      </c>
      <c r="D19" s="16">
        <v>6100</v>
      </c>
      <c r="E19" s="16">
        <v>6160</v>
      </c>
      <c r="F19" s="16">
        <v>6160</v>
      </c>
      <c r="G19" s="16">
        <v>103500</v>
      </c>
      <c r="H19" s="16">
        <f t="shared" si="0"/>
        <v>-40</v>
      </c>
    </row>
    <row r="20" spans="1:8">
      <c r="A20" s="17">
        <v>43678</v>
      </c>
      <c r="B20" s="16">
        <v>6150</v>
      </c>
      <c r="C20" s="16">
        <v>6150</v>
      </c>
      <c r="D20" s="16">
        <v>5790</v>
      </c>
      <c r="E20" s="16">
        <v>6040</v>
      </c>
      <c r="F20" s="16">
        <v>6040</v>
      </c>
      <c r="G20" s="16">
        <v>48900</v>
      </c>
      <c r="H20" s="16">
        <f t="shared" si="0"/>
        <v>-110</v>
      </c>
    </row>
    <row r="21" spans="1:8">
      <c r="A21" s="17">
        <v>43709</v>
      </c>
      <c r="B21" s="16">
        <v>6050</v>
      </c>
      <c r="C21" s="16">
        <v>7140</v>
      </c>
      <c r="D21" s="16">
        <v>6050</v>
      </c>
      <c r="E21" s="16">
        <v>6890</v>
      </c>
      <c r="F21" s="16">
        <v>6890</v>
      </c>
      <c r="G21" s="16">
        <v>91900</v>
      </c>
      <c r="H21" s="16">
        <f t="shared" si="0"/>
        <v>840</v>
      </c>
    </row>
    <row r="22" spans="1:8">
      <c r="A22" s="17">
        <v>43739</v>
      </c>
      <c r="B22" s="16">
        <v>6920</v>
      </c>
      <c r="C22" s="16">
        <v>7320</v>
      </c>
      <c r="D22" s="16">
        <v>6850</v>
      </c>
      <c r="E22" s="16">
        <v>7250</v>
      </c>
      <c r="F22" s="16">
        <v>7250</v>
      </c>
      <c r="G22" s="16">
        <v>71700</v>
      </c>
      <c r="H22" s="16">
        <f t="shared" si="0"/>
        <v>330</v>
      </c>
    </row>
    <row r="23" spans="1:8">
      <c r="A23" s="17">
        <v>43770</v>
      </c>
      <c r="B23" s="16">
        <v>7250</v>
      </c>
      <c r="C23" s="16">
        <v>7870</v>
      </c>
      <c r="D23" s="16">
        <v>7080</v>
      </c>
      <c r="E23" s="16">
        <v>7810</v>
      </c>
      <c r="F23" s="16">
        <v>7810</v>
      </c>
      <c r="G23" s="16">
        <v>69700</v>
      </c>
      <c r="H23" s="16">
        <f t="shared" si="0"/>
        <v>560</v>
      </c>
    </row>
    <row r="24" spans="1:8">
      <c r="A24" s="17">
        <v>43800</v>
      </c>
      <c r="B24" s="16">
        <v>7880</v>
      </c>
      <c r="C24" s="16">
        <v>9450</v>
      </c>
      <c r="D24" s="16">
        <v>7790</v>
      </c>
      <c r="E24" s="16">
        <v>9440</v>
      </c>
      <c r="F24" s="16">
        <v>9440</v>
      </c>
      <c r="G24" s="16">
        <v>313600</v>
      </c>
      <c r="H24" s="16">
        <f t="shared" si="0"/>
        <v>1560</v>
      </c>
    </row>
    <row r="25" spans="1:8">
      <c r="A25" s="17">
        <v>43831</v>
      </c>
      <c r="B25" s="16">
        <v>9450</v>
      </c>
      <c r="C25" s="16">
        <v>11280</v>
      </c>
      <c r="D25" s="16">
        <v>9120</v>
      </c>
      <c r="E25" s="16">
        <v>9520</v>
      </c>
      <c r="F25" s="16">
        <v>9520</v>
      </c>
      <c r="G25" s="16">
        <v>473200</v>
      </c>
      <c r="H25" s="16">
        <f t="shared" si="0"/>
        <v>70</v>
      </c>
    </row>
    <row r="26" spans="1:8">
      <c r="A26" s="17">
        <v>43862</v>
      </c>
      <c r="B26" s="16">
        <v>9110</v>
      </c>
      <c r="C26" s="16">
        <v>9590</v>
      </c>
      <c r="D26" s="16">
        <v>7230</v>
      </c>
      <c r="E26" s="16">
        <v>7390</v>
      </c>
      <c r="F26" s="16">
        <v>7390</v>
      </c>
      <c r="G26" s="16">
        <v>170000</v>
      </c>
      <c r="H26" s="16">
        <f t="shared" si="0"/>
        <v>-1720</v>
      </c>
    </row>
    <row r="27" spans="1:8">
      <c r="A27" s="17">
        <v>43891</v>
      </c>
      <c r="B27" s="16">
        <v>7390</v>
      </c>
      <c r="C27" s="16">
        <v>8500</v>
      </c>
      <c r="D27" s="16">
        <v>5410</v>
      </c>
      <c r="E27" s="16">
        <v>7820</v>
      </c>
      <c r="F27" s="16">
        <v>7820</v>
      </c>
      <c r="G27" s="16">
        <v>338100</v>
      </c>
      <c r="H27" s="16">
        <f t="shared" si="0"/>
        <v>430</v>
      </c>
    </row>
    <row r="28" spans="1:8">
      <c r="A28" s="17">
        <v>43922</v>
      </c>
      <c r="B28" s="16">
        <v>7800</v>
      </c>
      <c r="C28" s="16">
        <v>8190</v>
      </c>
      <c r="D28" s="16">
        <v>6940</v>
      </c>
      <c r="E28" s="16">
        <v>7960</v>
      </c>
      <c r="F28" s="16">
        <v>7960</v>
      </c>
      <c r="G28" s="16">
        <v>113400</v>
      </c>
      <c r="H28" s="16">
        <f t="shared" si="0"/>
        <v>160</v>
      </c>
    </row>
    <row r="29" spans="1:8">
      <c r="A29" s="17">
        <v>43952</v>
      </c>
      <c r="B29" s="16">
        <v>7960</v>
      </c>
      <c r="C29" s="16">
        <v>8080</v>
      </c>
      <c r="D29" s="16">
        <v>7690</v>
      </c>
      <c r="E29" s="16">
        <v>7870</v>
      </c>
      <c r="F29" s="16">
        <v>7870</v>
      </c>
      <c r="G29" s="16">
        <v>42300</v>
      </c>
      <c r="H29" s="16">
        <f t="shared" si="0"/>
        <v>-90</v>
      </c>
    </row>
    <row r="30" spans="1:8">
      <c r="A30" s="17">
        <v>43983</v>
      </c>
      <c r="B30" s="16">
        <v>7950</v>
      </c>
      <c r="C30" s="16">
        <v>8390</v>
      </c>
      <c r="D30" s="16">
        <v>7290</v>
      </c>
      <c r="E30" s="16">
        <v>8250</v>
      </c>
      <c r="F30" s="16">
        <v>8250</v>
      </c>
      <c r="G30" s="16">
        <v>107600</v>
      </c>
      <c r="H30" s="16">
        <f t="shared" si="0"/>
        <v>300</v>
      </c>
    </row>
    <row r="31" spans="1:8">
      <c r="A31" s="17">
        <v>44013</v>
      </c>
      <c r="B31" s="16">
        <v>8120</v>
      </c>
      <c r="C31" s="16">
        <v>8370</v>
      </c>
      <c r="D31" s="16">
        <v>7130</v>
      </c>
      <c r="E31" s="16">
        <v>7140</v>
      </c>
      <c r="F31" s="16">
        <v>7140</v>
      </c>
      <c r="G31" s="16">
        <v>90000</v>
      </c>
      <c r="H31" s="16">
        <f t="shared" si="0"/>
        <v>-980</v>
      </c>
    </row>
    <row r="32" spans="1:8">
      <c r="A32" s="17">
        <v>44044</v>
      </c>
      <c r="B32" s="16">
        <v>7290</v>
      </c>
      <c r="C32" s="16">
        <v>7590</v>
      </c>
      <c r="D32" s="16">
        <v>7080</v>
      </c>
      <c r="E32" s="16">
        <v>7480</v>
      </c>
      <c r="F32" s="16">
        <v>7480</v>
      </c>
      <c r="G32" s="16">
        <v>70600</v>
      </c>
      <c r="H32" s="16">
        <f t="shared" si="0"/>
        <v>190</v>
      </c>
    </row>
    <row r="33" spans="1:8">
      <c r="A33" s="17">
        <v>44075</v>
      </c>
      <c r="B33" s="16">
        <v>7440</v>
      </c>
      <c r="C33" s="16">
        <v>8150</v>
      </c>
      <c r="D33" s="16">
        <v>7400</v>
      </c>
      <c r="E33" s="16">
        <v>7800</v>
      </c>
      <c r="F33" s="16">
        <v>7800</v>
      </c>
      <c r="G33" s="16">
        <v>74200</v>
      </c>
      <c r="H33" s="16">
        <f t="shared" si="0"/>
        <v>360</v>
      </c>
    </row>
    <row r="34" spans="1:8">
      <c r="A34" s="17">
        <v>44105</v>
      </c>
      <c r="B34" s="16">
        <v>7790</v>
      </c>
      <c r="C34" s="16">
        <v>7970</v>
      </c>
      <c r="D34" s="16">
        <v>7670</v>
      </c>
      <c r="E34" s="16">
        <v>7910</v>
      </c>
      <c r="F34" s="16">
        <v>7910</v>
      </c>
      <c r="G34" s="16">
        <v>35800</v>
      </c>
      <c r="H34" s="16">
        <f t="shared" ref="H34:H60" si="1">E34-B34</f>
        <v>120</v>
      </c>
    </row>
    <row r="35" spans="1:8">
      <c r="A35" s="17">
        <v>44136</v>
      </c>
      <c r="B35" s="16">
        <v>7940</v>
      </c>
      <c r="C35" s="16">
        <v>8240</v>
      </c>
      <c r="D35" s="16">
        <v>7880</v>
      </c>
      <c r="E35" s="16">
        <v>8130</v>
      </c>
      <c r="F35" s="16">
        <v>8130</v>
      </c>
      <c r="G35" s="16">
        <v>35900</v>
      </c>
      <c r="H35" s="16">
        <f t="shared" si="1"/>
        <v>190</v>
      </c>
    </row>
    <row r="36" spans="1:8">
      <c r="A36" s="17">
        <v>44166</v>
      </c>
      <c r="B36" s="16">
        <v>8130</v>
      </c>
      <c r="C36" s="16">
        <v>9110</v>
      </c>
      <c r="D36" s="16">
        <v>8000</v>
      </c>
      <c r="E36" s="16">
        <v>9090</v>
      </c>
      <c r="F36" s="16">
        <v>9090</v>
      </c>
      <c r="G36" s="16">
        <v>86700</v>
      </c>
      <c r="H36" s="16">
        <f t="shared" si="1"/>
        <v>960</v>
      </c>
    </row>
    <row r="37" spans="1:8">
      <c r="A37" s="17">
        <v>44200</v>
      </c>
      <c r="B37" s="16">
        <v>9060</v>
      </c>
      <c r="C37" s="16">
        <v>9220</v>
      </c>
      <c r="D37" s="16">
        <v>8310</v>
      </c>
      <c r="E37" s="16">
        <v>8320</v>
      </c>
      <c r="F37" s="16">
        <v>8320</v>
      </c>
      <c r="G37" s="16">
        <v>273900</v>
      </c>
      <c r="H37" s="16">
        <f t="shared" si="1"/>
        <v>-740</v>
      </c>
    </row>
    <row r="38" spans="1:8">
      <c r="A38" s="17">
        <v>44228</v>
      </c>
      <c r="B38" s="16">
        <v>8310</v>
      </c>
      <c r="C38" s="16">
        <v>8440</v>
      </c>
      <c r="D38" s="16">
        <v>7670</v>
      </c>
      <c r="E38" s="16">
        <v>7670</v>
      </c>
      <c r="F38" s="16">
        <v>7670</v>
      </c>
      <c r="G38" s="16">
        <v>135200</v>
      </c>
      <c r="H38" s="16">
        <f t="shared" si="1"/>
        <v>-640</v>
      </c>
    </row>
    <row r="39" spans="1:8">
      <c r="A39" s="17">
        <v>44256</v>
      </c>
      <c r="B39" s="16">
        <v>7810</v>
      </c>
      <c r="C39" s="16">
        <v>8330</v>
      </c>
      <c r="D39" s="16">
        <v>7710</v>
      </c>
      <c r="E39" s="16">
        <v>8130</v>
      </c>
      <c r="F39" s="16">
        <v>8130</v>
      </c>
      <c r="G39" s="16">
        <v>108400</v>
      </c>
      <c r="H39" s="16">
        <f t="shared" si="1"/>
        <v>320</v>
      </c>
    </row>
    <row r="40" spans="1:8">
      <c r="A40" s="17">
        <v>44287</v>
      </c>
      <c r="B40" s="16">
        <v>8130</v>
      </c>
      <c r="C40" s="16">
        <v>8320</v>
      </c>
      <c r="D40" s="16">
        <v>8020</v>
      </c>
      <c r="E40" s="16">
        <v>8080</v>
      </c>
      <c r="F40" s="16">
        <v>8080</v>
      </c>
      <c r="G40" s="16">
        <v>35000</v>
      </c>
      <c r="H40" s="16">
        <f t="shared" si="1"/>
        <v>-50</v>
      </c>
    </row>
    <row r="41" spans="1:8">
      <c r="A41" s="17">
        <v>44322</v>
      </c>
      <c r="B41" s="16">
        <v>8140</v>
      </c>
      <c r="C41" s="16">
        <v>8270</v>
      </c>
      <c r="D41" s="16">
        <v>7900</v>
      </c>
      <c r="E41" s="16">
        <v>8260</v>
      </c>
      <c r="F41" s="16">
        <v>8260</v>
      </c>
      <c r="G41" s="16">
        <v>25600</v>
      </c>
      <c r="H41" s="16">
        <f t="shared" si="1"/>
        <v>120</v>
      </c>
    </row>
    <row r="42" spans="1:8">
      <c r="A42" s="17">
        <v>44348</v>
      </c>
      <c r="B42" s="16">
        <v>8300</v>
      </c>
      <c r="C42" s="16">
        <v>8480</v>
      </c>
      <c r="D42" s="16">
        <v>7850</v>
      </c>
      <c r="E42" s="16">
        <v>7920</v>
      </c>
      <c r="F42" s="16">
        <v>7920</v>
      </c>
      <c r="G42" s="16">
        <v>46900</v>
      </c>
      <c r="H42" s="16">
        <f t="shared" si="1"/>
        <v>-380</v>
      </c>
    </row>
    <row r="43" spans="1:8">
      <c r="A43" s="17">
        <v>44378</v>
      </c>
      <c r="B43" s="16">
        <v>7930</v>
      </c>
      <c r="C43" s="16">
        <v>8250</v>
      </c>
      <c r="D43" s="16">
        <v>7900</v>
      </c>
      <c r="E43" s="16">
        <v>7950</v>
      </c>
      <c r="F43" s="16">
        <v>7950</v>
      </c>
      <c r="G43" s="16">
        <v>79100</v>
      </c>
      <c r="H43" s="16">
        <f t="shared" si="1"/>
        <v>20</v>
      </c>
    </row>
    <row r="44" spans="1:8">
      <c r="A44" s="17">
        <v>44410</v>
      </c>
      <c r="B44" s="16">
        <v>7990</v>
      </c>
      <c r="C44" s="16">
        <v>8020</v>
      </c>
      <c r="D44" s="16">
        <v>7820</v>
      </c>
      <c r="E44" s="16">
        <v>7980</v>
      </c>
      <c r="F44" s="16">
        <v>7980</v>
      </c>
      <c r="G44" s="16">
        <v>69100</v>
      </c>
      <c r="H44" s="16">
        <f t="shared" si="1"/>
        <v>-10</v>
      </c>
    </row>
    <row r="45" spans="1:8">
      <c r="A45" s="17">
        <v>44440</v>
      </c>
      <c r="B45" s="16">
        <v>8000</v>
      </c>
      <c r="C45" s="16">
        <v>8500</v>
      </c>
      <c r="D45" s="16">
        <v>8000</v>
      </c>
      <c r="E45" s="16">
        <v>8180</v>
      </c>
      <c r="F45" s="16">
        <v>8180</v>
      </c>
      <c r="G45" s="16">
        <v>72300</v>
      </c>
      <c r="H45" s="16">
        <f t="shared" si="1"/>
        <v>180</v>
      </c>
    </row>
    <row r="46" spans="1:8">
      <c r="A46" s="17">
        <v>44470</v>
      </c>
      <c r="B46" s="16">
        <v>8180</v>
      </c>
      <c r="C46" s="16">
        <v>8200</v>
      </c>
      <c r="D46" s="16">
        <v>8000</v>
      </c>
      <c r="E46" s="16">
        <v>8190</v>
      </c>
      <c r="F46" s="16">
        <v>8190</v>
      </c>
      <c r="G46" s="16">
        <v>28600</v>
      </c>
      <c r="H46" s="16">
        <f t="shared" si="1"/>
        <v>10</v>
      </c>
    </row>
    <row r="47" spans="1:8">
      <c r="A47" s="17">
        <v>44501</v>
      </c>
      <c r="B47" s="16">
        <v>8230</v>
      </c>
      <c r="C47" s="16">
        <v>8420</v>
      </c>
      <c r="D47" s="16">
        <v>7930</v>
      </c>
      <c r="E47" s="16">
        <v>7970</v>
      </c>
      <c r="F47" s="16">
        <v>7970</v>
      </c>
      <c r="G47" s="16">
        <v>30500</v>
      </c>
      <c r="H47" s="16">
        <f t="shared" si="1"/>
        <v>-260</v>
      </c>
    </row>
    <row r="48" spans="1:8">
      <c r="A48" s="17">
        <v>44531</v>
      </c>
      <c r="B48" s="16">
        <v>7970</v>
      </c>
      <c r="C48" s="16">
        <v>9200</v>
      </c>
      <c r="D48" s="16">
        <v>7970</v>
      </c>
      <c r="E48" s="16">
        <v>9060</v>
      </c>
      <c r="F48" s="16">
        <v>9060</v>
      </c>
      <c r="G48" s="16">
        <v>109500</v>
      </c>
      <c r="H48" s="16">
        <f t="shared" si="1"/>
        <v>1090</v>
      </c>
    </row>
    <row r="49" spans="1:8">
      <c r="A49" s="17">
        <v>44565</v>
      </c>
      <c r="B49" s="16">
        <v>9050</v>
      </c>
      <c r="C49" s="16">
        <v>9180</v>
      </c>
      <c r="D49" s="16">
        <v>7850</v>
      </c>
      <c r="E49" s="16">
        <v>7970</v>
      </c>
      <c r="F49" s="16">
        <v>7970</v>
      </c>
      <c r="G49" s="16">
        <v>286600</v>
      </c>
      <c r="H49" s="16">
        <f t="shared" si="1"/>
        <v>-1080</v>
      </c>
    </row>
    <row r="50" spans="1:8">
      <c r="A50" s="17">
        <v>44593</v>
      </c>
      <c r="B50" s="16">
        <v>7980</v>
      </c>
      <c r="C50" s="16">
        <v>8230</v>
      </c>
      <c r="D50" s="16">
        <v>7850</v>
      </c>
      <c r="E50" s="16">
        <v>8200</v>
      </c>
      <c r="F50" s="16">
        <v>8200</v>
      </c>
      <c r="G50" s="16">
        <v>94900</v>
      </c>
      <c r="H50" s="16">
        <f t="shared" si="1"/>
        <v>220</v>
      </c>
    </row>
    <row r="51" spans="1:8">
      <c r="A51" s="17">
        <v>44621</v>
      </c>
      <c r="B51" s="16">
        <v>8200</v>
      </c>
      <c r="C51" s="16">
        <v>8610</v>
      </c>
      <c r="D51" s="16">
        <v>7920</v>
      </c>
      <c r="E51" s="16">
        <v>8540</v>
      </c>
      <c r="F51" s="16">
        <v>8540</v>
      </c>
      <c r="G51" s="16">
        <v>106300</v>
      </c>
      <c r="H51" s="16">
        <f t="shared" si="1"/>
        <v>340</v>
      </c>
    </row>
    <row r="52" spans="1:8">
      <c r="A52" s="17">
        <v>44652</v>
      </c>
      <c r="B52" s="16">
        <v>8530</v>
      </c>
      <c r="C52" s="16">
        <v>8610</v>
      </c>
      <c r="D52" s="16">
        <v>8060</v>
      </c>
      <c r="E52" s="16">
        <v>8340</v>
      </c>
      <c r="F52" s="16">
        <v>8340</v>
      </c>
      <c r="G52" s="16">
        <v>44200</v>
      </c>
      <c r="H52" s="16">
        <f t="shared" si="1"/>
        <v>-190</v>
      </c>
    </row>
    <row r="53" spans="1:8">
      <c r="A53" s="17">
        <v>44683</v>
      </c>
      <c r="B53" s="16">
        <v>8490</v>
      </c>
      <c r="C53" s="16">
        <v>8630</v>
      </c>
      <c r="D53" s="16">
        <v>8320</v>
      </c>
      <c r="E53" s="16">
        <v>8610</v>
      </c>
      <c r="F53" s="16">
        <v>8610</v>
      </c>
      <c r="G53" s="16">
        <v>32500</v>
      </c>
      <c r="H53" s="16">
        <f t="shared" si="1"/>
        <v>120</v>
      </c>
    </row>
    <row r="54" spans="1:8">
      <c r="A54" s="17">
        <v>44713</v>
      </c>
      <c r="B54" s="16">
        <v>8610</v>
      </c>
      <c r="C54" s="16">
        <v>8990</v>
      </c>
      <c r="D54" s="16">
        <v>8510</v>
      </c>
      <c r="E54" s="16">
        <v>8920</v>
      </c>
      <c r="F54" s="16">
        <v>8920</v>
      </c>
      <c r="G54" s="16">
        <v>71800</v>
      </c>
      <c r="H54" s="16">
        <f t="shared" si="1"/>
        <v>310</v>
      </c>
    </row>
    <row r="55" spans="1:8">
      <c r="A55" s="17">
        <v>44743</v>
      </c>
      <c r="B55" s="16">
        <v>8920</v>
      </c>
      <c r="C55" s="16">
        <v>9010</v>
      </c>
      <c r="D55" s="16">
        <v>8550</v>
      </c>
      <c r="E55" s="16">
        <v>8730</v>
      </c>
      <c r="F55" s="16">
        <v>8730</v>
      </c>
      <c r="G55" s="16">
        <v>44000</v>
      </c>
      <c r="H55" s="16">
        <f t="shared" si="1"/>
        <v>-190</v>
      </c>
    </row>
    <row r="56" spans="1:8">
      <c r="A56" s="17">
        <v>44774</v>
      </c>
      <c r="B56" s="16">
        <v>8760</v>
      </c>
      <c r="C56" s="16">
        <v>8920</v>
      </c>
      <c r="D56" s="16">
        <v>8690</v>
      </c>
      <c r="E56" s="16">
        <v>8910</v>
      </c>
      <c r="F56" s="16">
        <v>8910</v>
      </c>
      <c r="G56" s="16">
        <v>26200</v>
      </c>
      <c r="H56" s="16">
        <f t="shared" si="1"/>
        <v>150</v>
      </c>
    </row>
    <row r="57" spans="1:8">
      <c r="A57" s="17">
        <v>44805</v>
      </c>
      <c r="B57" s="16">
        <v>8870</v>
      </c>
      <c r="C57" s="16">
        <v>9490</v>
      </c>
      <c r="D57" s="16">
        <v>8820</v>
      </c>
      <c r="E57" s="16">
        <v>8920</v>
      </c>
      <c r="F57" s="16">
        <v>8920</v>
      </c>
      <c r="G57" s="16">
        <v>55200</v>
      </c>
      <c r="H57" s="16">
        <f t="shared" si="1"/>
        <v>50</v>
      </c>
    </row>
    <row r="58" spans="1:8">
      <c r="A58" s="17">
        <v>44837</v>
      </c>
      <c r="B58" s="16">
        <v>8950</v>
      </c>
      <c r="C58" s="16">
        <v>9210</v>
      </c>
      <c r="D58" s="16">
        <v>8370</v>
      </c>
      <c r="E58" s="16">
        <v>8390</v>
      </c>
      <c r="F58" s="16">
        <v>8390</v>
      </c>
      <c r="G58" s="16">
        <v>69600</v>
      </c>
      <c r="H58" s="16">
        <f t="shared" si="1"/>
        <v>-560</v>
      </c>
    </row>
    <row r="59" spans="1:8">
      <c r="A59" s="17">
        <v>44866</v>
      </c>
      <c r="B59" s="16">
        <v>8470</v>
      </c>
      <c r="C59" s="16">
        <v>9280</v>
      </c>
      <c r="D59" s="16">
        <v>8410</v>
      </c>
      <c r="E59" s="16">
        <v>9070</v>
      </c>
      <c r="F59" s="16">
        <v>9070</v>
      </c>
      <c r="G59" s="16">
        <v>51500</v>
      </c>
      <c r="H59" s="16">
        <f t="shared" si="1"/>
        <v>600</v>
      </c>
    </row>
    <row r="60" spans="1:8">
      <c r="A60" s="17">
        <v>44896</v>
      </c>
      <c r="B60" s="16">
        <v>9150</v>
      </c>
      <c r="C60" s="16">
        <v>9590</v>
      </c>
      <c r="D60" s="16">
        <v>9000</v>
      </c>
      <c r="E60" s="16">
        <v>9450</v>
      </c>
      <c r="F60" s="16">
        <v>9450</v>
      </c>
      <c r="G60" s="16">
        <v>110700</v>
      </c>
      <c r="H60" s="16">
        <f t="shared" si="1"/>
        <v>300</v>
      </c>
    </row>
  </sheetData>
  <phoneticPr fontId="32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AB85-C0F9-47A1-AA08-FDB740D57089}">
  <sheetPr codeName="Sheet35"/>
  <dimension ref="A1:DY60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43132</v>
      </c>
      <c r="B2" s="16">
        <v>5710</v>
      </c>
      <c r="C2" s="16">
        <v>5750</v>
      </c>
      <c r="D2" s="16">
        <v>5030</v>
      </c>
      <c r="E2" s="16">
        <v>5220</v>
      </c>
      <c r="F2" s="16">
        <v>5220</v>
      </c>
      <c r="G2" s="16">
        <v>87300</v>
      </c>
      <c r="H2" s="16">
        <f t="shared" ref="H2:H33" si="0">E2-B2</f>
        <v>-490</v>
      </c>
      <c r="J2" s="18" cm="1">
        <f t="array" ref="J2:Q5">_xlfn._xlws.FILTER(A2:H60,MONTH(A2:A60)=1,"")</f>
        <v>43466</v>
      </c>
      <c r="K2" s="16">
        <v>4580</v>
      </c>
      <c r="L2" s="16">
        <v>4845</v>
      </c>
      <c r="M2" s="16">
        <v>4525</v>
      </c>
      <c r="N2" s="16">
        <v>4575</v>
      </c>
      <c r="O2" s="16">
        <v>4575</v>
      </c>
      <c r="P2" s="16">
        <v>339600</v>
      </c>
      <c r="Q2" s="16">
        <v>-5</v>
      </c>
      <c r="R2" s="16">
        <f>Q2/K2*100</f>
        <v>-0.10917030567685589</v>
      </c>
      <c r="S2" s="16">
        <f>COUNT(Q2:Q5)</f>
        <v>4</v>
      </c>
      <c r="T2" s="18" cm="1">
        <f t="array" ref="T2:AA6">_xlfn._xlws.FILTER(A2:H60,MONTH(A2:A60)=2,"")</f>
        <v>43132</v>
      </c>
      <c r="U2" s="16">
        <v>5710</v>
      </c>
      <c r="V2" s="16">
        <v>5750</v>
      </c>
      <c r="W2" s="16">
        <v>5030</v>
      </c>
      <c r="X2" s="16">
        <v>5220</v>
      </c>
      <c r="Y2" s="16">
        <v>5220</v>
      </c>
      <c r="Z2" s="16">
        <v>87300</v>
      </c>
      <c r="AA2" s="16">
        <v>-490</v>
      </c>
      <c r="AB2" s="16">
        <f>AA2/U2*100</f>
        <v>-8.5814360770577931</v>
      </c>
      <c r="AC2" s="16">
        <f>COUNT(AA2:AA6)</f>
        <v>5</v>
      </c>
      <c r="AD2" s="18" cm="1">
        <f t="array" ref="AD2:AK6">_xlfn._xlws.FILTER(A2:H60,MONTH(A2:A60)=3,"")</f>
        <v>43160</v>
      </c>
      <c r="AE2" s="16">
        <v>5200</v>
      </c>
      <c r="AF2" s="16">
        <v>5270</v>
      </c>
      <c r="AG2" s="16">
        <v>4820</v>
      </c>
      <c r="AH2" s="16">
        <v>5100</v>
      </c>
      <c r="AI2" s="16">
        <v>5100</v>
      </c>
      <c r="AJ2" s="16">
        <v>82700</v>
      </c>
      <c r="AK2" s="16">
        <v>-100</v>
      </c>
      <c r="AL2" s="16">
        <f>AK2/AE2*100</f>
        <v>-1.9230769230769231</v>
      </c>
      <c r="AM2" s="16">
        <f>COUNT(AK2:AK6)</f>
        <v>5</v>
      </c>
      <c r="AN2" s="18" cm="1">
        <f t="array" ref="AN2:AU6">_xlfn._xlws.FILTER(A2:H60,MONTH(A2:A60)=4,"")</f>
        <v>43191</v>
      </c>
      <c r="AO2" s="16">
        <v>5130</v>
      </c>
      <c r="AP2" s="16">
        <v>5480</v>
      </c>
      <c r="AQ2" s="16">
        <v>5040</v>
      </c>
      <c r="AR2" s="16">
        <v>5480</v>
      </c>
      <c r="AS2" s="16">
        <v>5480</v>
      </c>
      <c r="AT2" s="16">
        <v>53500</v>
      </c>
      <c r="AU2" s="16">
        <v>350</v>
      </c>
      <c r="AV2" s="16">
        <f>AU2/AO2*100</f>
        <v>6.8226120857699799</v>
      </c>
      <c r="AW2" s="16">
        <f>COUNT(AU2:AU6)</f>
        <v>5</v>
      </c>
      <c r="AX2" s="18" cm="1">
        <f t="array" ref="AX2:BE6">_xlfn._xlws.FILTER(A2:H60,MONTH(A2:A60)=5,"")</f>
        <v>43221</v>
      </c>
      <c r="AY2" s="16">
        <v>5510</v>
      </c>
      <c r="AZ2" s="16">
        <v>5840</v>
      </c>
      <c r="BA2" s="16">
        <v>5460</v>
      </c>
      <c r="BB2" s="16">
        <v>5770</v>
      </c>
      <c r="BC2" s="16">
        <v>5770</v>
      </c>
      <c r="BD2" s="16">
        <v>55300</v>
      </c>
      <c r="BE2" s="16">
        <v>260</v>
      </c>
      <c r="BF2" s="16">
        <f>BE2/AY2*100</f>
        <v>4.7186932849364798</v>
      </c>
      <c r="BG2" s="16">
        <f>COUNT(BE2:BE6)</f>
        <v>5</v>
      </c>
      <c r="BH2" s="18" cm="1">
        <f t="array" ref="BH2:BO6">_xlfn._xlws.FILTER(A2:H60,MONTH(A2:A60)=6,"")</f>
        <v>43252</v>
      </c>
      <c r="BI2" s="16">
        <v>5750</v>
      </c>
      <c r="BJ2" s="16">
        <v>5900</v>
      </c>
      <c r="BK2" s="16">
        <v>5710</v>
      </c>
      <c r="BL2" s="16">
        <v>5750</v>
      </c>
      <c r="BM2" s="16">
        <v>5750</v>
      </c>
      <c r="BN2" s="16">
        <v>90000</v>
      </c>
      <c r="BO2" s="16">
        <v>0</v>
      </c>
      <c r="BP2" s="16">
        <f>BO2/BI2*100</f>
        <v>0</v>
      </c>
      <c r="BQ2" s="16">
        <f>COUNT(BO2:BO6)</f>
        <v>5</v>
      </c>
      <c r="BR2" s="18" cm="1">
        <f t="array" ref="BR2:BY6">_xlfn._xlws.FILTER(A2:H60,MONTH(A2:A60)=7,"")</f>
        <v>43282</v>
      </c>
      <c r="BS2" s="16">
        <v>5750</v>
      </c>
      <c r="BT2" s="16">
        <v>5750</v>
      </c>
      <c r="BU2" s="16">
        <v>4965</v>
      </c>
      <c r="BV2" s="16">
        <v>4970</v>
      </c>
      <c r="BW2" s="16">
        <v>4970</v>
      </c>
      <c r="BX2" s="16">
        <v>278000</v>
      </c>
      <c r="BY2" s="16">
        <v>-780</v>
      </c>
      <c r="BZ2" s="16">
        <f>BY2/BS2*100</f>
        <v>-13.565217391304349</v>
      </c>
      <c r="CA2" s="16">
        <f>COUNT(BY2:BY6)</f>
        <v>5</v>
      </c>
      <c r="CB2" s="18" cm="1">
        <f t="array" ref="CB2:CI6">_xlfn._xlws.FILTER(A2:H60,MONTH(A2:A60)=8,"")</f>
        <v>43313</v>
      </c>
      <c r="CC2" s="16">
        <v>5000</v>
      </c>
      <c r="CD2" s="16">
        <v>5090</v>
      </c>
      <c r="CE2" s="16">
        <v>4705</v>
      </c>
      <c r="CF2" s="16">
        <v>4985</v>
      </c>
      <c r="CG2" s="16">
        <v>4985</v>
      </c>
      <c r="CH2" s="16">
        <v>91600</v>
      </c>
      <c r="CI2" s="16">
        <v>-15</v>
      </c>
      <c r="CJ2" s="16">
        <f>CI2/CC2*100</f>
        <v>-0.3</v>
      </c>
      <c r="CK2" s="16">
        <f>COUNT(CI2:CI6)</f>
        <v>5</v>
      </c>
      <c r="CL2" s="18" cm="1">
        <f t="array" ref="CL2:CS6">_xlfn._xlws.FILTER(A2:H60,MONTH(A2:A60)=9,"")</f>
        <v>43344</v>
      </c>
      <c r="CM2" s="16">
        <v>5010</v>
      </c>
      <c r="CN2" s="16">
        <v>5240</v>
      </c>
      <c r="CO2" s="16">
        <v>4815</v>
      </c>
      <c r="CP2" s="16">
        <v>5200</v>
      </c>
      <c r="CQ2" s="16">
        <v>5200</v>
      </c>
      <c r="CR2" s="16">
        <v>80100</v>
      </c>
      <c r="CS2" s="16">
        <v>190</v>
      </c>
      <c r="CT2" s="16">
        <f>CS2/CM2*100</f>
        <v>3.7924151696606789</v>
      </c>
      <c r="CU2" s="16">
        <f>COUNT(CS2:CS6)</f>
        <v>5</v>
      </c>
      <c r="CV2" s="18" cm="1">
        <f t="array" ref="CV2:DC6">_xlfn._xlws.FILTER(A2:H60,MONTH(A2:A60)=10,"")</f>
        <v>43374</v>
      </c>
      <c r="CW2" s="16">
        <v>5230</v>
      </c>
      <c r="CX2" s="16">
        <v>5280</v>
      </c>
      <c r="CY2" s="16">
        <v>4630</v>
      </c>
      <c r="CZ2" s="16">
        <v>4930</v>
      </c>
      <c r="DA2" s="16">
        <v>4930</v>
      </c>
      <c r="DB2" s="16">
        <v>115100</v>
      </c>
      <c r="DC2" s="16">
        <v>-300</v>
      </c>
      <c r="DD2" s="16">
        <f>DC2/CW2*100</f>
        <v>-5.736137667304015</v>
      </c>
      <c r="DE2" s="16">
        <f>COUNT(DC2:DC6)</f>
        <v>5</v>
      </c>
      <c r="DF2" s="18" cm="1">
        <f t="array" ref="DF2:DM6">_xlfn._xlws.FILTER(A2:H60,MONTH(A2:A60)=11,"")</f>
        <v>43405</v>
      </c>
      <c r="DG2" s="16">
        <v>4920</v>
      </c>
      <c r="DH2" s="16">
        <v>5040</v>
      </c>
      <c r="DI2" s="16">
        <v>4810</v>
      </c>
      <c r="DJ2" s="16">
        <v>4845</v>
      </c>
      <c r="DK2" s="16">
        <v>4845</v>
      </c>
      <c r="DL2" s="16">
        <v>59900</v>
      </c>
      <c r="DM2" s="16">
        <v>-75</v>
      </c>
      <c r="DN2" s="16">
        <f>DM2/DG2*100</f>
        <v>-1.524390243902439</v>
      </c>
      <c r="DO2" s="16">
        <f>COUNT(DM2:DM6)</f>
        <v>5</v>
      </c>
      <c r="DP2" s="18" cm="1">
        <f t="array" ref="DP2:DW6">_xlfn._xlws.FILTER(A2:H60,MONTH(A2:A60)=12,"")</f>
        <v>43435</v>
      </c>
      <c r="DQ2" s="16">
        <v>4845</v>
      </c>
      <c r="DR2" s="16">
        <v>4870</v>
      </c>
      <c r="DS2" s="16">
        <v>4515</v>
      </c>
      <c r="DT2" s="16">
        <v>4785</v>
      </c>
      <c r="DU2" s="16">
        <v>4785</v>
      </c>
      <c r="DV2" s="16">
        <v>92100</v>
      </c>
      <c r="DW2" s="16">
        <v>-60</v>
      </c>
      <c r="DX2" s="16">
        <f>DW2/DQ2*100</f>
        <v>-1.2383900928792571</v>
      </c>
      <c r="DY2" s="16">
        <f>COUNT(DW2:DW6)</f>
        <v>5</v>
      </c>
    </row>
    <row r="3" spans="1:129">
      <c r="A3" s="17">
        <v>43160</v>
      </c>
      <c r="B3" s="16">
        <v>5200</v>
      </c>
      <c r="C3" s="16">
        <v>5270</v>
      </c>
      <c r="D3" s="16">
        <v>4820</v>
      </c>
      <c r="E3" s="16">
        <v>5100</v>
      </c>
      <c r="F3" s="16">
        <v>5100</v>
      </c>
      <c r="G3" s="16">
        <v>82700</v>
      </c>
      <c r="H3" s="16">
        <f t="shared" si="0"/>
        <v>-100</v>
      </c>
      <c r="J3" s="18">
        <v>43831</v>
      </c>
      <c r="K3" s="16">
        <v>6400</v>
      </c>
      <c r="L3" s="16">
        <v>6490</v>
      </c>
      <c r="M3" s="16">
        <v>5870</v>
      </c>
      <c r="N3" s="16">
        <v>5980</v>
      </c>
      <c r="O3" s="16">
        <v>5980</v>
      </c>
      <c r="P3" s="16">
        <v>455500</v>
      </c>
      <c r="Q3" s="16">
        <v>-420</v>
      </c>
      <c r="R3" s="16">
        <f>Q3/K3*100</f>
        <v>-6.5625</v>
      </c>
      <c r="S3" s="16">
        <f>COUNTIF(Q2:Q5,"&gt;0")</f>
        <v>0</v>
      </c>
      <c r="T3" s="18">
        <v>43497</v>
      </c>
      <c r="U3" s="16">
        <v>4580</v>
      </c>
      <c r="V3" s="16">
        <v>4705</v>
      </c>
      <c r="W3" s="16">
        <v>4580</v>
      </c>
      <c r="X3" s="16">
        <v>4695</v>
      </c>
      <c r="Y3" s="16">
        <v>4695</v>
      </c>
      <c r="Z3" s="16">
        <v>51300</v>
      </c>
      <c r="AA3" s="16">
        <v>115</v>
      </c>
      <c r="AB3" s="16">
        <f>AA3/U3*100</f>
        <v>2.5109170305676853</v>
      </c>
      <c r="AC3" s="16">
        <f>COUNTIF(AA2:AA6,"&gt;0")</f>
        <v>2</v>
      </c>
      <c r="AD3" s="18">
        <v>43525</v>
      </c>
      <c r="AE3" s="16">
        <v>4690</v>
      </c>
      <c r="AF3" s="16">
        <v>4985</v>
      </c>
      <c r="AG3" s="16">
        <v>4625</v>
      </c>
      <c r="AH3" s="16">
        <v>4945</v>
      </c>
      <c r="AI3" s="16">
        <v>4945</v>
      </c>
      <c r="AJ3" s="16">
        <v>80500</v>
      </c>
      <c r="AK3" s="16">
        <v>255</v>
      </c>
      <c r="AL3" s="16">
        <f>AK3/AE3*100</f>
        <v>5.4371002132196162</v>
      </c>
      <c r="AM3" s="16">
        <f>COUNTIF(AK2:AK6,"&gt;0")</f>
        <v>3</v>
      </c>
      <c r="AN3" s="18">
        <v>43556</v>
      </c>
      <c r="AO3" s="16">
        <v>4975</v>
      </c>
      <c r="AP3" s="16">
        <v>5090</v>
      </c>
      <c r="AQ3" s="16">
        <v>4840</v>
      </c>
      <c r="AR3" s="16">
        <v>5040</v>
      </c>
      <c r="AS3" s="16">
        <v>5040</v>
      </c>
      <c r="AT3" s="16">
        <v>69600</v>
      </c>
      <c r="AU3" s="16">
        <v>65</v>
      </c>
      <c r="AV3" s="16">
        <f>AU3/AO3*100</f>
        <v>1.306532663316583</v>
      </c>
      <c r="AW3" s="16">
        <f>COUNTIF(AU2:AU6,"&gt;0")</f>
        <v>3</v>
      </c>
      <c r="AX3" s="18">
        <v>43586</v>
      </c>
      <c r="AY3" s="16">
        <v>5040</v>
      </c>
      <c r="AZ3" s="16">
        <v>5130</v>
      </c>
      <c r="BA3" s="16">
        <v>4930</v>
      </c>
      <c r="BB3" s="16">
        <v>5050</v>
      </c>
      <c r="BC3" s="16">
        <v>5050</v>
      </c>
      <c r="BD3" s="16">
        <v>54500</v>
      </c>
      <c r="BE3" s="16">
        <v>10</v>
      </c>
      <c r="BF3" s="16">
        <f>BE3/AY3*100</f>
        <v>0.1984126984126984</v>
      </c>
      <c r="BG3" s="16">
        <f>COUNTIF(BE2:BE6,"&gt;0")</f>
        <v>4</v>
      </c>
      <c r="BH3" s="18">
        <v>43617</v>
      </c>
      <c r="BI3" s="16">
        <v>5010</v>
      </c>
      <c r="BJ3" s="16">
        <v>5210</v>
      </c>
      <c r="BK3" s="16">
        <v>5010</v>
      </c>
      <c r="BL3" s="16">
        <v>5030</v>
      </c>
      <c r="BM3" s="16">
        <v>5030</v>
      </c>
      <c r="BN3" s="16">
        <v>133100</v>
      </c>
      <c r="BO3" s="16">
        <v>20</v>
      </c>
      <c r="BP3" s="16">
        <f>BO3/BI3*100</f>
        <v>0.39920159680638717</v>
      </c>
      <c r="BQ3" s="16">
        <f>COUNTIF(BO2:BO6,"&gt;0")</f>
        <v>2</v>
      </c>
      <c r="BR3" s="18">
        <v>43647</v>
      </c>
      <c r="BS3" s="16">
        <v>5130</v>
      </c>
      <c r="BT3" s="16">
        <v>5310</v>
      </c>
      <c r="BU3" s="16">
        <v>5060</v>
      </c>
      <c r="BV3" s="16">
        <v>5180</v>
      </c>
      <c r="BW3" s="16">
        <v>5180</v>
      </c>
      <c r="BX3" s="16">
        <v>318100</v>
      </c>
      <c r="BY3" s="16">
        <v>50</v>
      </c>
      <c r="BZ3" s="16">
        <f>BY3/BS3*100</f>
        <v>0.97465886939571145</v>
      </c>
      <c r="CA3" s="16">
        <f>COUNTIF(BY2:BY6,"&gt;0")</f>
        <v>2</v>
      </c>
      <c r="CB3" s="18">
        <v>43678</v>
      </c>
      <c r="CC3" s="16">
        <v>5180</v>
      </c>
      <c r="CD3" s="16">
        <v>5390</v>
      </c>
      <c r="CE3" s="16">
        <v>5110</v>
      </c>
      <c r="CF3" s="16">
        <v>5370</v>
      </c>
      <c r="CG3" s="16">
        <v>5370</v>
      </c>
      <c r="CH3" s="16">
        <v>75800</v>
      </c>
      <c r="CI3" s="16">
        <v>190</v>
      </c>
      <c r="CJ3" s="16">
        <f>CI3/CC3*100</f>
        <v>3.6679536679536682</v>
      </c>
      <c r="CK3" s="16">
        <f>COUNTIF(CI2:CI6,"&gt;0")</f>
        <v>4</v>
      </c>
      <c r="CL3" s="18">
        <v>43709</v>
      </c>
      <c r="CM3" s="16">
        <v>5350</v>
      </c>
      <c r="CN3" s="16">
        <v>5910</v>
      </c>
      <c r="CO3" s="16">
        <v>5290</v>
      </c>
      <c r="CP3" s="16">
        <v>5700</v>
      </c>
      <c r="CQ3" s="16">
        <v>5700</v>
      </c>
      <c r="CR3" s="16">
        <v>130500</v>
      </c>
      <c r="CS3" s="16">
        <v>350</v>
      </c>
      <c r="CT3" s="16">
        <f>CS3/CM3*100</f>
        <v>6.5420560747663545</v>
      </c>
      <c r="CU3" s="16">
        <f>COUNTIF(CS2:CS6,"&gt;0")</f>
        <v>3</v>
      </c>
      <c r="CV3" s="18">
        <v>43739</v>
      </c>
      <c r="CW3" s="16">
        <v>5600</v>
      </c>
      <c r="CX3" s="16">
        <v>6040</v>
      </c>
      <c r="CY3" s="16">
        <v>5600</v>
      </c>
      <c r="CZ3" s="16">
        <v>5820</v>
      </c>
      <c r="DA3" s="16">
        <v>5820</v>
      </c>
      <c r="DB3" s="16">
        <v>118500</v>
      </c>
      <c r="DC3" s="16">
        <v>220</v>
      </c>
      <c r="DD3" s="16">
        <f>DC3/CW3*100</f>
        <v>3.9285714285714284</v>
      </c>
      <c r="DE3" s="16">
        <f>COUNTIF(DC2:DC6,"&gt;0")</f>
        <v>2</v>
      </c>
      <c r="DF3" s="18">
        <v>43770</v>
      </c>
      <c r="DG3" s="16">
        <v>5890</v>
      </c>
      <c r="DH3" s="16">
        <v>6200</v>
      </c>
      <c r="DI3" s="16">
        <v>5810</v>
      </c>
      <c r="DJ3" s="16">
        <v>6160</v>
      </c>
      <c r="DK3" s="16">
        <v>6160</v>
      </c>
      <c r="DL3" s="16">
        <v>75600</v>
      </c>
      <c r="DM3" s="16">
        <v>270</v>
      </c>
      <c r="DN3" s="16">
        <f>DM3/DG3*100</f>
        <v>4.5840407470288627</v>
      </c>
      <c r="DO3" s="16">
        <f>COUNTIF(DM2:DM6,"&gt;0")</f>
        <v>3</v>
      </c>
      <c r="DP3" s="18">
        <v>43800</v>
      </c>
      <c r="DQ3" s="16">
        <v>6170</v>
      </c>
      <c r="DR3" s="16">
        <v>6520</v>
      </c>
      <c r="DS3" s="16">
        <v>6080</v>
      </c>
      <c r="DT3" s="16">
        <v>6470</v>
      </c>
      <c r="DU3" s="16">
        <v>6470</v>
      </c>
      <c r="DV3" s="16">
        <v>168200</v>
      </c>
      <c r="DW3" s="16">
        <v>300</v>
      </c>
      <c r="DX3" s="16">
        <f>DW3/DQ3*100</f>
        <v>4.8622366288492707</v>
      </c>
      <c r="DY3" s="16">
        <f>COUNTIF(DW2:DW6,"&gt;0")</f>
        <v>2</v>
      </c>
    </row>
    <row r="4" spans="1:129">
      <c r="A4" s="17">
        <v>43191</v>
      </c>
      <c r="B4" s="16">
        <v>5130</v>
      </c>
      <c r="C4" s="16">
        <v>5480</v>
      </c>
      <c r="D4" s="16">
        <v>5040</v>
      </c>
      <c r="E4" s="16">
        <v>5480</v>
      </c>
      <c r="F4" s="16">
        <v>5480</v>
      </c>
      <c r="G4" s="16">
        <v>53500</v>
      </c>
      <c r="H4" s="16">
        <f t="shared" si="0"/>
        <v>350</v>
      </c>
      <c r="J4" s="18">
        <v>44200</v>
      </c>
      <c r="K4" s="16">
        <v>4400</v>
      </c>
      <c r="L4" s="16">
        <v>4470</v>
      </c>
      <c r="M4" s="16">
        <v>4170</v>
      </c>
      <c r="N4" s="16">
        <v>4295</v>
      </c>
      <c r="O4" s="16">
        <v>4295</v>
      </c>
      <c r="P4" s="16">
        <v>323100</v>
      </c>
      <c r="Q4" s="16">
        <v>-105</v>
      </c>
      <c r="R4" s="16">
        <f>Q4/K4*100</f>
        <v>-2.3863636363636367</v>
      </c>
      <c r="S4" s="19">
        <f>S3/S2*100</f>
        <v>0</v>
      </c>
      <c r="T4" s="18">
        <v>43862</v>
      </c>
      <c r="U4" s="16">
        <v>5900</v>
      </c>
      <c r="V4" s="16">
        <v>6110</v>
      </c>
      <c r="W4" s="16">
        <v>4650</v>
      </c>
      <c r="X4" s="16">
        <v>4665</v>
      </c>
      <c r="Y4" s="16">
        <v>4665</v>
      </c>
      <c r="Z4" s="16">
        <v>142100</v>
      </c>
      <c r="AA4" s="16">
        <v>-1235</v>
      </c>
      <c r="AB4" s="16">
        <f>AA4/U4*100</f>
        <v>-20.932203389830509</v>
      </c>
      <c r="AC4" s="19">
        <f>AC3/AC2*100</f>
        <v>40</v>
      </c>
      <c r="AD4" s="18">
        <v>43891</v>
      </c>
      <c r="AE4" s="16">
        <v>4645</v>
      </c>
      <c r="AF4" s="16">
        <v>5260</v>
      </c>
      <c r="AG4" s="16">
        <v>3505</v>
      </c>
      <c r="AH4" s="16">
        <v>4070</v>
      </c>
      <c r="AI4" s="16">
        <v>4070</v>
      </c>
      <c r="AJ4" s="16">
        <v>237800</v>
      </c>
      <c r="AK4" s="16">
        <v>-575</v>
      </c>
      <c r="AL4" s="16">
        <f>AK4/AE4*100</f>
        <v>-12.378902045209902</v>
      </c>
      <c r="AM4" s="19">
        <f>AM3/AM2*100</f>
        <v>60</v>
      </c>
      <c r="AN4" s="18">
        <v>43922</v>
      </c>
      <c r="AO4" s="16">
        <v>4000</v>
      </c>
      <c r="AP4" s="16">
        <v>4250</v>
      </c>
      <c r="AQ4" s="16">
        <v>3615</v>
      </c>
      <c r="AR4" s="16">
        <v>4055</v>
      </c>
      <c r="AS4" s="16">
        <v>4055</v>
      </c>
      <c r="AT4" s="16">
        <v>101500</v>
      </c>
      <c r="AU4" s="16">
        <v>55</v>
      </c>
      <c r="AV4" s="16">
        <f>AU4/AO4*100</f>
        <v>1.375</v>
      </c>
      <c r="AW4" s="19">
        <f>AW3/AW2*100</f>
        <v>60</v>
      </c>
      <c r="AX4" s="18">
        <v>43952</v>
      </c>
      <c r="AY4" s="16">
        <v>4105</v>
      </c>
      <c r="AZ4" s="16">
        <v>4615</v>
      </c>
      <c r="BA4" s="16">
        <v>4000</v>
      </c>
      <c r="BB4" s="16">
        <v>4540</v>
      </c>
      <c r="BC4" s="16">
        <v>4540</v>
      </c>
      <c r="BD4" s="16">
        <v>65700</v>
      </c>
      <c r="BE4" s="16">
        <v>435</v>
      </c>
      <c r="BF4" s="16">
        <f>BE4/AY4*100</f>
        <v>10.596833130328868</v>
      </c>
      <c r="BG4" s="19">
        <f>BG3/BG2*100</f>
        <v>80</v>
      </c>
      <c r="BH4" s="18">
        <v>43983</v>
      </c>
      <c r="BI4" s="16">
        <v>4570</v>
      </c>
      <c r="BJ4" s="16">
        <v>5010</v>
      </c>
      <c r="BK4" s="16">
        <v>4365</v>
      </c>
      <c r="BL4" s="16">
        <v>4365</v>
      </c>
      <c r="BM4" s="16">
        <v>4365</v>
      </c>
      <c r="BN4" s="16">
        <v>144200</v>
      </c>
      <c r="BO4" s="16">
        <v>-205</v>
      </c>
      <c r="BP4" s="16">
        <f>BO4/BI4*100</f>
        <v>-4.4857768052516418</v>
      </c>
      <c r="BQ4" s="19">
        <f>BQ3/BQ2*100</f>
        <v>40</v>
      </c>
      <c r="BR4" s="18">
        <v>44013</v>
      </c>
      <c r="BS4" s="16">
        <v>4350</v>
      </c>
      <c r="BT4" s="16">
        <v>4350</v>
      </c>
      <c r="BU4" s="16">
        <v>3755</v>
      </c>
      <c r="BV4" s="16">
        <v>3805</v>
      </c>
      <c r="BW4" s="16">
        <v>3805</v>
      </c>
      <c r="BX4" s="16">
        <v>298000</v>
      </c>
      <c r="BY4" s="16">
        <v>-545</v>
      </c>
      <c r="BZ4" s="16">
        <f>BY4/BS4*100</f>
        <v>-12.528735632183906</v>
      </c>
      <c r="CA4" s="19">
        <f>CA3/CA2*100</f>
        <v>40</v>
      </c>
      <c r="CB4" s="18">
        <v>44044</v>
      </c>
      <c r="CC4" s="16">
        <v>3805</v>
      </c>
      <c r="CD4" s="16">
        <v>4270</v>
      </c>
      <c r="CE4" s="16">
        <v>3775</v>
      </c>
      <c r="CF4" s="16">
        <v>3990</v>
      </c>
      <c r="CG4" s="16">
        <v>3990</v>
      </c>
      <c r="CH4" s="16">
        <v>61500</v>
      </c>
      <c r="CI4" s="16">
        <v>185</v>
      </c>
      <c r="CJ4" s="16">
        <f>CI4/CC4*100</f>
        <v>4.8620236530880421</v>
      </c>
      <c r="CK4" s="19">
        <f>CK3/CK2*100</f>
        <v>80</v>
      </c>
      <c r="CL4" s="18">
        <v>44075</v>
      </c>
      <c r="CM4" s="16">
        <v>4010</v>
      </c>
      <c r="CN4" s="16">
        <v>4765</v>
      </c>
      <c r="CO4" s="16">
        <v>3910</v>
      </c>
      <c r="CP4" s="16">
        <v>4660</v>
      </c>
      <c r="CQ4" s="16">
        <v>4660</v>
      </c>
      <c r="CR4" s="16">
        <v>114400</v>
      </c>
      <c r="CS4" s="16">
        <v>650</v>
      </c>
      <c r="CT4" s="16">
        <f>CS4/CM4*100</f>
        <v>16.209476309226932</v>
      </c>
      <c r="CU4" s="19">
        <f>CU3/CU2*100</f>
        <v>60</v>
      </c>
      <c r="CV4" s="18">
        <v>44105</v>
      </c>
      <c r="CW4" s="16">
        <v>4655</v>
      </c>
      <c r="CX4" s="16">
        <v>4660</v>
      </c>
      <c r="CY4" s="16">
        <v>4105</v>
      </c>
      <c r="CZ4" s="16">
        <v>4335</v>
      </c>
      <c r="DA4" s="16">
        <v>4335</v>
      </c>
      <c r="DB4" s="16">
        <v>72400</v>
      </c>
      <c r="DC4" s="16">
        <v>-320</v>
      </c>
      <c r="DD4" s="16">
        <f>DC4/CW4*100</f>
        <v>-6.8743286788399569</v>
      </c>
      <c r="DE4" s="19">
        <f>DE3/DE2*100</f>
        <v>40</v>
      </c>
      <c r="DF4" s="18">
        <v>44136</v>
      </c>
      <c r="DG4" s="16">
        <v>4340</v>
      </c>
      <c r="DH4" s="16">
        <v>4565</v>
      </c>
      <c r="DI4" s="16">
        <v>4195</v>
      </c>
      <c r="DJ4" s="16">
        <v>4355</v>
      </c>
      <c r="DK4" s="16">
        <v>4355</v>
      </c>
      <c r="DL4" s="16">
        <v>75500</v>
      </c>
      <c r="DM4" s="16">
        <v>15</v>
      </c>
      <c r="DN4" s="16">
        <f>DM4/DG4*100</f>
        <v>0.34562211981566821</v>
      </c>
      <c r="DO4" s="19">
        <f>DO3/DO2*100</f>
        <v>60</v>
      </c>
      <c r="DP4" s="18">
        <v>44166</v>
      </c>
      <c r="DQ4" s="16">
        <v>4355</v>
      </c>
      <c r="DR4" s="16">
        <v>4525</v>
      </c>
      <c r="DS4" s="16">
        <v>4135</v>
      </c>
      <c r="DT4" s="16">
        <v>4325</v>
      </c>
      <c r="DU4" s="16">
        <v>4325</v>
      </c>
      <c r="DV4" s="16">
        <v>201800</v>
      </c>
      <c r="DW4" s="16">
        <v>-30</v>
      </c>
      <c r="DX4" s="16">
        <f>DW4/DQ4*100</f>
        <v>-0.68886337543053955</v>
      </c>
      <c r="DY4" s="19">
        <f>DY3/DY2*100</f>
        <v>40</v>
      </c>
    </row>
    <row r="5" spans="1:129">
      <c r="A5" s="17">
        <v>43221</v>
      </c>
      <c r="B5" s="16">
        <v>5510</v>
      </c>
      <c r="C5" s="16">
        <v>5840</v>
      </c>
      <c r="D5" s="16">
        <v>5460</v>
      </c>
      <c r="E5" s="16">
        <v>5770</v>
      </c>
      <c r="F5" s="16">
        <v>5770</v>
      </c>
      <c r="G5" s="16">
        <v>55300</v>
      </c>
      <c r="H5" s="16">
        <f t="shared" si="0"/>
        <v>260</v>
      </c>
      <c r="J5" s="18">
        <v>44565</v>
      </c>
      <c r="K5" s="16">
        <v>4035</v>
      </c>
      <c r="L5" s="16">
        <v>4130</v>
      </c>
      <c r="M5" s="16">
        <v>3820</v>
      </c>
      <c r="N5" s="16">
        <v>3840</v>
      </c>
      <c r="O5" s="16">
        <v>3840</v>
      </c>
      <c r="P5" s="16">
        <v>404900</v>
      </c>
      <c r="Q5" s="16">
        <v>-195</v>
      </c>
      <c r="R5" s="16">
        <f>Q5/K5*100</f>
        <v>-4.8327137546468402</v>
      </c>
      <c r="S5" s="16">
        <f>AVERAGE(R2:R5)</f>
        <v>-3.4726869241718328</v>
      </c>
      <c r="T5" s="18">
        <v>44228</v>
      </c>
      <c r="U5" s="16">
        <v>4320</v>
      </c>
      <c r="V5" s="16">
        <v>4565</v>
      </c>
      <c r="W5" s="16">
        <v>4270</v>
      </c>
      <c r="X5" s="16">
        <v>4280</v>
      </c>
      <c r="Y5" s="16">
        <v>4280</v>
      </c>
      <c r="Z5" s="16">
        <v>65800</v>
      </c>
      <c r="AA5" s="16">
        <v>-40</v>
      </c>
      <c r="AB5" s="16">
        <f>AA5/U5*100</f>
        <v>-0.92592592592592582</v>
      </c>
      <c r="AC5" s="16">
        <f>AVERAGE(AB2:AB6)</f>
        <v>-4.6554971143097736</v>
      </c>
      <c r="AD5" s="18">
        <v>44256</v>
      </c>
      <c r="AE5" s="16">
        <v>4310</v>
      </c>
      <c r="AF5" s="16">
        <v>5170</v>
      </c>
      <c r="AG5" s="16">
        <v>4310</v>
      </c>
      <c r="AH5" s="16">
        <v>4825</v>
      </c>
      <c r="AI5" s="16">
        <v>4825</v>
      </c>
      <c r="AJ5" s="16">
        <v>155800</v>
      </c>
      <c r="AK5" s="16">
        <v>515</v>
      </c>
      <c r="AL5" s="16">
        <f>AK5/AE5*100</f>
        <v>11.948955916473318</v>
      </c>
      <c r="AM5" s="16">
        <f>AVERAGE(AL2:AL6)</f>
        <v>1.0859512347503575</v>
      </c>
      <c r="AN5" s="18">
        <v>44287</v>
      </c>
      <c r="AO5" s="16">
        <v>4825</v>
      </c>
      <c r="AP5" s="16">
        <v>4925</v>
      </c>
      <c r="AQ5" s="16">
        <v>4260</v>
      </c>
      <c r="AR5" s="16">
        <v>4260</v>
      </c>
      <c r="AS5" s="16">
        <v>4260</v>
      </c>
      <c r="AT5" s="16">
        <v>124600</v>
      </c>
      <c r="AU5" s="16">
        <v>-565</v>
      </c>
      <c r="AV5" s="16">
        <f>AU5/AO5*100</f>
        <v>-11.709844559585491</v>
      </c>
      <c r="AW5" s="16">
        <f>AVERAGE(AV2:AV6)</f>
        <v>-1.2885975892184294</v>
      </c>
      <c r="AX5" s="18">
        <v>44322</v>
      </c>
      <c r="AY5" s="16">
        <v>4260</v>
      </c>
      <c r="AZ5" s="16">
        <v>4340</v>
      </c>
      <c r="BA5" s="16">
        <v>3905</v>
      </c>
      <c r="BB5" s="16">
        <v>4005</v>
      </c>
      <c r="BC5" s="16">
        <v>4005</v>
      </c>
      <c r="BD5" s="16">
        <v>135700</v>
      </c>
      <c r="BE5" s="16">
        <v>-255</v>
      </c>
      <c r="BF5" s="16">
        <f>BE5/AY5*100</f>
        <v>-5.9859154929577461</v>
      </c>
      <c r="BG5" s="16">
        <f>AVERAGE(BF2:BF6)</f>
        <v>1.9814580743336934</v>
      </c>
      <c r="BH5" s="18">
        <v>44348</v>
      </c>
      <c r="BI5" s="16">
        <v>4035</v>
      </c>
      <c r="BJ5" s="16">
        <v>4425</v>
      </c>
      <c r="BK5" s="16">
        <v>4035</v>
      </c>
      <c r="BL5" s="16">
        <v>4150</v>
      </c>
      <c r="BM5" s="16">
        <v>4150</v>
      </c>
      <c r="BN5" s="16">
        <v>143100</v>
      </c>
      <c r="BO5" s="16">
        <v>115</v>
      </c>
      <c r="BP5" s="16">
        <f>BO5/BI5*100</f>
        <v>2.8500619578686495</v>
      </c>
      <c r="BQ5" s="16">
        <f>AVERAGE(BP2:BP6)</f>
        <v>-0.49792921653136107</v>
      </c>
      <c r="BR5" s="18">
        <v>44378</v>
      </c>
      <c r="BS5" s="16">
        <v>4180</v>
      </c>
      <c r="BT5" s="16">
        <v>4265</v>
      </c>
      <c r="BU5" s="16">
        <v>3965</v>
      </c>
      <c r="BV5" s="16">
        <v>3965</v>
      </c>
      <c r="BW5" s="16">
        <v>3965</v>
      </c>
      <c r="BX5" s="16">
        <v>489000</v>
      </c>
      <c r="BY5" s="16">
        <v>-215</v>
      </c>
      <c r="BZ5" s="16">
        <f>BY5/BS5*100</f>
        <v>-5.143540669856459</v>
      </c>
      <c r="CA5" s="16">
        <f>AVERAGE(BZ2:BZ6)</f>
        <v>-5.8247188635239784</v>
      </c>
      <c r="CB5" s="18">
        <v>44410</v>
      </c>
      <c r="CC5" s="16">
        <v>3980</v>
      </c>
      <c r="CD5" s="16">
        <v>4145</v>
      </c>
      <c r="CE5" s="16">
        <v>3930</v>
      </c>
      <c r="CF5" s="16">
        <v>4120</v>
      </c>
      <c r="CG5" s="16">
        <v>4120</v>
      </c>
      <c r="CH5" s="16">
        <v>74400</v>
      </c>
      <c r="CI5" s="16">
        <v>140</v>
      </c>
      <c r="CJ5" s="16">
        <f>CI5/CC5*100</f>
        <v>3.5175879396984926</v>
      </c>
      <c r="CK5" s="16">
        <f>AVERAGE(CJ2:CJ6)</f>
        <v>2.6995130521480406</v>
      </c>
      <c r="CL5" s="18">
        <v>44440</v>
      </c>
      <c r="CM5" s="16">
        <v>4130</v>
      </c>
      <c r="CN5" s="16">
        <v>4240</v>
      </c>
      <c r="CO5" s="16">
        <v>4075</v>
      </c>
      <c r="CP5" s="16">
        <v>4130</v>
      </c>
      <c r="CQ5" s="16">
        <v>4130</v>
      </c>
      <c r="CR5" s="16">
        <v>99700</v>
      </c>
      <c r="CS5" s="16">
        <v>0</v>
      </c>
      <c r="CT5" s="16">
        <f>CS5/CM5*100</f>
        <v>0</v>
      </c>
      <c r="CU5" s="16">
        <f>AVERAGE(CT2:CT6)</f>
        <v>4.6225150009268718</v>
      </c>
      <c r="CV5" s="18">
        <v>44470</v>
      </c>
      <c r="CW5" s="16">
        <v>4140</v>
      </c>
      <c r="CX5" s="16">
        <v>4140</v>
      </c>
      <c r="CY5" s="16">
        <v>3980</v>
      </c>
      <c r="CZ5" s="16">
        <v>4060</v>
      </c>
      <c r="DA5" s="16">
        <v>4060</v>
      </c>
      <c r="DB5" s="16">
        <v>79800</v>
      </c>
      <c r="DC5" s="16">
        <v>-80</v>
      </c>
      <c r="DD5" s="16">
        <f>DC5/CW5*100</f>
        <v>-1.932367149758454</v>
      </c>
      <c r="DE5" s="16">
        <f>AVERAGE(DD2:DD6)</f>
        <v>-0.62918152739025024</v>
      </c>
      <c r="DF5" s="18">
        <v>44501</v>
      </c>
      <c r="DG5" s="16">
        <v>4100</v>
      </c>
      <c r="DH5" s="16">
        <v>4175</v>
      </c>
      <c r="DI5" s="16">
        <v>3970</v>
      </c>
      <c r="DJ5" s="16">
        <v>3980</v>
      </c>
      <c r="DK5" s="16">
        <v>3980</v>
      </c>
      <c r="DL5" s="16">
        <v>38100</v>
      </c>
      <c r="DM5" s="16">
        <v>-120</v>
      </c>
      <c r="DN5" s="16">
        <f>DM5/DG5*100</f>
        <v>-2.9268292682926833</v>
      </c>
      <c r="DO5" s="16">
        <f>AVERAGE(DN2:DN6)</f>
        <v>0.61394544360361558</v>
      </c>
      <c r="DP5" s="18">
        <v>44531</v>
      </c>
      <c r="DQ5" s="16">
        <v>3980</v>
      </c>
      <c r="DR5" s="16">
        <v>4120</v>
      </c>
      <c r="DS5" s="16">
        <v>3935</v>
      </c>
      <c r="DT5" s="16">
        <v>4015</v>
      </c>
      <c r="DU5" s="16">
        <v>4015</v>
      </c>
      <c r="DV5" s="16">
        <v>147700</v>
      </c>
      <c r="DW5" s="16">
        <v>35</v>
      </c>
      <c r="DX5" s="16">
        <f>DW5/DQ5*100</f>
        <v>0.87939698492462315</v>
      </c>
      <c r="DY5" s="16">
        <f>AVERAGE(DX2:DX6)</f>
        <v>-0.73712397090718063</v>
      </c>
    </row>
    <row r="6" spans="1:129">
      <c r="A6" s="17">
        <v>43252</v>
      </c>
      <c r="B6" s="16">
        <v>5750</v>
      </c>
      <c r="C6" s="16">
        <v>5900</v>
      </c>
      <c r="D6" s="16">
        <v>5710</v>
      </c>
      <c r="E6" s="16">
        <v>5750</v>
      </c>
      <c r="F6" s="16">
        <v>5750</v>
      </c>
      <c r="G6" s="16">
        <v>90000</v>
      </c>
      <c r="H6" s="16">
        <f t="shared" si="0"/>
        <v>0</v>
      </c>
      <c r="S6" s="16">
        <f>MEDIAN(R2:R5)</f>
        <v>-3.6095386955052384</v>
      </c>
      <c r="T6" s="18">
        <v>44593</v>
      </c>
      <c r="U6" s="16">
        <v>3870</v>
      </c>
      <c r="V6" s="16">
        <v>4050</v>
      </c>
      <c r="W6" s="16">
        <v>3820</v>
      </c>
      <c r="X6" s="16">
        <v>4050</v>
      </c>
      <c r="Y6" s="16">
        <v>4050</v>
      </c>
      <c r="Z6" s="16">
        <v>84200</v>
      </c>
      <c r="AA6" s="16">
        <v>180</v>
      </c>
      <c r="AB6" s="16">
        <f>AA6/U6*100</f>
        <v>4.6511627906976747</v>
      </c>
      <c r="AC6" s="16">
        <f>MEDIAN(AB2:AB6)</f>
        <v>-0.92592592592592582</v>
      </c>
      <c r="AD6" s="18">
        <v>44621</v>
      </c>
      <c r="AE6" s="16">
        <v>4050</v>
      </c>
      <c r="AF6" s="16">
        <v>4215</v>
      </c>
      <c r="AG6" s="16">
        <v>3900</v>
      </c>
      <c r="AH6" s="16">
        <v>4145</v>
      </c>
      <c r="AI6" s="16">
        <v>4145</v>
      </c>
      <c r="AJ6" s="16">
        <v>117200</v>
      </c>
      <c r="AK6" s="16">
        <v>95</v>
      </c>
      <c r="AL6" s="16">
        <f>AK6/AE6*100</f>
        <v>2.3456790123456792</v>
      </c>
      <c r="AM6" s="16">
        <f>MEDIAN(AL2:AL6)</f>
        <v>2.3456790123456792</v>
      </c>
      <c r="AN6" s="18">
        <v>44652</v>
      </c>
      <c r="AO6" s="16">
        <v>4130</v>
      </c>
      <c r="AP6" s="16">
        <v>4150</v>
      </c>
      <c r="AQ6" s="16">
        <v>3850</v>
      </c>
      <c r="AR6" s="16">
        <v>3955</v>
      </c>
      <c r="AS6" s="16">
        <v>3955</v>
      </c>
      <c r="AT6" s="16">
        <v>67600</v>
      </c>
      <c r="AU6" s="16">
        <v>-175</v>
      </c>
      <c r="AV6" s="16">
        <f>AU6/AO6*100</f>
        <v>-4.2372881355932197</v>
      </c>
      <c r="AW6" s="16">
        <f>MEDIAN(AV2:AV6)</f>
        <v>1.306532663316583</v>
      </c>
      <c r="AX6" s="18">
        <v>44683</v>
      </c>
      <c r="AY6" s="16">
        <v>3955</v>
      </c>
      <c r="AZ6" s="16">
        <v>4045</v>
      </c>
      <c r="BA6" s="16">
        <v>3895</v>
      </c>
      <c r="BB6" s="16">
        <v>3970</v>
      </c>
      <c r="BC6" s="16">
        <v>3970</v>
      </c>
      <c r="BD6" s="16">
        <v>67800</v>
      </c>
      <c r="BE6" s="16">
        <v>15</v>
      </c>
      <c r="BF6" s="16">
        <f>BE6/AY6*100</f>
        <v>0.37926675094816686</v>
      </c>
      <c r="BG6" s="16">
        <f>MEDIAN(BF2:BF6)</f>
        <v>0.37926675094816686</v>
      </c>
      <c r="BH6" s="18">
        <v>44713</v>
      </c>
      <c r="BI6" s="16">
        <v>3990</v>
      </c>
      <c r="BJ6" s="16">
        <v>4270</v>
      </c>
      <c r="BK6" s="16">
        <v>3770</v>
      </c>
      <c r="BL6" s="16">
        <v>3940</v>
      </c>
      <c r="BM6" s="16">
        <v>3940</v>
      </c>
      <c r="BN6" s="16">
        <v>312900</v>
      </c>
      <c r="BO6" s="16">
        <v>-50</v>
      </c>
      <c r="BP6" s="16">
        <f>BO6/BI6*100</f>
        <v>-1.2531328320802004</v>
      </c>
      <c r="BQ6" s="16">
        <f>MEDIAN(BP2:BP6)</f>
        <v>0</v>
      </c>
      <c r="BR6" s="18">
        <v>44743</v>
      </c>
      <c r="BS6" s="16">
        <v>3950</v>
      </c>
      <c r="BT6" s="16">
        <v>4075</v>
      </c>
      <c r="BU6" s="16">
        <v>3895</v>
      </c>
      <c r="BV6" s="16">
        <v>3995</v>
      </c>
      <c r="BW6" s="16">
        <v>3995</v>
      </c>
      <c r="BX6" s="16">
        <v>281000</v>
      </c>
      <c r="BY6" s="16">
        <v>45</v>
      </c>
      <c r="BZ6" s="16">
        <f>BY6/BS6*100</f>
        <v>1.139240506329114</v>
      </c>
      <c r="CA6" s="16">
        <f>MEDIAN(BZ2:BZ6)</f>
        <v>-5.143540669856459</v>
      </c>
      <c r="CB6" s="18">
        <v>44774</v>
      </c>
      <c r="CC6" s="16">
        <v>4000</v>
      </c>
      <c r="CD6" s="16">
        <v>4095</v>
      </c>
      <c r="CE6" s="16">
        <v>3960</v>
      </c>
      <c r="CF6" s="16">
        <v>4070</v>
      </c>
      <c r="CG6" s="16">
        <v>4070</v>
      </c>
      <c r="CH6" s="16">
        <v>76600</v>
      </c>
      <c r="CI6" s="16">
        <v>70</v>
      </c>
      <c r="CJ6" s="16">
        <f>CI6/CC6*100</f>
        <v>1.7500000000000002</v>
      </c>
      <c r="CK6" s="16">
        <f>MEDIAN(CJ2:CJ6)</f>
        <v>3.5175879396984926</v>
      </c>
      <c r="CL6" s="18">
        <v>44805</v>
      </c>
      <c r="CM6" s="16">
        <v>4080</v>
      </c>
      <c r="CN6" s="16">
        <v>4090</v>
      </c>
      <c r="CO6" s="16">
        <v>3920</v>
      </c>
      <c r="CP6" s="16">
        <v>3940</v>
      </c>
      <c r="CQ6" s="16">
        <v>3940</v>
      </c>
      <c r="CR6" s="16">
        <v>141200</v>
      </c>
      <c r="CS6" s="16">
        <v>-140</v>
      </c>
      <c r="CT6" s="16">
        <f>CS6/CM6*100</f>
        <v>-3.4313725490196081</v>
      </c>
      <c r="CU6" s="16">
        <f>MEDIAN(CT2:CT6)</f>
        <v>3.7924151696606789</v>
      </c>
      <c r="CV6" s="18">
        <v>44837</v>
      </c>
      <c r="CW6" s="16">
        <v>3950</v>
      </c>
      <c r="CX6" s="16">
        <v>4270</v>
      </c>
      <c r="CY6" s="16">
        <v>3865</v>
      </c>
      <c r="CZ6" s="16">
        <v>4245</v>
      </c>
      <c r="DA6" s="16">
        <v>4245</v>
      </c>
      <c r="DB6" s="16">
        <v>137500</v>
      </c>
      <c r="DC6" s="16">
        <v>295</v>
      </c>
      <c r="DD6" s="16">
        <f>DC6/CW6*100</f>
        <v>7.4683544303797467</v>
      </c>
      <c r="DE6" s="16">
        <f>MEDIAN(DD2:DD6)</f>
        <v>-1.932367149758454</v>
      </c>
      <c r="DF6" s="18">
        <v>44866</v>
      </c>
      <c r="DG6" s="16">
        <v>4245</v>
      </c>
      <c r="DH6" s="16">
        <v>4405</v>
      </c>
      <c r="DI6" s="16">
        <v>4105</v>
      </c>
      <c r="DJ6" s="16">
        <v>4355</v>
      </c>
      <c r="DK6" s="16">
        <v>4355</v>
      </c>
      <c r="DL6" s="16">
        <v>81400</v>
      </c>
      <c r="DM6" s="16">
        <v>110</v>
      </c>
      <c r="DN6" s="16">
        <f>DM6/DG6*100</f>
        <v>2.5912838633686692</v>
      </c>
      <c r="DO6" s="16">
        <f>MEDIAN(DN2:DN6)</f>
        <v>0.34562211981566821</v>
      </c>
      <c r="DP6" s="18">
        <v>44896</v>
      </c>
      <c r="DQ6" s="16">
        <v>4400</v>
      </c>
      <c r="DR6" s="16">
        <v>4495</v>
      </c>
      <c r="DS6" s="16">
        <v>4050</v>
      </c>
      <c r="DT6" s="16">
        <v>4070</v>
      </c>
      <c r="DU6" s="16">
        <v>4070</v>
      </c>
      <c r="DV6" s="16">
        <v>267600</v>
      </c>
      <c r="DW6" s="16">
        <v>-330</v>
      </c>
      <c r="DX6" s="16">
        <f>DW6/DQ6*100</f>
        <v>-7.5</v>
      </c>
      <c r="DY6" s="16">
        <f>MEDIAN(DX2:DX6)</f>
        <v>-0.68886337543053955</v>
      </c>
    </row>
    <row r="7" spans="1:129">
      <c r="A7" s="17">
        <v>43282</v>
      </c>
      <c r="B7" s="16">
        <v>5750</v>
      </c>
      <c r="C7" s="16">
        <v>5750</v>
      </c>
      <c r="D7" s="16">
        <v>4965</v>
      </c>
      <c r="E7" s="16">
        <v>4970</v>
      </c>
      <c r="F7" s="16">
        <v>4970</v>
      </c>
      <c r="G7" s="16">
        <v>278000</v>
      </c>
      <c r="H7" s="16">
        <f t="shared" si="0"/>
        <v>-780</v>
      </c>
    </row>
    <row r="8" spans="1:129">
      <c r="A8" s="17">
        <v>43313</v>
      </c>
      <c r="B8" s="16">
        <v>5000</v>
      </c>
      <c r="C8" s="16">
        <v>5090</v>
      </c>
      <c r="D8" s="16">
        <v>4705</v>
      </c>
      <c r="E8" s="16">
        <v>4985</v>
      </c>
      <c r="F8" s="16">
        <v>4985</v>
      </c>
      <c r="G8" s="16">
        <v>91600</v>
      </c>
      <c r="H8" s="16">
        <f t="shared" si="0"/>
        <v>-15</v>
      </c>
    </row>
    <row r="9" spans="1:129">
      <c r="A9" s="17">
        <v>43344</v>
      </c>
      <c r="B9" s="16">
        <v>5010</v>
      </c>
      <c r="C9" s="16">
        <v>5240</v>
      </c>
      <c r="D9" s="16">
        <v>4815</v>
      </c>
      <c r="E9" s="16">
        <v>5200</v>
      </c>
      <c r="F9" s="16">
        <v>5200</v>
      </c>
      <c r="G9" s="16">
        <v>80100</v>
      </c>
      <c r="H9" s="16">
        <f t="shared" si="0"/>
        <v>190</v>
      </c>
    </row>
    <row r="10" spans="1:129">
      <c r="A10" s="17">
        <v>43374</v>
      </c>
      <c r="B10" s="16">
        <v>5230</v>
      </c>
      <c r="C10" s="16">
        <v>5280</v>
      </c>
      <c r="D10" s="16">
        <v>4630</v>
      </c>
      <c r="E10" s="16">
        <v>4930</v>
      </c>
      <c r="F10" s="16">
        <v>4930</v>
      </c>
      <c r="G10" s="16">
        <v>115100</v>
      </c>
      <c r="H10" s="16">
        <f t="shared" si="0"/>
        <v>-300</v>
      </c>
    </row>
    <row r="11" spans="1:129">
      <c r="A11" s="17">
        <v>43405</v>
      </c>
      <c r="B11" s="16">
        <v>4920</v>
      </c>
      <c r="C11" s="16">
        <v>5040</v>
      </c>
      <c r="D11" s="16">
        <v>4810</v>
      </c>
      <c r="E11" s="16">
        <v>4845</v>
      </c>
      <c r="F11" s="16">
        <v>4845</v>
      </c>
      <c r="G11" s="16">
        <v>59900</v>
      </c>
      <c r="H11" s="16">
        <f t="shared" si="0"/>
        <v>-75</v>
      </c>
    </row>
    <row r="12" spans="1:129">
      <c r="A12" s="17">
        <v>43435</v>
      </c>
      <c r="B12" s="16">
        <v>4845</v>
      </c>
      <c r="C12" s="16">
        <v>4870</v>
      </c>
      <c r="D12" s="16">
        <v>4515</v>
      </c>
      <c r="E12" s="16">
        <v>4785</v>
      </c>
      <c r="F12" s="16">
        <v>4785</v>
      </c>
      <c r="G12" s="16">
        <v>92100</v>
      </c>
      <c r="H12" s="16">
        <f t="shared" si="0"/>
        <v>-60</v>
      </c>
    </row>
    <row r="13" spans="1:129">
      <c r="A13" s="17">
        <v>43466</v>
      </c>
      <c r="B13" s="16">
        <v>4580</v>
      </c>
      <c r="C13" s="16">
        <v>4845</v>
      </c>
      <c r="D13" s="16">
        <v>4525</v>
      </c>
      <c r="E13" s="16">
        <v>4575</v>
      </c>
      <c r="F13" s="16">
        <v>4575</v>
      </c>
      <c r="G13" s="16">
        <v>339600</v>
      </c>
      <c r="H13" s="16">
        <f t="shared" si="0"/>
        <v>-5</v>
      </c>
    </row>
    <row r="14" spans="1:129">
      <c r="A14" s="17">
        <v>43497</v>
      </c>
      <c r="B14" s="16">
        <v>4580</v>
      </c>
      <c r="C14" s="16">
        <v>4705</v>
      </c>
      <c r="D14" s="16">
        <v>4580</v>
      </c>
      <c r="E14" s="16">
        <v>4695</v>
      </c>
      <c r="F14" s="16">
        <v>4695</v>
      </c>
      <c r="G14" s="16">
        <v>51300</v>
      </c>
      <c r="H14" s="16">
        <f t="shared" si="0"/>
        <v>115</v>
      </c>
    </row>
    <row r="15" spans="1:129">
      <c r="A15" s="17">
        <v>43525</v>
      </c>
      <c r="B15" s="16">
        <v>4690</v>
      </c>
      <c r="C15" s="16">
        <v>4985</v>
      </c>
      <c r="D15" s="16">
        <v>4625</v>
      </c>
      <c r="E15" s="16">
        <v>4945</v>
      </c>
      <c r="F15" s="16">
        <v>4945</v>
      </c>
      <c r="G15" s="16">
        <v>80500</v>
      </c>
      <c r="H15" s="16">
        <f t="shared" si="0"/>
        <v>255</v>
      </c>
    </row>
    <row r="16" spans="1:129">
      <c r="A16" s="17">
        <v>43556</v>
      </c>
      <c r="B16" s="16">
        <v>4975</v>
      </c>
      <c r="C16" s="16">
        <v>5090</v>
      </c>
      <c r="D16" s="16">
        <v>4840</v>
      </c>
      <c r="E16" s="16">
        <v>5040</v>
      </c>
      <c r="F16" s="16">
        <v>5040</v>
      </c>
      <c r="G16" s="16">
        <v>69600</v>
      </c>
      <c r="H16" s="16">
        <f t="shared" si="0"/>
        <v>65</v>
      </c>
    </row>
    <row r="17" spans="1:8">
      <c r="A17" s="17">
        <v>43586</v>
      </c>
      <c r="B17" s="16">
        <v>5040</v>
      </c>
      <c r="C17" s="16">
        <v>5130</v>
      </c>
      <c r="D17" s="16">
        <v>4930</v>
      </c>
      <c r="E17" s="16">
        <v>5050</v>
      </c>
      <c r="F17" s="16">
        <v>5050</v>
      </c>
      <c r="G17" s="16">
        <v>54500</v>
      </c>
      <c r="H17" s="16">
        <f t="shared" si="0"/>
        <v>10</v>
      </c>
    </row>
    <row r="18" spans="1:8">
      <c r="A18" s="17">
        <v>43617</v>
      </c>
      <c r="B18" s="16">
        <v>5010</v>
      </c>
      <c r="C18" s="16">
        <v>5210</v>
      </c>
      <c r="D18" s="16">
        <v>5010</v>
      </c>
      <c r="E18" s="16">
        <v>5030</v>
      </c>
      <c r="F18" s="16">
        <v>5030</v>
      </c>
      <c r="G18" s="16">
        <v>133100</v>
      </c>
      <c r="H18" s="16">
        <f t="shared" si="0"/>
        <v>20</v>
      </c>
    </row>
    <row r="19" spans="1:8">
      <c r="A19" s="17">
        <v>43647</v>
      </c>
      <c r="B19" s="16">
        <v>5130</v>
      </c>
      <c r="C19" s="16">
        <v>5310</v>
      </c>
      <c r="D19" s="16">
        <v>5060</v>
      </c>
      <c r="E19" s="16">
        <v>5180</v>
      </c>
      <c r="F19" s="16">
        <v>5180</v>
      </c>
      <c r="G19" s="16">
        <v>318100</v>
      </c>
      <c r="H19" s="16">
        <f t="shared" si="0"/>
        <v>50</v>
      </c>
    </row>
    <row r="20" spans="1:8">
      <c r="A20" s="17">
        <v>43678</v>
      </c>
      <c r="B20" s="16">
        <v>5180</v>
      </c>
      <c r="C20" s="16">
        <v>5390</v>
      </c>
      <c r="D20" s="16">
        <v>5110</v>
      </c>
      <c r="E20" s="16">
        <v>5370</v>
      </c>
      <c r="F20" s="16">
        <v>5370</v>
      </c>
      <c r="G20" s="16">
        <v>75800</v>
      </c>
      <c r="H20" s="16">
        <f t="shared" si="0"/>
        <v>190</v>
      </c>
    </row>
    <row r="21" spans="1:8">
      <c r="A21" s="17">
        <v>43709</v>
      </c>
      <c r="B21" s="16">
        <v>5350</v>
      </c>
      <c r="C21" s="16">
        <v>5910</v>
      </c>
      <c r="D21" s="16">
        <v>5290</v>
      </c>
      <c r="E21" s="16">
        <v>5700</v>
      </c>
      <c r="F21" s="16">
        <v>5700</v>
      </c>
      <c r="G21" s="16">
        <v>130500</v>
      </c>
      <c r="H21" s="16">
        <f t="shared" si="0"/>
        <v>350</v>
      </c>
    </row>
    <row r="22" spans="1:8">
      <c r="A22" s="17">
        <v>43739</v>
      </c>
      <c r="B22" s="16">
        <v>5600</v>
      </c>
      <c r="C22" s="16">
        <v>6040</v>
      </c>
      <c r="D22" s="16">
        <v>5600</v>
      </c>
      <c r="E22" s="16">
        <v>5820</v>
      </c>
      <c r="F22" s="16">
        <v>5820</v>
      </c>
      <c r="G22" s="16">
        <v>118500</v>
      </c>
      <c r="H22" s="16">
        <f t="shared" si="0"/>
        <v>220</v>
      </c>
    </row>
    <row r="23" spans="1:8">
      <c r="A23" s="17">
        <v>43770</v>
      </c>
      <c r="B23" s="16">
        <v>5890</v>
      </c>
      <c r="C23" s="16">
        <v>6200</v>
      </c>
      <c r="D23" s="16">
        <v>5810</v>
      </c>
      <c r="E23" s="16">
        <v>6160</v>
      </c>
      <c r="F23" s="16">
        <v>6160</v>
      </c>
      <c r="G23" s="16">
        <v>75600</v>
      </c>
      <c r="H23" s="16">
        <f t="shared" si="0"/>
        <v>270</v>
      </c>
    </row>
    <row r="24" spans="1:8">
      <c r="A24" s="17">
        <v>43800</v>
      </c>
      <c r="B24" s="16">
        <v>6170</v>
      </c>
      <c r="C24" s="16">
        <v>6520</v>
      </c>
      <c r="D24" s="16">
        <v>6080</v>
      </c>
      <c r="E24" s="16">
        <v>6470</v>
      </c>
      <c r="F24" s="16">
        <v>6470</v>
      </c>
      <c r="G24" s="16">
        <v>168200</v>
      </c>
      <c r="H24" s="16">
        <f t="shared" si="0"/>
        <v>300</v>
      </c>
    </row>
    <row r="25" spans="1:8">
      <c r="A25" s="17">
        <v>43831</v>
      </c>
      <c r="B25" s="16">
        <v>6400</v>
      </c>
      <c r="C25" s="16">
        <v>6490</v>
      </c>
      <c r="D25" s="16">
        <v>5870</v>
      </c>
      <c r="E25" s="16">
        <v>5980</v>
      </c>
      <c r="F25" s="16">
        <v>5980</v>
      </c>
      <c r="G25" s="16">
        <v>455500</v>
      </c>
      <c r="H25" s="16">
        <f t="shared" si="0"/>
        <v>-420</v>
      </c>
    </row>
    <row r="26" spans="1:8">
      <c r="A26" s="17">
        <v>43862</v>
      </c>
      <c r="B26" s="16">
        <v>5900</v>
      </c>
      <c r="C26" s="16">
        <v>6110</v>
      </c>
      <c r="D26" s="16">
        <v>4650</v>
      </c>
      <c r="E26" s="16">
        <v>4665</v>
      </c>
      <c r="F26" s="16">
        <v>4665</v>
      </c>
      <c r="G26" s="16">
        <v>142100</v>
      </c>
      <c r="H26" s="16">
        <f t="shared" si="0"/>
        <v>-1235</v>
      </c>
    </row>
    <row r="27" spans="1:8">
      <c r="A27" s="17">
        <v>43891</v>
      </c>
      <c r="B27" s="16">
        <v>4645</v>
      </c>
      <c r="C27" s="16">
        <v>5260</v>
      </c>
      <c r="D27" s="16">
        <v>3505</v>
      </c>
      <c r="E27" s="16">
        <v>4070</v>
      </c>
      <c r="F27" s="16">
        <v>4070</v>
      </c>
      <c r="G27" s="16">
        <v>237800</v>
      </c>
      <c r="H27" s="16">
        <f t="shared" si="0"/>
        <v>-575</v>
      </c>
    </row>
    <row r="28" spans="1:8">
      <c r="A28" s="17">
        <v>43922</v>
      </c>
      <c r="B28" s="16">
        <v>4000</v>
      </c>
      <c r="C28" s="16">
        <v>4250</v>
      </c>
      <c r="D28" s="16">
        <v>3615</v>
      </c>
      <c r="E28" s="16">
        <v>4055</v>
      </c>
      <c r="F28" s="16">
        <v>4055</v>
      </c>
      <c r="G28" s="16">
        <v>101500</v>
      </c>
      <c r="H28" s="16">
        <f t="shared" si="0"/>
        <v>55</v>
      </c>
    </row>
    <row r="29" spans="1:8">
      <c r="A29" s="17">
        <v>43952</v>
      </c>
      <c r="B29" s="16">
        <v>4105</v>
      </c>
      <c r="C29" s="16">
        <v>4615</v>
      </c>
      <c r="D29" s="16">
        <v>4000</v>
      </c>
      <c r="E29" s="16">
        <v>4540</v>
      </c>
      <c r="F29" s="16">
        <v>4540</v>
      </c>
      <c r="G29" s="16">
        <v>65700</v>
      </c>
      <c r="H29" s="16">
        <f t="shared" si="0"/>
        <v>435</v>
      </c>
    </row>
    <row r="30" spans="1:8">
      <c r="A30" s="17">
        <v>43983</v>
      </c>
      <c r="B30" s="16">
        <v>4570</v>
      </c>
      <c r="C30" s="16">
        <v>5010</v>
      </c>
      <c r="D30" s="16">
        <v>4365</v>
      </c>
      <c r="E30" s="16">
        <v>4365</v>
      </c>
      <c r="F30" s="16">
        <v>4365</v>
      </c>
      <c r="G30" s="16">
        <v>144200</v>
      </c>
      <c r="H30" s="16">
        <f t="shared" si="0"/>
        <v>-205</v>
      </c>
    </row>
    <row r="31" spans="1:8">
      <c r="A31" s="17">
        <v>44013</v>
      </c>
      <c r="B31" s="16">
        <v>4350</v>
      </c>
      <c r="C31" s="16">
        <v>4350</v>
      </c>
      <c r="D31" s="16">
        <v>3755</v>
      </c>
      <c r="E31" s="16">
        <v>3805</v>
      </c>
      <c r="F31" s="16">
        <v>3805</v>
      </c>
      <c r="G31" s="16">
        <v>298000</v>
      </c>
      <c r="H31" s="16">
        <f t="shared" si="0"/>
        <v>-545</v>
      </c>
    </row>
    <row r="32" spans="1:8">
      <c r="A32" s="17">
        <v>44044</v>
      </c>
      <c r="B32" s="16">
        <v>3805</v>
      </c>
      <c r="C32" s="16">
        <v>4270</v>
      </c>
      <c r="D32" s="16">
        <v>3775</v>
      </c>
      <c r="E32" s="16">
        <v>3990</v>
      </c>
      <c r="F32" s="16">
        <v>3990</v>
      </c>
      <c r="G32" s="16">
        <v>61500</v>
      </c>
      <c r="H32" s="16">
        <f t="shared" si="0"/>
        <v>185</v>
      </c>
    </row>
    <row r="33" spans="1:8">
      <c r="A33" s="17">
        <v>44075</v>
      </c>
      <c r="B33" s="16">
        <v>4010</v>
      </c>
      <c r="C33" s="16">
        <v>4765</v>
      </c>
      <c r="D33" s="16">
        <v>3910</v>
      </c>
      <c r="E33" s="16">
        <v>4660</v>
      </c>
      <c r="F33" s="16">
        <v>4660</v>
      </c>
      <c r="G33" s="16">
        <v>114400</v>
      </c>
      <c r="H33" s="16">
        <f t="shared" si="0"/>
        <v>650</v>
      </c>
    </row>
    <row r="34" spans="1:8">
      <c r="A34" s="17">
        <v>44105</v>
      </c>
      <c r="B34" s="16">
        <v>4655</v>
      </c>
      <c r="C34" s="16">
        <v>4660</v>
      </c>
      <c r="D34" s="16">
        <v>4105</v>
      </c>
      <c r="E34" s="16">
        <v>4335</v>
      </c>
      <c r="F34" s="16">
        <v>4335</v>
      </c>
      <c r="G34" s="16">
        <v>72400</v>
      </c>
      <c r="H34" s="16">
        <f t="shared" ref="H34:H60" si="1">E34-B34</f>
        <v>-320</v>
      </c>
    </row>
    <row r="35" spans="1:8">
      <c r="A35" s="17">
        <v>44136</v>
      </c>
      <c r="B35" s="16">
        <v>4340</v>
      </c>
      <c r="C35" s="16">
        <v>4565</v>
      </c>
      <c r="D35" s="16">
        <v>4195</v>
      </c>
      <c r="E35" s="16">
        <v>4355</v>
      </c>
      <c r="F35" s="16">
        <v>4355</v>
      </c>
      <c r="G35" s="16">
        <v>75500</v>
      </c>
      <c r="H35" s="16">
        <f t="shared" si="1"/>
        <v>15</v>
      </c>
    </row>
    <row r="36" spans="1:8">
      <c r="A36" s="17">
        <v>44166</v>
      </c>
      <c r="B36" s="16">
        <v>4355</v>
      </c>
      <c r="C36" s="16">
        <v>4525</v>
      </c>
      <c r="D36" s="16">
        <v>4135</v>
      </c>
      <c r="E36" s="16">
        <v>4325</v>
      </c>
      <c r="F36" s="16">
        <v>4325</v>
      </c>
      <c r="G36" s="16">
        <v>201800</v>
      </c>
      <c r="H36" s="16">
        <f t="shared" si="1"/>
        <v>-30</v>
      </c>
    </row>
    <row r="37" spans="1:8">
      <c r="A37" s="17">
        <v>44200</v>
      </c>
      <c r="B37" s="16">
        <v>4400</v>
      </c>
      <c r="C37" s="16">
        <v>4470</v>
      </c>
      <c r="D37" s="16">
        <v>4170</v>
      </c>
      <c r="E37" s="16">
        <v>4295</v>
      </c>
      <c r="F37" s="16">
        <v>4295</v>
      </c>
      <c r="G37" s="16">
        <v>323100</v>
      </c>
      <c r="H37" s="16">
        <f t="shared" si="1"/>
        <v>-105</v>
      </c>
    </row>
    <row r="38" spans="1:8">
      <c r="A38" s="17">
        <v>44228</v>
      </c>
      <c r="B38" s="16">
        <v>4320</v>
      </c>
      <c r="C38" s="16">
        <v>4565</v>
      </c>
      <c r="D38" s="16">
        <v>4270</v>
      </c>
      <c r="E38" s="16">
        <v>4280</v>
      </c>
      <c r="F38" s="16">
        <v>4280</v>
      </c>
      <c r="G38" s="16">
        <v>65800</v>
      </c>
      <c r="H38" s="16">
        <f t="shared" si="1"/>
        <v>-40</v>
      </c>
    </row>
    <row r="39" spans="1:8">
      <c r="A39" s="17">
        <v>44256</v>
      </c>
      <c r="B39" s="16">
        <v>4310</v>
      </c>
      <c r="C39" s="16">
        <v>5170</v>
      </c>
      <c r="D39" s="16">
        <v>4310</v>
      </c>
      <c r="E39" s="16">
        <v>4825</v>
      </c>
      <c r="F39" s="16">
        <v>4825</v>
      </c>
      <c r="G39" s="16">
        <v>155800</v>
      </c>
      <c r="H39" s="16">
        <f t="shared" si="1"/>
        <v>515</v>
      </c>
    </row>
    <row r="40" spans="1:8">
      <c r="A40" s="17">
        <v>44287</v>
      </c>
      <c r="B40" s="16">
        <v>4825</v>
      </c>
      <c r="C40" s="16">
        <v>4925</v>
      </c>
      <c r="D40" s="16">
        <v>4260</v>
      </c>
      <c r="E40" s="16">
        <v>4260</v>
      </c>
      <c r="F40" s="16">
        <v>4260</v>
      </c>
      <c r="G40" s="16">
        <v>124600</v>
      </c>
      <c r="H40" s="16">
        <f t="shared" si="1"/>
        <v>-565</v>
      </c>
    </row>
    <row r="41" spans="1:8">
      <c r="A41" s="17">
        <v>44322</v>
      </c>
      <c r="B41" s="16">
        <v>4260</v>
      </c>
      <c r="C41" s="16">
        <v>4340</v>
      </c>
      <c r="D41" s="16">
        <v>3905</v>
      </c>
      <c r="E41" s="16">
        <v>4005</v>
      </c>
      <c r="F41" s="16">
        <v>4005</v>
      </c>
      <c r="G41" s="16">
        <v>135700</v>
      </c>
      <c r="H41" s="16">
        <f t="shared" si="1"/>
        <v>-255</v>
      </c>
    </row>
    <row r="42" spans="1:8">
      <c r="A42" s="17">
        <v>44348</v>
      </c>
      <c r="B42" s="16">
        <v>4035</v>
      </c>
      <c r="C42" s="16">
        <v>4425</v>
      </c>
      <c r="D42" s="16">
        <v>4035</v>
      </c>
      <c r="E42" s="16">
        <v>4150</v>
      </c>
      <c r="F42" s="16">
        <v>4150</v>
      </c>
      <c r="G42" s="16">
        <v>143100</v>
      </c>
      <c r="H42" s="16">
        <f t="shared" si="1"/>
        <v>115</v>
      </c>
    </row>
    <row r="43" spans="1:8">
      <c r="A43" s="17">
        <v>44378</v>
      </c>
      <c r="B43" s="16">
        <v>4180</v>
      </c>
      <c r="C43" s="16">
        <v>4265</v>
      </c>
      <c r="D43" s="16">
        <v>3965</v>
      </c>
      <c r="E43" s="16">
        <v>3965</v>
      </c>
      <c r="F43" s="16">
        <v>3965</v>
      </c>
      <c r="G43" s="16">
        <v>489000</v>
      </c>
      <c r="H43" s="16">
        <f t="shared" si="1"/>
        <v>-215</v>
      </c>
    </row>
    <row r="44" spans="1:8">
      <c r="A44" s="17">
        <v>44410</v>
      </c>
      <c r="B44" s="16">
        <v>3980</v>
      </c>
      <c r="C44" s="16">
        <v>4145</v>
      </c>
      <c r="D44" s="16">
        <v>3930</v>
      </c>
      <c r="E44" s="16">
        <v>4120</v>
      </c>
      <c r="F44" s="16">
        <v>4120</v>
      </c>
      <c r="G44" s="16">
        <v>74400</v>
      </c>
      <c r="H44" s="16">
        <f t="shared" si="1"/>
        <v>140</v>
      </c>
    </row>
    <row r="45" spans="1:8">
      <c r="A45" s="17">
        <v>44440</v>
      </c>
      <c r="B45" s="16">
        <v>4130</v>
      </c>
      <c r="C45" s="16">
        <v>4240</v>
      </c>
      <c r="D45" s="16">
        <v>4075</v>
      </c>
      <c r="E45" s="16">
        <v>4130</v>
      </c>
      <c r="F45" s="16">
        <v>4130</v>
      </c>
      <c r="G45" s="16">
        <v>99700</v>
      </c>
      <c r="H45" s="16">
        <f t="shared" si="1"/>
        <v>0</v>
      </c>
    </row>
    <row r="46" spans="1:8">
      <c r="A46" s="17">
        <v>44470</v>
      </c>
      <c r="B46" s="16">
        <v>4140</v>
      </c>
      <c r="C46" s="16">
        <v>4140</v>
      </c>
      <c r="D46" s="16">
        <v>3980</v>
      </c>
      <c r="E46" s="16">
        <v>4060</v>
      </c>
      <c r="F46" s="16">
        <v>4060</v>
      </c>
      <c r="G46" s="16">
        <v>79800</v>
      </c>
      <c r="H46" s="16">
        <f t="shared" si="1"/>
        <v>-80</v>
      </c>
    </row>
    <row r="47" spans="1:8">
      <c r="A47" s="17">
        <v>44501</v>
      </c>
      <c r="B47" s="16">
        <v>4100</v>
      </c>
      <c r="C47" s="16">
        <v>4175</v>
      </c>
      <c r="D47" s="16">
        <v>3970</v>
      </c>
      <c r="E47" s="16">
        <v>3980</v>
      </c>
      <c r="F47" s="16">
        <v>3980</v>
      </c>
      <c r="G47" s="16">
        <v>38100</v>
      </c>
      <c r="H47" s="16">
        <f t="shared" si="1"/>
        <v>-120</v>
      </c>
    </row>
    <row r="48" spans="1:8">
      <c r="A48" s="17">
        <v>44531</v>
      </c>
      <c r="B48" s="16">
        <v>3980</v>
      </c>
      <c r="C48" s="16">
        <v>4120</v>
      </c>
      <c r="D48" s="16">
        <v>3935</v>
      </c>
      <c r="E48" s="16">
        <v>4015</v>
      </c>
      <c r="F48" s="16">
        <v>4015</v>
      </c>
      <c r="G48" s="16">
        <v>147700</v>
      </c>
      <c r="H48" s="16">
        <f t="shared" si="1"/>
        <v>35</v>
      </c>
    </row>
    <row r="49" spans="1:8">
      <c r="A49" s="17">
        <v>44565</v>
      </c>
      <c r="B49" s="16">
        <v>4035</v>
      </c>
      <c r="C49" s="16">
        <v>4130</v>
      </c>
      <c r="D49" s="16">
        <v>3820</v>
      </c>
      <c r="E49" s="16">
        <v>3840</v>
      </c>
      <c r="F49" s="16">
        <v>3840</v>
      </c>
      <c r="G49" s="16">
        <v>404900</v>
      </c>
      <c r="H49" s="16">
        <f t="shared" si="1"/>
        <v>-195</v>
      </c>
    </row>
    <row r="50" spans="1:8">
      <c r="A50" s="17">
        <v>44593</v>
      </c>
      <c r="B50" s="16">
        <v>3870</v>
      </c>
      <c r="C50" s="16">
        <v>4050</v>
      </c>
      <c r="D50" s="16">
        <v>3820</v>
      </c>
      <c r="E50" s="16">
        <v>4050</v>
      </c>
      <c r="F50" s="16">
        <v>4050</v>
      </c>
      <c r="G50" s="16">
        <v>84200</v>
      </c>
      <c r="H50" s="16">
        <f t="shared" si="1"/>
        <v>180</v>
      </c>
    </row>
    <row r="51" spans="1:8">
      <c r="A51" s="17">
        <v>44621</v>
      </c>
      <c r="B51" s="16">
        <v>4050</v>
      </c>
      <c r="C51" s="16">
        <v>4215</v>
      </c>
      <c r="D51" s="16">
        <v>3900</v>
      </c>
      <c r="E51" s="16">
        <v>4145</v>
      </c>
      <c r="F51" s="16">
        <v>4145</v>
      </c>
      <c r="G51" s="16">
        <v>117200</v>
      </c>
      <c r="H51" s="16">
        <f t="shared" si="1"/>
        <v>95</v>
      </c>
    </row>
    <row r="52" spans="1:8">
      <c r="A52" s="17">
        <v>44652</v>
      </c>
      <c r="B52" s="16">
        <v>4130</v>
      </c>
      <c r="C52" s="16">
        <v>4150</v>
      </c>
      <c r="D52" s="16">
        <v>3850</v>
      </c>
      <c r="E52" s="16">
        <v>3955</v>
      </c>
      <c r="F52" s="16">
        <v>3955</v>
      </c>
      <c r="G52" s="16">
        <v>67600</v>
      </c>
      <c r="H52" s="16">
        <f t="shared" si="1"/>
        <v>-175</v>
      </c>
    </row>
    <row r="53" spans="1:8">
      <c r="A53" s="17">
        <v>44683</v>
      </c>
      <c r="B53" s="16">
        <v>3955</v>
      </c>
      <c r="C53" s="16">
        <v>4045</v>
      </c>
      <c r="D53" s="16">
        <v>3895</v>
      </c>
      <c r="E53" s="16">
        <v>3970</v>
      </c>
      <c r="F53" s="16">
        <v>3970</v>
      </c>
      <c r="G53" s="16">
        <v>67800</v>
      </c>
      <c r="H53" s="16">
        <f t="shared" si="1"/>
        <v>15</v>
      </c>
    </row>
    <row r="54" spans="1:8">
      <c r="A54" s="17">
        <v>44713</v>
      </c>
      <c r="B54" s="16">
        <v>3990</v>
      </c>
      <c r="C54" s="16">
        <v>4270</v>
      </c>
      <c r="D54" s="16">
        <v>3770</v>
      </c>
      <c r="E54" s="16">
        <v>3940</v>
      </c>
      <c r="F54" s="16">
        <v>3940</v>
      </c>
      <c r="G54" s="16">
        <v>312900</v>
      </c>
      <c r="H54" s="16">
        <f t="shared" si="1"/>
        <v>-50</v>
      </c>
    </row>
    <row r="55" spans="1:8">
      <c r="A55" s="17">
        <v>44743</v>
      </c>
      <c r="B55" s="16">
        <v>3950</v>
      </c>
      <c r="C55" s="16">
        <v>4075</v>
      </c>
      <c r="D55" s="16">
        <v>3895</v>
      </c>
      <c r="E55" s="16">
        <v>3995</v>
      </c>
      <c r="F55" s="16">
        <v>3995</v>
      </c>
      <c r="G55" s="16">
        <v>281000</v>
      </c>
      <c r="H55" s="16">
        <f t="shared" si="1"/>
        <v>45</v>
      </c>
    </row>
    <row r="56" spans="1:8">
      <c r="A56" s="17">
        <v>44774</v>
      </c>
      <c r="B56" s="16">
        <v>4000</v>
      </c>
      <c r="C56" s="16">
        <v>4095</v>
      </c>
      <c r="D56" s="16">
        <v>3960</v>
      </c>
      <c r="E56" s="16">
        <v>4070</v>
      </c>
      <c r="F56" s="16">
        <v>4070</v>
      </c>
      <c r="G56" s="16">
        <v>76600</v>
      </c>
      <c r="H56" s="16">
        <f t="shared" si="1"/>
        <v>70</v>
      </c>
    </row>
    <row r="57" spans="1:8">
      <c r="A57" s="17">
        <v>44805</v>
      </c>
      <c r="B57" s="16">
        <v>4080</v>
      </c>
      <c r="C57" s="16">
        <v>4090</v>
      </c>
      <c r="D57" s="16">
        <v>3920</v>
      </c>
      <c r="E57" s="16">
        <v>3940</v>
      </c>
      <c r="F57" s="16">
        <v>3940</v>
      </c>
      <c r="G57" s="16">
        <v>141200</v>
      </c>
      <c r="H57" s="16">
        <f t="shared" si="1"/>
        <v>-140</v>
      </c>
    </row>
    <row r="58" spans="1:8">
      <c r="A58" s="17">
        <v>44837</v>
      </c>
      <c r="B58" s="16">
        <v>3950</v>
      </c>
      <c r="C58" s="16">
        <v>4270</v>
      </c>
      <c r="D58" s="16">
        <v>3865</v>
      </c>
      <c r="E58" s="16">
        <v>4245</v>
      </c>
      <c r="F58" s="16">
        <v>4245</v>
      </c>
      <c r="G58" s="16">
        <v>137500</v>
      </c>
      <c r="H58" s="16">
        <f t="shared" si="1"/>
        <v>295</v>
      </c>
    </row>
    <row r="59" spans="1:8">
      <c r="A59" s="17">
        <v>44866</v>
      </c>
      <c r="B59" s="16">
        <v>4245</v>
      </c>
      <c r="C59" s="16">
        <v>4405</v>
      </c>
      <c r="D59" s="16">
        <v>4105</v>
      </c>
      <c r="E59" s="16">
        <v>4355</v>
      </c>
      <c r="F59" s="16">
        <v>4355</v>
      </c>
      <c r="G59" s="16">
        <v>81400</v>
      </c>
      <c r="H59" s="16">
        <f t="shared" si="1"/>
        <v>110</v>
      </c>
    </row>
    <row r="60" spans="1:8">
      <c r="A60" s="17">
        <v>44896</v>
      </c>
      <c r="B60" s="16">
        <v>4400</v>
      </c>
      <c r="C60" s="16">
        <v>4495</v>
      </c>
      <c r="D60" s="16">
        <v>4050</v>
      </c>
      <c r="E60" s="16">
        <v>4070</v>
      </c>
      <c r="F60" s="16">
        <v>4070</v>
      </c>
      <c r="G60" s="16">
        <v>267600</v>
      </c>
      <c r="H60" s="16">
        <f t="shared" si="1"/>
        <v>-330</v>
      </c>
    </row>
  </sheetData>
  <phoneticPr fontId="32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630F7-DD3A-4DD6-A28B-FD9FF8874059}">
  <sheetPr codeName="Sheet34"/>
  <dimension ref="A1:DY60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43132</v>
      </c>
      <c r="B2" s="16">
        <v>1565</v>
      </c>
      <c r="C2" s="16">
        <v>1583</v>
      </c>
      <c r="D2" s="16">
        <v>1333</v>
      </c>
      <c r="E2" s="16">
        <v>1414</v>
      </c>
      <c r="F2" s="16">
        <v>1414</v>
      </c>
      <c r="G2" s="16">
        <v>523300</v>
      </c>
      <c r="H2" s="16">
        <f t="shared" ref="H2:H33" si="0">E2-B2</f>
        <v>-151</v>
      </c>
      <c r="J2" s="18" cm="1">
        <f t="array" ref="J2:Q5">_xlfn._xlws.FILTER(A2:H60,MONTH(A2:A60)=1,"")</f>
        <v>43466</v>
      </c>
      <c r="K2" s="16">
        <v>709</v>
      </c>
      <c r="L2" s="16">
        <v>798</v>
      </c>
      <c r="M2" s="16">
        <v>704</v>
      </c>
      <c r="N2" s="16">
        <v>750</v>
      </c>
      <c r="O2" s="16">
        <v>750</v>
      </c>
      <c r="P2" s="16">
        <v>451600</v>
      </c>
      <c r="Q2" s="16">
        <v>41</v>
      </c>
      <c r="R2" s="16">
        <f>Q2/K2*100</f>
        <v>5.7827926657263751</v>
      </c>
      <c r="S2" s="16">
        <f>COUNT(Q2:Q5)</f>
        <v>4</v>
      </c>
      <c r="T2" s="18" cm="1">
        <f t="array" ref="T2:AA6">_xlfn._xlws.FILTER(A2:H60,MONTH(A2:A60)=2,"")</f>
        <v>43132</v>
      </c>
      <c r="U2" s="16">
        <v>1565</v>
      </c>
      <c r="V2" s="16">
        <v>1583</v>
      </c>
      <c r="W2" s="16">
        <v>1333</v>
      </c>
      <c r="X2" s="16">
        <v>1414</v>
      </c>
      <c r="Y2" s="16">
        <v>1414</v>
      </c>
      <c r="Z2" s="16">
        <v>523300</v>
      </c>
      <c r="AA2" s="16">
        <v>-151</v>
      </c>
      <c r="AB2" s="16">
        <f>AA2/U2*100</f>
        <v>-9.6485623003194885</v>
      </c>
      <c r="AC2" s="16">
        <f>COUNT(AA2:AA6)</f>
        <v>5</v>
      </c>
      <c r="AD2" s="18" cm="1">
        <f t="array" ref="AD2:AK6">_xlfn._xlws.FILTER(A2:H60,MONTH(A2:A60)=3,"")</f>
        <v>43160</v>
      </c>
      <c r="AE2" s="16">
        <v>1410</v>
      </c>
      <c r="AF2" s="16">
        <v>1416</v>
      </c>
      <c r="AG2" s="16">
        <v>1280</v>
      </c>
      <c r="AH2" s="16">
        <v>1404</v>
      </c>
      <c r="AI2" s="16">
        <v>1404</v>
      </c>
      <c r="AJ2" s="16">
        <v>414600</v>
      </c>
      <c r="AK2" s="16">
        <v>-6</v>
      </c>
      <c r="AL2" s="16">
        <f>AK2/AE2*100</f>
        <v>-0.42553191489361702</v>
      </c>
      <c r="AM2" s="16">
        <f>COUNT(AK2:AK6)</f>
        <v>5</v>
      </c>
      <c r="AN2" s="18" cm="1">
        <f t="array" ref="AN2:AU6">_xlfn._xlws.FILTER(A2:H60,MONTH(A2:A60)=4,"")</f>
        <v>43191</v>
      </c>
      <c r="AO2" s="16">
        <v>1404</v>
      </c>
      <c r="AP2" s="16">
        <v>1459</v>
      </c>
      <c r="AQ2" s="16">
        <v>1365</v>
      </c>
      <c r="AR2" s="16">
        <v>1422</v>
      </c>
      <c r="AS2" s="16">
        <v>1422</v>
      </c>
      <c r="AT2" s="16">
        <v>360800</v>
      </c>
      <c r="AU2" s="16">
        <v>18</v>
      </c>
      <c r="AV2" s="16">
        <f>AU2/AO2*100</f>
        <v>1.2820512820512819</v>
      </c>
      <c r="AW2" s="16">
        <f>COUNT(AU2:AU6)</f>
        <v>5</v>
      </c>
      <c r="AX2" s="18" cm="1">
        <f t="array" ref="AX2:BE6">_xlfn._xlws.FILTER(A2:H60,MONTH(A2:A60)=5,"")</f>
        <v>43221</v>
      </c>
      <c r="AY2" s="16">
        <v>1423</v>
      </c>
      <c r="AZ2" s="16">
        <v>1436</v>
      </c>
      <c r="BA2" s="16">
        <v>1347</v>
      </c>
      <c r="BB2" s="16">
        <v>1349</v>
      </c>
      <c r="BC2" s="16">
        <v>1349</v>
      </c>
      <c r="BD2" s="16">
        <v>220100</v>
      </c>
      <c r="BE2" s="16">
        <v>-74</v>
      </c>
      <c r="BF2" s="16">
        <f>BE2/AY2*100</f>
        <v>-5.2002810962754742</v>
      </c>
      <c r="BG2" s="16">
        <f>COUNT(BE2:BE6)</f>
        <v>5</v>
      </c>
      <c r="BH2" s="18" cm="1">
        <f t="array" ref="BH2:BO6">_xlfn._xlws.FILTER(A2:H60,MONTH(A2:A60)=6,"")</f>
        <v>43252</v>
      </c>
      <c r="BI2" s="16">
        <v>1349</v>
      </c>
      <c r="BJ2" s="16">
        <v>1413</v>
      </c>
      <c r="BK2" s="16">
        <v>1258</v>
      </c>
      <c r="BL2" s="16">
        <v>1279</v>
      </c>
      <c r="BM2" s="16">
        <v>1279</v>
      </c>
      <c r="BN2" s="16">
        <v>232500</v>
      </c>
      <c r="BO2" s="16">
        <v>-70</v>
      </c>
      <c r="BP2" s="16">
        <f>BO2/BI2*100</f>
        <v>-5.1890289103039295</v>
      </c>
      <c r="BQ2" s="16">
        <f>COUNT(BO2:BO6)</f>
        <v>5</v>
      </c>
      <c r="BR2" s="18" cm="1">
        <f t="array" ref="BR2:BY6">_xlfn._xlws.FILTER(A2:H60,MONTH(A2:A60)=7,"")</f>
        <v>43282</v>
      </c>
      <c r="BS2" s="16">
        <v>1273</v>
      </c>
      <c r="BT2" s="16">
        <v>1328</v>
      </c>
      <c r="BU2" s="16">
        <v>1164</v>
      </c>
      <c r="BV2" s="16">
        <v>1199</v>
      </c>
      <c r="BW2" s="16">
        <v>1199</v>
      </c>
      <c r="BX2" s="16">
        <v>394700</v>
      </c>
      <c r="BY2" s="16">
        <v>-74</v>
      </c>
      <c r="BZ2" s="16">
        <f>BY2/BS2*100</f>
        <v>-5.8130400628436769</v>
      </c>
      <c r="CA2" s="16">
        <f>COUNT(BY2:BY6)</f>
        <v>5</v>
      </c>
      <c r="CB2" s="18" cm="1">
        <f t="array" ref="CB2:CI6">_xlfn._xlws.FILTER(A2:H60,MONTH(A2:A60)=8,"")</f>
        <v>43313</v>
      </c>
      <c r="CC2" s="16">
        <v>1193</v>
      </c>
      <c r="CD2" s="16">
        <v>1213</v>
      </c>
      <c r="CE2" s="16">
        <v>1103</v>
      </c>
      <c r="CF2" s="16">
        <v>1173</v>
      </c>
      <c r="CG2" s="16">
        <v>1173</v>
      </c>
      <c r="CH2" s="16">
        <v>218700</v>
      </c>
      <c r="CI2" s="16">
        <v>-20</v>
      </c>
      <c r="CJ2" s="16">
        <f>CI2/CC2*100</f>
        <v>-1.6764459346186085</v>
      </c>
      <c r="CK2" s="16">
        <f>COUNT(CI2:CI6)</f>
        <v>5</v>
      </c>
      <c r="CL2" s="18" cm="1">
        <f t="array" ref="CL2:CS6">_xlfn._xlws.FILTER(A2:H60,MONTH(A2:A60)=9,"")</f>
        <v>43344</v>
      </c>
      <c r="CM2" s="16">
        <v>1179</v>
      </c>
      <c r="CN2" s="16">
        <v>1285</v>
      </c>
      <c r="CO2" s="16">
        <v>1125</v>
      </c>
      <c r="CP2" s="16">
        <v>1270</v>
      </c>
      <c r="CQ2" s="16">
        <v>1270</v>
      </c>
      <c r="CR2" s="16">
        <v>245100</v>
      </c>
      <c r="CS2" s="16">
        <v>91</v>
      </c>
      <c r="CT2" s="16">
        <f>CS2/CM2*100</f>
        <v>7.7184054283290919</v>
      </c>
      <c r="CU2" s="16">
        <f>COUNT(CS2:CS6)</f>
        <v>5</v>
      </c>
      <c r="CV2" s="18" cm="1">
        <f t="array" ref="CV2:DC6">_xlfn._xlws.FILTER(A2:H60,MONTH(A2:A60)=10,"")</f>
        <v>43374</v>
      </c>
      <c r="CW2" s="16">
        <v>1284</v>
      </c>
      <c r="CX2" s="16">
        <v>1287</v>
      </c>
      <c r="CY2" s="16">
        <v>990</v>
      </c>
      <c r="CZ2" s="16">
        <v>1074</v>
      </c>
      <c r="DA2" s="16">
        <v>1074</v>
      </c>
      <c r="DB2" s="16">
        <v>303000</v>
      </c>
      <c r="DC2" s="16">
        <v>-210</v>
      </c>
      <c r="DD2" s="16">
        <f>DC2/CW2*100</f>
        <v>-16.355140186915886</v>
      </c>
      <c r="DE2" s="16">
        <f>COUNT(DC2:DC6)</f>
        <v>5</v>
      </c>
      <c r="DF2" s="18" cm="1">
        <f t="array" ref="DF2:DM6">_xlfn._xlws.FILTER(A2:H60,MONTH(A2:A60)=11,"")</f>
        <v>43405</v>
      </c>
      <c r="DG2" s="16">
        <v>1063</v>
      </c>
      <c r="DH2" s="16">
        <v>1108</v>
      </c>
      <c r="DI2" s="16">
        <v>940</v>
      </c>
      <c r="DJ2" s="16">
        <v>1012</v>
      </c>
      <c r="DK2" s="16">
        <v>1012</v>
      </c>
      <c r="DL2" s="16">
        <v>302700</v>
      </c>
      <c r="DM2" s="16">
        <v>-51</v>
      </c>
      <c r="DN2" s="16">
        <f>DM2/DG2*100</f>
        <v>-4.7977422389463777</v>
      </c>
      <c r="DO2" s="16">
        <f>COUNT(DM2:DM6)</f>
        <v>5</v>
      </c>
      <c r="DP2" s="18" cm="1">
        <f t="array" ref="DP2:DW6">_xlfn._xlws.FILTER(A2:H60,MONTH(A2:A60)=12,"")</f>
        <v>43435</v>
      </c>
      <c r="DQ2" s="16">
        <v>1019</v>
      </c>
      <c r="DR2" s="16">
        <v>1032</v>
      </c>
      <c r="DS2" s="16">
        <v>633</v>
      </c>
      <c r="DT2" s="16">
        <v>743</v>
      </c>
      <c r="DU2" s="16">
        <v>743</v>
      </c>
      <c r="DV2" s="16">
        <v>587200</v>
      </c>
      <c r="DW2" s="16">
        <v>-276</v>
      </c>
      <c r="DX2" s="16">
        <f>DW2/DQ2*100</f>
        <v>-27.085377821393525</v>
      </c>
      <c r="DY2" s="16">
        <f>COUNT(DW2:DW6)</f>
        <v>5</v>
      </c>
    </row>
    <row r="3" spans="1:129">
      <c r="A3" s="17">
        <v>43160</v>
      </c>
      <c r="B3" s="16">
        <v>1410</v>
      </c>
      <c r="C3" s="16">
        <v>1416</v>
      </c>
      <c r="D3" s="16">
        <v>1280</v>
      </c>
      <c r="E3" s="16">
        <v>1404</v>
      </c>
      <c r="F3" s="16">
        <v>1404</v>
      </c>
      <c r="G3" s="16">
        <v>414600</v>
      </c>
      <c r="H3" s="16">
        <f t="shared" si="0"/>
        <v>-6</v>
      </c>
      <c r="J3" s="18">
        <v>43831</v>
      </c>
      <c r="K3" s="16">
        <v>621</v>
      </c>
      <c r="L3" s="16">
        <v>685</v>
      </c>
      <c r="M3" s="16">
        <v>595</v>
      </c>
      <c r="N3" s="16">
        <v>597</v>
      </c>
      <c r="O3" s="16">
        <v>597</v>
      </c>
      <c r="P3" s="16">
        <v>278600</v>
      </c>
      <c r="Q3" s="16">
        <v>-24</v>
      </c>
      <c r="R3" s="16">
        <f>Q3/K3*100</f>
        <v>-3.8647342995169081</v>
      </c>
      <c r="S3" s="16">
        <f>COUNTIF(Q2:Q5,"&gt;0")</f>
        <v>1</v>
      </c>
      <c r="T3" s="18">
        <v>43497</v>
      </c>
      <c r="U3" s="16">
        <v>746</v>
      </c>
      <c r="V3" s="16">
        <v>766</v>
      </c>
      <c r="W3" s="16">
        <v>707</v>
      </c>
      <c r="X3" s="16">
        <v>737</v>
      </c>
      <c r="Y3" s="16">
        <v>737</v>
      </c>
      <c r="Z3" s="16">
        <v>267400</v>
      </c>
      <c r="AA3" s="16">
        <v>-9</v>
      </c>
      <c r="AB3" s="16">
        <f>AA3/U3*100</f>
        <v>-1.2064343163538873</v>
      </c>
      <c r="AC3" s="16">
        <f>COUNTIF(AA2:AA6,"&gt;0")</f>
        <v>2</v>
      </c>
      <c r="AD3" s="18">
        <v>43525</v>
      </c>
      <c r="AE3" s="16">
        <v>734</v>
      </c>
      <c r="AF3" s="16">
        <v>758</v>
      </c>
      <c r="AG3" s="16">
        <v>682</v>
      </c>
      <c r="AH3" s="16">
        <v>696</v>
      </c>
      <c r="AI3" s="16">
        <v>696</v>
      </c>
      <c r="AJ3" s="16">
        <v>262600</v>
      </c>
      <c r="AK3" s="16">
        <v>-38</v>
      </c>
      <c r="AL3" s="16">
        <f>AK3/AE3*100</f>
        <v>-5.1771117166212539</v>
      </c>
      <c r="AM3" s="16">
        <f>COUNTIF(AK2:AK6,"&gt;0")</f>
        <v>2</v>
      </c>
      <c r="AN3" s="18">
        <v>43556</v>
      </c>
      <c r="AO3" s="16">
        <v>708</v>
      </c>
      <c r="AP3" s="16">
        <v>735</v>
      </c>
      <c r="AQ3" s="16">
        <v>694</v>
      </c>
      <c r="AR3" s="16">
        <v>705</v>
      </c>
      <c r="AS3" s="16">
        <v>705</v>
      </c>
      <c r="AT3" s="16">
        <v>234100</v>
      </c>
      <c r="AU3" s="16">
        <v>-3</v>
      </c>
      <c r="AV3" s="16">
        <f>AU3/AO3*100</f>
        <v>-0.42372881355932202</v>
      </c>
      <c r="AW3" s="16">
        <f>COUNTIF(AU2:AU6,"&gt;0")</f>
        <v>2</v>
      </c>
      <c r="AX3" s="18">
        <v>43586</v>
      </c>
      <c r="AY3" s="16">
        <v>700</v>
      </c>
      <c r="AZ3" s="16">
        <v>705</v>
      </c>
      <c r="BA3" s="16">
        <v>641</v>
      </c>
      <c r="BB3" s="16">
        <v>655</v>
      </c>
      <c r="BC3" s="16">
        <v>655</v>
      </c>
      <c r="BD3" s="16">
        <v>288400</v>
      </c>
      <c r="BE3" s="16">
        <v>-45</v>
      </c>
      <c r="BF3" s="16">
        <f>BE3/AY3*100</f>
        <v>-6.4285714285714279</v>
      </c>
      <c r="BG3" s="16">
        <f>COUNTIF(BE2:BE6,"&gt;0")</f>
        <v>1</v>
      </c>
      <c r="BH3" s="18">
        <v>43617</v>
      </c>
      <c r="BI3" s="16">
        <v>650</v>
      </c>
      <c r="BJ3" s="16">
        <v>688</v>
      </c>
      <c r="BK3" s="16">
        <v>636</v>
      </c>
      <c r="BL3" s="16">
        <v>667</v>
      </c>
      <c r="BM3" s="16">
        <v>667</v>
      </c>
      <c r="BN3" s="16">
        <v>244800</v>
      </c>
      <c r="BO3" s="16">
        <v>17</v>
      </c>
      <c r="BP3" s="16">
        <f>BO3/BI3*100</f>
        <v>2.6153846153846154</v>
      </c>
      <c r="BQ3" s="16">
        <f>COUNTIF(BO2:BO6,"&gt;0")</f>
        <v>2</v>
      </c>
      <c r="BR3" s="18">
        <v>43647</v>
      </c>
      <c r="BS3" s="16">
        <v>674</v>
      </c>
      <c r="BT3" s="16">
        <v>680</v>
      </c>
      <c r="BU3" s="16">
        <v>621</v>
      </c>
      <c r="BV3" s="16">
        <v>629</v>
      </c>
      <c r="BW3" s="16">
        <v>629</v>
      </c>
      <c r="BX3" s="16">
        <v>245500</v>
      </c>
      <c r="BY3" s="16">
        <v>-45</v>
      </c>
      <c r="BZ3" s="16">
        <f>BY3/BS3*100</f>
        <v>-6.6765578635014835</v>
      </c>
      <c r="CA3" s="16">
        <f>COUNTIF(BY2:BY6,"&gt;0")</f>
        <v>0</v>
      </c>
      <c r="CB3" s="18">
        <v>43678</v>
      </c>
      <c r="CC3" s="16">
        <v>630</v>
      </c>
      <c r="CD3" s="16">
        <v>638</v>
      </c>
      <c r="CE3" s="16">
        <v>548</v>
      </c>
      <c r="CF3" s="16">
        <v>557</v>
      </c>
      <c r="CG3" s="16">
        <v>557</v>
      </c>
      <c r="CH3" s="16">
        <v>206800</v>
      </c>
      <c r="CI3" s="16">
        <v>-73</v>
      </c>
      <c r="CJ3" s="16">
        <f>CI3/CC3*100</f>
        <v>-11.587301587301587</v>
      </c>
      <c r="CK3" s="16">
        <f>COUNTIF(CI2:CI6,"&gt;0")</f>
        <v>2</v>
      </c>
      <c r="CL3" s="18">
        <v>43709</v>
      </c>
      <c r="CM3" s="16">
        <v>554</v>
      </c>
      <c r="CN3" s="16">
        <v>625</v>
      </c>
      <c r="CO3" s="16">
        <v>544</v>
      </c>
      <c r="CP3" s="16">
        <v>591</v>
      </c>
      <c r="CQ3" s="16">
        <v>591</v>
      </c>
      <c r="CR3" s="16">
        <v>290600</v>
      </c>
      <c r="CS3" s="16">
        <v>37</v>
      </c>
      <c r="CT3" s="16">
        <f>CS3/CM3*100</f>
        <v>6.6787003610108311</v>
      </c>
      <c r="CU3" s="16">
        <f>COUNTIF(CS2:CS6,"&gt;0")</f>
        <v>4</v>
      </c>
      <c r="CV3" s="18">
        <v>43739</v>
      </c>
      <c r="CW3" s="16">
        <v>605</v>
      </c>
      <c r="CX3" s="16">
        <v>683</v>
      </c>
      <c r="CY3" s="16">
        <v>599</v>
      </c>
      <c r="CZ3" s="16">
        <v>634</v>
      </c>
      <c r="DA3" s="16">
        <v>634</v>
      </c>
      <c r="DB3" s="16">
        <v>391300</v>
      </c>
      <c r="DC3" s="16">
        <v>29</v>
      </c>
      <c r="DD3" s="16">
        <f>DC3/CW3*100</f>
        <v>4.7933884297520661</v>
      </c>
      <c r="DE3" s="16">
        <f>COUNTIF(DC2:DC6,"&gt;0")</f>
        <v>1</v>
      </c>
      <c r="DF3" s="18">
        <v>43770</v>
      </c>
      <c r="DG3" s="16">
        <v>629</v>
      </c>
      <c r="DH3" s="16">
        <v>729</v>
      </c>
      <c r="DI3" s="16">
        <v>629</v>
      </c>
      <c r="DJ3" s="16">
        <v>677</v>
      </c>
      <c r="DK3" s="16">
        <v>677</v>
      </c>
      <c r="DL3" s="16">
        <v>308100</v>
      </c>
      <c r="DM3" s="16">
        <v>48</v>
      </c>
      <c r="DN3" s="16">
        <f>DM3/DG3*100</f>
        <v>7.6311605723370421</v>
      </c>
      <c r="DO3" s="16">
        <f>COUNTIF(DM2:DM6,"&gt;0")</f>
        <v>3</v>
      </c>
      <c r="DP3" s="18">
        <v>43800</v>
      </c>
      <c r="DQ3" s="16">
        <v>681</v>
      </c>
      <c r="DR3" s="16">
        <v>697</v>
      </c>
      <c r="DS3" s="16">
        <v>616</v>
      </c>
      <c r="DT3" s="16">
        <v>623</v>
      </c>
      <c r="DU3" s="16">
        <v>623</v>
      </c>
      <c r="DV3" s="16">
        <v>284700</v>
      </c>
      <c r="DW3" s="16">
        <v>-58</v>
      </c>
      <c r="DX3" s="16">
        <f>DW3/DQ3*100</f>
        <v>-8.5168869309838477</v>
      </c>
      <c r="DY3" s="16">
        <f>COUNTIF(DW2:DW6,"&gt;0")</f>
        <v>1</v>
      </c>
    </row>
    <row r="4" spans="1:129">
      <c r="A4" s="17">
        <v>43191</v>
      </c>
      <c r="B4" s="16">
        <v>1404</v>
      </c>
      <c r="C4" s="16">
        <v>1459</v>
      </c>
      <c r="D4" s="16">
        <v>1365</v>
      </c>
      <c r="E4" s="16">
        <v>1422</v>
      </c>
      <c r="F4" s="16">
        <v>1422</v>
      </c>
      <c r="G4" s="16">
        <v>360800</v>
      </c>
      <c r="H4" s="16">
        <f t="shared" si="0"/>
        <v>18</v>
      </c>
      <c r="J4" s="18">
        <v>44200</v>
      </c>
      <c r="K4" s="16">
        <v>630</v>
      </c>
      <c r="L4" s="16">
        <v>719</v>
      </c>
      <c r="M4" s="16">
        <v>612</v>
      </c>
      <c r="N4" s="16">
        <v>625</v>
      </c>
      <c r="O4" s="16">
        <v>625</v>
      </c>
      <c r="P4" s="16">
        <v>530900</v>
      </c>
      <c r="Q4" s="16">
        <v>-5</v>
      </c>
      <c r="R4" s="16">
        <f>Q4/K4*100</f>
        <v>-0.79365079365079361</v>
      </c>
      <c r="S4" s="19">
        <f>S3/S2*100</f>
        <v>25</v>
      </c>
      <c r="T4" s="18">
        <v>43862</v>
      </c>
      <c r="U4" s="16">
        <v>579</v>
      </c>
      <c r="V4" s="16">
        <v>628</v>
      </c>
      <c r="W4" s="16">
        <v>524</v>
      </c>
      <c r="X4" s="16">
        <v>542</v>
      </c>
      <c r="Y4" s="16">
        <v>542</v>
      </c>
      <c r="Z4" s="16">
        <v>263900</v>
      </c>
      <c r="AA4" s="16">
        <v>-37</v>
      </c>
      <c r="AB4" s="16">
        <f>AA4/U4*100</f>
        <v>-6.390328151986183</v>
      </c>
      <c r="AC4" s="19">
        <f>AC3/AC2*100</f>
        <v>40</v>
      </c>
      <c r="AD4" s="18">
        <v>43891</v>
      </c>
      <c r="AE4" s="16">
        <v>532</v>
      </c>
      <c r="AF4" s="16">
        <v>599</v>
      </c>
      <c r="AG4" s="16">
        <v>424</v>
      </c>
      <c r="AH4" s="16">
        <v>524</v>
      </c>
      <c r="AI4" s="16">
        <v>524</v>
      </c>
      <c r="AJ4" s="16">
        <v>552200</v>
      </c>
      <c r="AK4" s="16">
        <v>-8</v>
      </c>
      <c r="AL4" s="16">
        <f>AK4/AE4*100</f>
        <v>-1.5037593984962405</v>
      </c>
      <c r="AM4" s="19">
        <f>AM3/AM2*100</f>
        <v>40</v>
      </c>
      <c r="AN4" s="18">
        <v>43922</v>
      </c>
      <c r="AO4" s="16">
        <v>510</v>
      </c>
      <c r="AP4" s="16">
        <v>575</v>
      </c>
      <c r="AQ4" s="16">
        <v>469</v>
      </c>
      <c r="AR4" s="16">
        <v>511</v>
      </c>
      <c r="AS4" s="16">
        <v>511</v>
      </c>
      <c r="AT4" s="16">
        <v>385400</v>
      </c>
      <c r="AU4" s="16">
        <v>1</v>
      </c>
      <c r="AV4" s="16">
        <f>AU4/AO4*100</f>
        <v>0.19607843137254902</v>
      </c>
      <c r="AW4" s="19">
        <f>AW3/AW2*100</f>
        <v>40</v>
      </c>
      <c r="AX4" s="18">
        <v>43952</v>
      </c>
      <c r="AY4" s="16">
        <v>512</v>
      </c>
      <c r="AZ4" s="16">
        <v>555</v>
      </c>
      <c r="BA4" s="16">
        <v>492</v>
      </c>
      <c r="BB4" s="16">
        <v>522</v>
      </c>
      <c r="BC4" s="16">
        <v>522</v>
      </c>
      <c r="BD4" s="16">
        <v>236800</v>
      </c>
      <c r="BE4" s="16">
        <v>10</v>
      </c>
      <c r="BF4" s="16">
        <f>BE4/AY4*100</f>
        <v>1.953125</v>
      </c>
      <c r="BG4" s="19">
        <f>BG3/BG2*100</f>
        <v>20</v>
      </c>
      <c r="BH4" s="18">
        <v>43983</v>
      </c>
      <c r="BI4" s="16">
        <v>527</v>
      </c>
      <c r="BJ4" s="16">
        <v>577</v>
      </c>
      <c r="BK4" s="16">
        <v>513</v>
      </c>
      <c r="BL4" s="16">
        <v>519</v>
      </c>
      <c r="BM4" s="16">
        <v>519</v>
      </c>
      <c r="BN4" s="16">
        <v>269600</v>
      </c>
      <c r="BO4" s="16">
        <v>-8</v>
      </c>
      <c r="BP4" s="16">
        <f>BO4/BI4*100</f>
        <v>-1.5180265654648957</v>
      </c>
      <c r="BQ4" s="19">
        <f>BQ3/BQ2*100</f>
        <v>40</v>
      </c>
      <c r="BR4" s="18">
        <v>44013</v>
      </c>
      <c r="BS4" s="16">
        <v>523</v>
      </c>
      <c r="BT4" s="16">
        <v>644</v>
      </c>
      <c r="BU4" s="16">
        <v>515</v>
      </c>
      <c r="BV4" s="16">
        <v>519</v>
      </c>
      <c r="BW4" s="16">
        <v>519</v>
      </c>
      <c r="BX4" s="16">
        <v>464200</v>
      </c>
      <c r="BY4" s="16">
        <v>-4</v>
      </c>
      <c r="BZ4" s="16">
        <f>BY4/BS4*100</f>
        <v>-0.76481835564053535</v>
      </c>
      <c r="CA4" s="19">
        <f>CA3/CA2*100</f>
        <v>0</v>
      </c>
      <c r="CB4" s="18">
        <v>44044</v>
      </c>
      <c r="CC4" s="16">
        <v>526</v>
      </c>
      <c r="CD4" s="16">
        <v>590</v>
      </c>
      <c r="CE4" s="16">
        <v>520</v>
      </c>
      <c r="CF4" s="16">
        <v>590</v>
      </c>
      <c r="CG4" s="16">
        <v>590</v>
      </c>
      <c r="CH4" s="16">
        <v>197200</v>
      </c>
      <c r="CI4" s="16">
        <v>64</v>
      </c>
      <c r="CJ4" s="16">
        <f>CI4/CC4*100</f>
        <v>12.167300380228136</v>
      </c>
      <c r="CK4" s="19">
        <f>CK3/CK2*100</f>
        <v>40</v>
      </c>
      <c r="CL4" s="18">
        <v>44075</v>
      </c>
      <c r="CM4" s="16">
        <v>586</v>
      </c>
      <c r="CN4" s="16">
        <v>693</v>
      </c>
      <c r="CO4" s="16">
        <v>570</v>
      </c>
      <c r="CP4" s="16">
        <v>676</v>
      </c>
      <c r="CQ4" s="16">
        <v>676</v>
      </c>
      <c r="CR4" s="16">
        <v>196500</v>
      </c>
      <c r="CS4" s="16">
        <v>90</v>
      </c>
      <c r="CT4" s="16">
        <f>CS4/CM4*100</f>
        <v>15.358361774744028</v>
      </c>
      <c r="CU4" s="19">
        <f>CU3/CU2*100</f>
        <v>80</v>
      </c>
      <c r="CV4" s="18">
        <v>44105</v>
      </c>
      <c r="CW4" s="16">
        <v>656</v>
      </c>
      <c r="CX4" s="16">
        <v>790</v>
      </c>
      <c r="CY4" s="16">
        <v>628</v>
      </c>
      <c r="CZ4" s="16">
        <v>631</v>
      </c>
      <c r="DA4" s="16">
        <v>631</v>
      </c>
      <c r="DB4" s="16">
        <v>703000</v>
      </c>
      <c r="DC4" s="16">
        <v>-25</v>
      </c>
      <c r="DD4" s="16">
        <f>DC4/CW4*100</f>
        <v>-3.8109756097560976</v>
      </c>
      <c r="DE4" s="19">
        <f>DE3/DE2*100</f>
        <v>20</v>
      </c>
      <c r="DF4" s="18">
        <v>44136</v>
      </c>
      <c r="DG4" s="16">
        <v>623</v>
      </c>
      <c r="DH4" s="16">
        <v>719</v>
      </c>
      <c r="DI4" s="16">
        <v>619</v>
      </c>
      <c r="DJ4" s="16">
        <v>682</v>
      </c>
      <c r="DK4" s="16">
        <v>682</v>
      </c>
      <c r="DL4" s="16">
        <v>262700</v>
      </c>
      <c r="DM4" s="16">
        <v>59</v>
      </c>
      <c r="DN4" s="16">
        <f>DM4/DG4*100</f>
        <v>9.4703049759229536</v>
      </c>
      <c r="DO4" s="19">
        <f>DO3/DO2*100</f>
        <v>60</v>
      </c>
      <c r="DP4" s="18">
        <v>44166</v>
      </c>
      <c r="DQ4" s="16">
        <v>683</v>
      </c>
      <c r="DR4" s="16">
        <v>707</v>
      </c>
      <c r="DS4" s="16">
        <v>590</v>
      </c>
      <c r="DT4" s="16">
        <v>633</v>
      </c>
      <c r="DU4" s="16">
        <v>633</v>
      </c>
      <c r="DV4" s="16">
        <v>249600</v>
      </c>
      <c r="DW4" s="16">
        <v>-50</v>
      </c>
      <c r="DX4" s="16">
        <f>DW4/DQ4*100</f>
        <v>-7.3206442166910692</v>
      </c>
      <c r="DY4" s="19">
        <f>DY3/DY2*100</f>
        <v>20</v>
      </c>
    </row>
    <row r="5" spans="1:129">
      <c r="A5" s="17">
        <v>43221</v>
      </c>
      <c r="B5" s="16">
        <v>1423</v>
      </c>
      <c r="C5" s="16">
        <v>1436</v>
      </c>
      <c r="D5" s="16">
        <v>1347</v>
      </c>
      <c r="E5" s="16">
        <v>1349</v>
      </c>
      <c r="F5" s="16">
        <v>1349</v>
      </c>
      <c r="G5" s="16">
        <v>220100</v>
      </c>
      <c r="H5" s="16">
        <f t="shared" si="0"/>
        <v>-74</v>
      </c>
      <c r="J5" s="18">
        <v>44565</v>
      </c>
      <c r="K5" s="16">
        <v>506</v>
      </c>
      <c r="L5" s="16">
        <v>519</v>
      </c>
      <c r="M5" s="16">
        <v>465</v>
      </c>
      <c r="N5" s="16">
        <v>474</v>
      </c>
      <c r="O5" s="16">
        <v>474</v>
      </c>
      <c r="P5" s="16">
        <v>280300</v>
      </c>
      <c r="Q5" s="16">
        <v>-32</v>
      </c>
      <c r="R5" s="16">
        <f>Q5/K5*100</f>
        <v>-6.3241106719367588</v>
      </c>
      <c r="S5" s="16">
        <f>AVERAGE(R2:R5)</f>
        <v>-1.2999257748445214</v>
      </c>
      <c r="T5" s="18">
        <v>44228</v>
      </c>
      <c r="U5" s="16">
        <v>619</v>
      </c>
      <c r="V5" s="16">
        <v>720</v>
      </c>
      <c r="W5" s="16">
        <v>613</v>
      </c>
      <c r="X5" s="16">
        <v>666</v>
      </c>
      <c r="Y5" s="16">
        <v>666</v>
      </c>
      <c r="Z5" s="16">
        <v>437800</v>
      </c>
      <c r="AA5" s="16">
        <v>47</v>
      </c>
      <c r="AB5" s="16">
        <f>AA5/U5*100</f>
        <v>7.5928917609046849</v>
      </c>
      <c r="AC5" s="16">
        <f>AVERAGE(AB2:AB6)</f>
        <v>-1.5491306693475848</v>
      </c>
      <c r="AD5" s="18">
        <v>44256</v>
      </c>
      <c r="AE5" s="16">
        <v>671</v>
      </c>
      <c r="AF5" s="16">
        <v>905</v>
      </c>
      <c r="AG5" s="16">
        <v>646</v>
      </c>
      <c r="AH5" s="16">
        <v>785</v>
      </c>
      <c r="AI5" s="16">
        <v>785</v>
      </c>
      <c r="AJ5" s="16">
        <v>1028900</v>
      </c>
      <c r="AK5" s="16">
        <v>114</v>
      </c>
      <c r="AL5" s="16">
        <f>AK5/AE5*100</f>
        <v>16.98956780923994</v>
      </c>
      <c r="AM5" s="16">
        <f>AVERAGE(AL2:AL6)</f>
        <v>2.1021559683980668</v>
      </c>
      <c r="AN5" s="18">
        <v>44287</v>
      </c>
      <c r="AO5" s="16">
        <v>788</v>
      </c>
      <c r="AP5" s="16">
        <v>801</v>
      </c>
      <c r="AQ5" s="16">
        <v>675</v>
      </c>
      <c r="AR5" s="16">
        <v>686</v>
      </c>
      <c r="AS5" s="16">
        <v>686</v>
      </c>
      <c r="AT5" s="16">
        <v>537800</v>
      </c>
      <c r="AU5" s="16">
        <v>-102</v>
      </c>
      <c r="AV5" s="16">
        <f>AU5/AO5*100</f>
        <v>-12.944162436548224</v>
      </c>
      <c r="AW5" s="16">
        <f>AVERAGE(AV2:AV6)</f>
        <v>-2.8821539880090117</v>
      </c>
      <c r="AX5" s="18">
        <v>44322</v>
      </c>
      <c r="AY5" s="16">
        <v>692</v>
      </c>
      <c r="AZ5" s="16">
        <v>720</v>
      </c>
      <c r="BA5" s="16">
        <v>638</v>
      </c>
      <c r="BB5" s="16">
        <v>661</v>
      </c>
      <c r="BC5" s="16">
        <v>661</v>
      </c>
      <c r="BD5" s="16">
        <v>308100</v>
      </c>
      <c r="BE5" s="16">
        <v>-31</v>
      </c>
      <c r="BF5" s="16">
        <f>BE5/AY5*100</f>
        <v>-4.4797687861271678</v>
      </c>
      <c r="BG5" s="16">
        <f>AVERAGE(BF2:BF6)</f>
        <v>-2.9188185604404278</v>
      </c>
      <c r="BH5" s="18">
        <v>44348</v>
      </c>
      <c r="BI5" s="16">
        <v>660</v>
      </c>
      <c r="BJ5" s="16">
        <v>674</v>
      </c>
      <c r="BK5" s="16">
        <v>599</v>
      </c>
      <c r="BL5" s="16">
        <v>599</v>
      </c>
      <c r="BM5" s="16">
        <v>599</v>
      </c>
      <c r="BN5" s="16">
        <v>240600</v>
      </c>
      <c r="BO5" s="16">
        <v>-61</v>
      </c>
      <c r="BP5" s="16">
        <f>BO5/BI5*100</f>
        <v>-9.2424242424242422</v>
      </c>
      <c r="BQ5" s="16">
        <f>AVERAGE(BP2:BP6)</f>
        <v>-2.1822375227643334</v>
      </c>
      <c r="BR5" s="18">
        <v>44378</v>
      </c>
      <c r="BS5" s="16">
        <v>608</v>
      </c>
      <c r="BT5" s="16">
        <v>612</v>
      </c>
      <c r="BU5" s="16">
        <v>547</v>
      </c>
      <c r="BV5" s="16">
        <v>553</v>
      </c>
      <c r="BW5" s="16">
        <v>553</v>
      </c>
      <c r="BX5" s="16">
        <v>352800</v>
      </c>
      <c r="BY5" s="16">
        <v>-55</v>
      </c>
      <c r="BZ5" s="16">
        <f>BY5/BS5*100</f>
        <v>-9.0460526315789469</v>
      </c>
      <c r="CA5" s="16">
        <f>AVERAGE(BZ2:BZ6)</f>
        <v>-4.7209633479303204</v>
      </c>
      <c r="CB5" s="18">
        <v>44410</v>
      </c>
      <c r="CC5" s="16">
        <v>559</v>
      </c>
      <c r="CD5" s="16">
        <v>570</v>
      </c>
      <c r="CE5" s="16">
        <v>539</v>
      </c>
      <c r="CF5" s="16">
        <v>561</v>
      </c>
      <c r="CG5" s="16">
        <v>561</v>
      </c>
      <c r="CH5" s="16">
        <v>169300</v>
      </c>
      <c r="CI5" s="16">
        <v>2</v>
      </c>
      <c r="CJ5" s="16">
        <f>CI5/CC5*100</f>
        <v>0.35778175313059035</v>
      </c>
      <c r="CK5" s="16">
        <f>AVERAGE(CJ2:CJ6)</f>
        <v>-0.58729351727273316</v>
      </c>
      <c r="CL5" s="18">
        <v>44440</v>
      </c>
      <c r="CM5" s="16">
        <v>566</v>
      </c>
      <c r="CN5" s="16">
        <v>670</v>
      </c>
      <c r="CO5" s="16">
        <v>565</v>
      </c>
      <c r="CP5" s="16">
        <v>612</v>
      </c>
      <c r="CQ5" s="16">
        <v>612</v>
      </c>
      <c r="CR5" s="16">
        <v>390800</v>
      </c>
      <c r="CS5" s="16">
        <v>46</v>
      </c>
      <c r="CT5" s="16">
        <f>CS5/CM5*100</f>
        <v>8.1272084805653702</v>
      </c>
      <c r="CU5" s="16">
        <f>AVERAGE(CT2:CT6)</f>
        <v>5.6439509392669436</v>
      </c>
      <c r="CV5" s="18">
        <v>44470</v>
      </c>
      <c r="CW5" s="16">
        <v>603</v>
      </c>
      <c r="CX5" s="16">
        <v>611</v>
      </c>
      <c r="CY5" s="16">
        <v>543</v>
      </c>
      <c r="CZ5" s="16">
        <v>548</v>
      </c>
      <c r="DA5" s="16">
        <v>548</v>
      </c>
      <c r="DB5" s="16">
        <v>327800</v>
      </c>
      <c r="DC5" s="16">
        <v>-55</v>
      </c>
      <c r="DD5" s="16">
        <f>DC5/CW5*100</f>
        <v>-9.1210613598673298</v>
      </c>
      <c r="DE5" s="16">
        <f>AVERAGE(DD2:DD6)</f>
        <v>-6.5528930837033128</v>
      </c>
      <c r="DF5" s="18">
        <v>44501</v>
      </c>
      <c r="DG5" s="16">
        <v>556</v>
      </c>
      <c r="DH5" s="16">
        <v>556</v>
      </c>
      <c r="DI5" s="16">
        <v>498</v>
      </c>
      <c r="DJ5" s="16">
        <v>500</v>
      </c>
      <c r="DK5" s="16">
        <v>500</v>
      </c>
      <c r="DL5" s="16">
        <v>238700</v>
      </c>
      <c r="DM5" s="16">
        <v>-56</v>
      </c>
      <c r="DN5" s="16">
        <f>DM5/DG5*100</f>
        <v>-10.071942446043165</v>
      </c>
      <c r="DO5" s="16">
        <f>AVERAGE(DN2:DN6)</f>
        <v>2.0013159581768791</v>
      </c>
      <c r="DP5" s="18">
        <v>44531</v>
      </c>
      <c r="DQ5" s="16">
        <v>490</v>
      </c>
      <c r="DR5" s="16">
        <v>543</v>
      </c>
      <c r="DS5" s="16">
        <v>479</v>
      </c>
      <c r="DT5" s="16">
        <v>503</v>
      </c>
      <c r="DU5" s="16">
        <v>503</v>
      </c>
      <c r="DV5" s="16">
        <v>389000</v>
      </c>
      <c r="DW5" s="16">
        <v>13</v>
      </c>
      <c r="DX5" s="16">
        <f>DW5/DQ5*100</f>
        <v>2.6530612244897958</v>
      </c>
      <c r="DY5" s="16">
        <f>AVERAGE(DX2:DX6)</f>
        <v>-10.22680905508857</v>
      </c>
    </row>
    <row r="6" spans="1:129">
      <c r="A6" s="17">
        <v>43252</v>
      </c>
      <c r="B6" s="16">
        <v>1349</v>
      </c>
      <c r="C6" s="16">
        <v>1413</v>
      </c>
      <c r="D6" s="16">
        <v>1258</v>
      </c>
      <c r="E6" s="16">
        <v>1279</v>
      </c>
      <c r="F6" s="16">
        <v>1279</v>
      </c>
      <c r="G6" s="16">
        <v>232500</v>
      </c>
      <c r="H6" s="16">
        <f t="shared" si="0"/>
        <v>-70</v>
      </c>
      <c r="S6" s="16">
        <f>MEDIAN(R2:R5)</f>
        <v>-2.329192546583851</v>
      </c>
      <c r="T6" s="18">
        <v>44593</v>
      </c>
      <c r="U6" s="16">
        <v>472</v>
      </c>
      <c r="V6" s="16">
        <v>492</v>
      </c>
      <c r="W6" s="16">
        <v>459</v>
      </c>
      <c r="X6" s="16">
        <v>481</v>
      </c>
      <c r="Y6" s="16">
        <v>481</v>
      </c>
      <c r="Z6" s="16">
        <v>181000</v>
      </c>
      <c r="AA6" s="16">
        <v>9</v>
      </c>
      <c r="AB6" s="16">
        <f>AA6/U6*100</f>
        <v>1.9067796610169492</v>
      </c>
      <c r="AC6" s="16">
        <f>MEDIAN(AB2:AB6)</f>
        <v>-1.2064343163538873</v>
      </c>
      <c r="AD6" s="18">
        <v>44621</v>
      </c>
      <c r="AE6" s="16">
        <v>478</v>
      </c>
      <c r="AF6" s="16">
        <v>498</v>
      </c>
      <c r="AG6" s="16">
        <v>448</v>
      </c>
      <c r="AH6" s="16">
        <v>481</v>
      </c>
      <c r="AI6" s="16">
        <v>481</v>
      </c>
      <c r="AJ6" s="16">
        <v>317900</v>
      </c>
      <c r="AK6" s="16">
        <v>3</v>
      </c>
      <c r="AL6" s="16">
        <f>AK6/AE6*100</f>
        <v>0.62761506276150625</v>
      </c>
      <c r="AM6" s="16">
        <f>MEDIAN(AL2:AL6)</f>
        <v>-0.42553191489361702</v>
      </c>
      <c r="AN6" s="18">
        <v>44652</v>
      </c>
      <c r="AO6" s="16">
        <v>476</v>
      </c>
      <c r="AP6" s="16">
        <v>485</v>
      </c>
      <c r="AQ6" s="16">
        <v>454</v>
      </c>
      <c r="AR6" s="16">
        <v>464</v>
      </c>
      <c r="AS6" s="16">
        <v>464</v>
      </c>
      <c r="AT6" s="16">
        <v>180800</v>
      </c>
      <c r="AU6" s="16">
        <v>-12</v>
      </c>
      <c r="AV6" s="16">
        <f>AU6/AO6*100</f>
        <v>-2.5210084033613445</v>
      </c>
      <c r="AW6" s="16">
        <f>MEDIAN(AV2:AV6)</f>
        <v>-0.42372881355932202</v>
      </c>
      <c r="AX6" s="18">
        <v>44683</v>
      </c>
      <c r="AY6" s="16">
        <v>456</v>
      </c>
      <c r="AZ6" s="16">
        <v>478</v>
      </c>
      <c r="BA6" s="16">
        <v>441</v>
      </c>
      <c r="BB6" s="16">
        <v>454</v>
      </c>
      <c r="BC6" s="16">
        <v>454</v>
      </c>
      <c r="BD6" s="16">
        <v>169800</v>
      </c>
      <c r="BE6" s="16">
        <v>-2</v>
      </c>
      <c r="BF6" s="16">
        <f>BE6/AY6*100</f>
        <v>-0.43859649122807015</v>
      </c>
      <c r="BG6" s="16">
        <f>MEDIAN(BF2:BF6)</f>
        <v>-4.4797687861271678</v>
      </c>
      <c r="BH6" s="18">
        <v>44713</v>
      </c>
      <c r="BI6" s="16">
        <v>454</v>
      </c>
      <c r="BJ6" s="16">
        <v>493</v>
      </c>
      <c r="BK6" s="16">
        <v>442</v>
      </c>
      <c r="BL6" s="16">
        <v>465</v>
      </c>
      <c r="BM6" s="16">
        <v>465</v>
      </c>
      <c r="BN6" s="16">
        <v>236400</v>
      </c>
      <c r="BO6" s="16">
        <v>11</v>
      </c>
      <c r="BP6" s="16">
        <f>BO6/BI6*100</f>
        <v>2.4229074889867843</v>
      </c>
      <c r="BQ6" s="16">
        <f>MEDIAN(BP2:BP6)</f>
        <v>-1.5180265654648957</v>
      </c>
      <c r="BR6" s="18">
        <v>44743</v>
      </c>
      <c r="BS6" s="16">
        <v>460</v>
      </c>
      <c r="BT6" s="16">
        <v>469</v>
      </c>
      <c r="BU6" s="16">
        <v>449</v>
      </c>
      <c r="BV6" s="16">
        <v>454</v>
      </c>
      <c r="BW6" s="16">
        <v>454</v>
      </c>
      <c r="BX6" s="16">
        <v>347100</v>
      </c>
      <c r="BY6" s="16">
        <v>-6</v>
      </c>
      <c r="BZ6" s="16">
        <f>BY6/BS6*100</f>
        <v>-1.3043478260869565</v>
      </c>
      <c r="CA6" s="16">
        <f>MEDIAN(BZ2:BZ6)</f>
        <v>-5.8130400628436769</v>
      </c>
      <c r="CB6" s="18">
        <v>44774</v>
      </c>
      <c r="CC6" s="16">
        <v>455</v>
      </c>
      <c r="CD6" s="16">
        <v>462</v>
      </c>
      <c r="CE6" s="16">
        <v>444</v>
      </c>
      <c r="CF6" s="16">
        <v>445</v>
      </c>
      <c r="CG6" s="16">
        <v>445</v>
      </c>
      <c r="CH6" s="16">
        <v>259600</v>
      </c>
      <c r="CI6" s="16">
        <v>-10</v>
      </c>
      <c r="CJ6" s="16">
        <f>CI6/CC6*100</f>
        <v>-2.197802197802198</v>
      </c>
      <c r="CK6" s="16">
        <f>MEDIAN(CJ2:CJ6)</f>
        <v>-1.6764459346186085</v>
      </c>
      <c r="CL6" s="18">
        <v>44805</v>
      </c>
      <c r="CM6" s="16">
        <v>445</v>
      </c>
      <c r="CN6" s="16">
        <v>451</v>
      </c>
      <c r="CO6" s="16">
        <v>393</v>
      </c>
      <c r="CP6" s="16">
        <v>402</v>
      </c>
      <c r="CQ6" s="16">
        <v>402</v>
      </c>
      <c r="CR6" s="16">
        <v>332500</v>
      </c>
      <c r="CS6" s="16">
        <v>-43</v>
      </c>
      <c r="CT6" s="16">
        <f>CS6/CM6*100</f>
        <v>-9.6629213483146064</v>
      </c>
      <c r="CU6" s="16">
        <f>MEDIAN(CT2:CT6)</f>
        <v>7.7184054283290919</v>
      </c>
      <c r="CV6" s="18">
        <v>44837</v>
      </c>
      <c r="CW6" s="16">
        <v>399</v>
      </c>
      <c r="CX6" s="16">
        <v>412</v>
      </c>
      <c r="CY6" s="16">
        <v>345</v>
      </c>
      <c r="CZ6" s="16">
        <v>366</v>
      </c>
      <c r="DA6" s="16">
        <v>366</v>
      </c>
      <c r="DB6" s="16">
        <v>650300</v>
      </c>
      <c r="DC6" s="16">
        <v>-33</v>
      </c>
      <c r="DD6" s="16">
        <f>DC6/CW6*100</f>
        <v>-8.2706766917293226</v>
      </c>
      <c r="DE6" s="16">
        <f>MEDIAN(DD2:DD6)</f>
        <v>-8.2706766917293226</v>
      </c>
      <c r="DF6" s="18">
        <v>44866</v>
      </c>
      <c r="DG6" s="16">
        <v>373</v>
      </c>
      <c r="DH6" s="16">
        <v>405</v>
      </c>
      <c r="DI6" s="16">
        <v>351</v>
      </c>
      <c r="DJ6" s="16">
        <v>402</v>
      </c>
      <c r="DK6" s="16">
        <v>402</v>
      </c>
      <c r="DL6" s="16">
        <v>203000</v>
      </c>
      <c r="DM6" s="16">
        <v>29</v>
      </c>
      <c r="DN6" s="16">
        <f>DM6/DG6*100</f>
        <v>7.7747989276139409</v>
      </c>
      <c r="DO6" s="16">
        <f>MEDIAN(DN2:DN6)</f>
        <v>7.6311605723370421</v>
      </c>
      <c r="DP6" s="18">
        <v>44896</v>
      </c>
      <c r="DQ6" s="16">
        <v>405</v>
      </c>
      <c r="DR6" s="16">
        <v>405</v>
      </c>
      <c r="DS6" s="16">
        <v>346</v>
      </c>
      <c r="DT6" s="16">
        <v>361</v>
      </c>
      <c r="DU6" s="16">
        <v>361</v>
      </c>
      <c r="DV6" s="16">
        <v>279600</v>
      </c>
      <c r="DW6" s="16">
        <v>-44</v>
      </c>
      <c r="DX6" s="16">
        <f>DW6/DQ6*100</f>
        <v>-10.864197530864198</v>
      </c>
      <c r="DY6" s="16">
        <f>MEDIAN(DX2:DX6)</f>
        <v>-8.5168869309838477</v>
      </c>
    </row>
    <row r="7" spans="1:129">
      <c r="A7" s="17">
        <v>43282</v>
      </c>
      <c r="B7" s="16">
        <v>1273</v>
      </c>
      <c r="C7" s="16">
        <v>1328</v>
      </c>
      <c r="D7" s="16">
        <v>1164</v>
      </c>
      <c r="E7" s="16">
        <v>1199</v>
      </c>
      <c r="F7" s="16">
        <v>1199</v>
      </c>
      <c r="G7" s="16">
        <v>394700</v>
      </c>
      <c r="H7" s="16">
        <f t="shared" si="0"/>
        <v>-74</v>
      </c>
    </row>
    <row r="8" spans="1:129">
      <c r="A8" s="17">
        <v>43313</v>
      </c>
      <c r="B8" s="16">
        <v>1193</v>
      </c>
      <c r="C8" s="16">
        <v>1213</v>
      </c>
      <c r="D8" s="16">
        <v>1103</v>
      </c>
      <c r="E8" s="16">
        <v>1173</v>
      </c>
      <c r="F8" s="16">
        <v>1173</v>
      </c>
      <c r="G8" s="16">
        <v>218700</v>
      </c>
      <c r="H8" s="16">
        <f t="shared" si="0"/>
        <v>-20</v>
      </c>
    </row>
    <row r="9" spans="1:129">
      <c r="A9" s="17">
        <v>43344</v>
      </c>
      <c r="B9" s="16">
        <v>1179</v>
      </c>
      <c r="C9" s="16">
        <v>1285</v>
      </c>
      <c r="D9" s="16">
        <v>1125</v>
      </c>
      <c r="E9" s="16">
        <v>1270</v>
      </c>
      <c r="F9" s="16">
        <v>1270</v>
      </c>
      <c r="G9" s="16">
        <v>245100</v>
      </c>
      <c r="H9" s="16">
        <f t="shared" si="0"/>
        <v>91</v>
      </c>
    </row>
    <row r="10" spans="1:129">
      <c r="A10" s="17">
        <v>43374</v>
      </c>
      <c r="B10" s="16">
        <v>1284</v>
      </c>
      <c r="C10" s="16">
        <v>1287</v>
      </c>
      <c r="D10" s="16">
        <v>990</v>
      </c>
      <c r="E10" s="16">
        <v>1074</v>
      </c>
      <c r="F10" s="16">
        <v>1074</v>
      </c>
      <c r="G10" s="16">
        <v>303000</v>
      </c>
      <c r="H10" s="16">
        <f t="shared" si="0"/>
        <v>-210</v>
      </c>
    </row>
    <row r="11" spans="1:129">
      <c r="A11" s="17">
        <v>43405</v>
      </c>
      <c r="B11" s="16">
        <v>1063</v>
      </c>
      <c r="C11" s="16">
        <v>1108</v>
      </c>
      <c r="D11" s="16">
        <v>940</v>
      </c>
      <c r="E11" s="16">
        <v>1012</v>
      </c>
      <c r="F11" s="16">
        <v>1012</v>
      </c>
      <c r="G11" s="16">
        <v>302700</v>
      </c>
      <c r="H11" s="16">
        <f t="shared" si="0"/>
        <v>-51</v>
      </c>
    </row>
    <row r="12" spans="1:129">
      <c r="A12" s="17">
        <v>43435</v>
      </c>
      <c r="B12" s="16">
        <v>1019</v>
      </c>
      <c r="C12" s="16">
        <v>1032</v>
      </c>
      <c r="D12" s="16">
        <v>633</v>
      </c>
      <c r="E12" s="16">
        <v>743</v>
      </c>
      <c r="F12" s="16">
        <v>743</v>
      </c>
      <c r="G12" s="16">
        <v>587200</v>
      </c>
      <c r="H12" s="16">
        <f t="shared" si="0"/>
        <v>-276</v>
      </c>
    </row>
    <row r="13" spans="1:129">
      <c r="A13" s="17">
        <v>43466</v>
      </c>
      <c r="B13" s="16">
        <v>709</v>
      </c>
      <c r="C13" s="16">
        <v>798</v>
      </c>
      <c r="D13" s="16">
        <v>704</v>
      </c>
      <c r="E13" s="16">
        <v>750</v>
      </c>
      <c r="F13" s="16">
        <v>750</v>
      </c>
      <c r="G13" s="16">
        <v>451600</v>
      </c>
      <c r="H13" s="16">
        <f t="shared" si="0"/>
        <v>41</v>
      </c>
    </row>
    <row r="14" spans="1:129">
      <c r="A14" s="17">
        <v>43497</v>
      </c>
      <c r="B14" s="16">
        <v>746</v>
      </c>
      <c r="C14" s="16">
        <v>766</v>
      </c>
      <c r="D14" s="16">
        <v>707</v>
      </c>
      <c r="E14" s="16">
        <v>737</v>
      </c>
      <c r="F14" s="16">
        <v>737</v>
      </c>
      <c r="G14" s="16">
        <v>267400</v>
      </c>
      <c r="H14" s="16">
        <f t="shared" si="0"/>
        <v>-9</v>
      </c>
    </row>
    <row r="15" spans="1:129">
      <c r="A15" s="17">
        <v>43525</v>
      </c>
      <c r="B15" s="16">
        <v>734</v>
      </c>
      <c r="C15" s="16">
        <v>758</v>
      </c>
      <c r="D15" s="16">
        <v>682</v>
      </c>
      <c r="E15" s="16">
        <v>696</v>
      </c>
      <c r="F15" s="16">
        <v>696</v>
      </c>
      <c r="G15" s="16">
        <v>262600</v>
      </c>
      <c r="H15" s="16">
        <f t="shared" si="0"/>
        <v>-38</v>
      </c>
    </row>
    <row r="16" spans="1:129">
      <c r="A16" s="17">
        <v>43556</v>
      </c>
      <c r="B16" s="16">
        <v>708</v>
      </c>
      <c r="C16" s="16">
        <v>735</v>
      </c>
      <c r="D16" s="16">
        <v>694</v>
      </c>
      <c r="E16" s="16">
        <v>705</v>
      </c>
      <c r="F16" s="16">
        <v>705</v>
      </c>
      <c r="G16" s="16">
        <v>234100</v>
      </c>
      <c r="H16" s="16">
        <f t="shared" si="0"/>
        <v>-3</v>
      </c>
    </row>
    <row r="17" spans="1:8">
      <c r="A17" s="17">
        <v>43586</v>
      </c>
      <c r="B17" s="16">
        <v>700</v>
      </c>
      <c r="C17" s="16">
        <v>705</v>
      </c>
      <c r="D17" s="16">
        <v>641</v>
      </c>
      <c r="E17" s="16">
        <v>655</v>
      </c>
      <c r="F17" s="16">
        <v>655</v>
      </c>
      <c r="G17" s="16">
        <v>288400</v>
      </c>
      <c r="H17" s="16">
        <f t="shared" si="0"/>
        <v>-45</v>
      </c>
    </row>
    <row r="18" spans="1:8">
      <c r="A18" s="17">
        <v>43617</v>
      </c>
      <c r="B18" s="16">
        <v>650</v>
      </c>
      <c r="C18" s="16">
        <v>688</v>
      </c>
      <c r="D18" s="16">
        <v>636</v>
      </c>
      <c r="E18" s="16">
        <v>667</v>
      </c>
      <c r="F18" s="16">
        <v>667</v>
      </c>
      <c r="G18" s="16">
        <v>244800</v>
      </c>
      <c r="H18" s="16">
        <f t="shared" si="0"/>
        <v>17</v>
      </c>
    </row>
    <row r="19" spans="1:8">
      <c r="A19" s="17">
        <v>43647</v>
      </c>
      <c r="B19" s="16">
        <v>674</v>
      </c>
      <c r="C19" s="16">
        <v>680</v>
      </c>
      <c r="D19" s="16">
        <v>621</v>
      </c>
      <c r="E19" s="16">
        <v>629</v>
      </c>
      <c r="F19" s="16">
        <v>629</v>
      </c>
      <c r="G19" s="16">
        <v>245500</v>
      </c>
      <c r="H19" s="16">
        <f t="shared" si="0"/>
        <v>-45</v>
      </c>
    </row>
    <row r="20" spans="1:8">
      <c r="A20" s="17">
        <v>43678</v>
      </c>
      <c r="B20" s="16">
        <v>630</v>
      </c>
      <c r="C20" s="16">
        <v>638</v>
      </c>
      <c r="D20" s="16">
        <v>548</v>
      </c>
      <c r="E20" s="16">
        <v>557</v>
      </c>
      <c r="F20" s="16">
        <v>557</v>
      </c>
      <c r="G20" s="16">
        <v>206800</v>
      </c>
      <c r="H20" s="16">
        <f t="shared" si="0"/>
        <v>-73</v>
      </c>
    </row>
    <row r="21" spans="1:8">
      <c r="A21" s="17">
        <v>43709</v>
      </c>
      <c r="B21" s="16">
        <v>554</v>
      </c>
      <c r="C21" s="16">
        <v>625</v>
      </c>
      <c r="D21" s="16">
        <v>544</v>
      </c>
      <c r="E21" s="16">
        <v>591</v>
      </c>
      <c r="F21" s="16">
        <v>591</v>
      </c>
      <c r="G21" s="16">
        <v>290600</v>
      </c>
      <c r="H21" s="16">
        <f t="shared" si="0"/>
        <v>37</v>
      </c>
    </row>
    <row r="22" spans="1:8">
      <c r="A22" s="17">
        <v>43739</v>
      </c>
      <c r="B22" s="16">
        <v>605</v>
      </c>
      <c r="C22" s="16">
        <v>683</v>
      </c>
      <c r="D22" s="16">
        <v>599</v>
      </c>
      <c r="E22" s="16">
        <v>634</v>
      </c>
      <c r="F22" s="16">
        <v>634</v>
      </c>
      <c r="G22" s="16">
        <v>391300</v>
      </c>
      <c r="H22" s="16">
        <f t="shared" si="0"/>
        <v>29</v>
      </c>
    </row>
    <row r="23" spans="1:8">
      <c r="A23" s="17">
        <v>43770</v>
      </c>
      <c r="B23" s="16">
        <v>629</v>
      </c>
      <c r="C23" s="16">
        <v>729</v>
      </c>
      <c r="D23" s="16">
        <v>629</v>
      </c>
      <c r="E23" s="16">
        <v>677</v>
      </c>
      <c r="F23" s="16">
        <v>677</v>
      </c>
      <c r="G23" s="16">
        <v>308100</v>
      </c>
      <c r="H23" s="16">
        <f t="shared" si="0"/>
        <v>48</v>
      </c>
    </row>
    <row r="24" spans="1:8">
      <c r="A24" s="17">
        <v>43800</v>
      </c>
      <c r="B24" s="16">
        <v>681</v>
      </c>
      <c r="C24" s="16">
        <v>697</v>
      </c>
      <c r="D24" s="16">
        <v>616</v>
      </c>
      <c r="E24" s="16">
        <v>623</v>
      </c>
      <c r="F24" s="16">
        <v>623</v>
      </c>
      <c r="G24" s="16">
        <v>284700</v>
      </c>
      <c r="H24" s="16">
        <f t="shared" si="0"/>
        <v>-58</v>
      </c>
    </row>
    <row r="25" spans="1:8">
      <c r="A25" s="17">
        <v>43831</v>
      </c>
      <c r="B25" s="16">
        <v>621</v>
      </c>
      <c r="C25" s="16">
        <v>685</v>
      </c>
      <c r="D25" s="16">
        <v>595</v>
      </c>
      <c r="E25" s="16">
        <v>597</v>
      </c>
      <c r="F25" s="16">
        <v>597</v>
      </c>
      <c r="G25" s="16">
        <v>278600</v>
      </c>
      <c r="H25" s="16">
        <f t="shared" si="0"/>
        <v>-24</v>
      </c>
    </row>
    <row r="26" spans="1:8">
      <c r="A26" s="17">
        <v>43862</v>
      </c>
      <c r="B26" s="16">
        <v>579</v>
      </c>
      <c r="C26" s="16">
        <v>628</v>
      </c>
      <c r="D26" s="16">
        <v>524</v>
      </c>
      <c r="E26" s="16">
        <v>542</v>
      </c>
      <c r="F26" s="16">
        <v>542</v>
      </c>
      <c r="G26" s="16">
        <v>263900</v>
      </c>
      <c r="H26" s="16">
        <f t="shared" si="0"/>
        <v>-37</v>
      </c>
    </row>
    <row r="27" spans="1:8">
      <c r="A27" s="17">
        <v>43891</v>
      </c>
      <c r="B27" s="16">
        <v>532</v>
      </c>
      <c r="C27" s="16">
        <v>599</v>
      </c>
      <c r="D27" s="16">
        <v>424</v>
      </c>
      <c r="E27" s="16">
        <v>524</v>
      </c>
      <c r="F27" s="16">
        <v>524</v>
      </c>
      <c r="G27" s="16">
        <v>552200</v>
      </c>
      <c r="H27" s="16">
        <f t="shared" si="0"/>
        <v>-8</v>
      </c>
    </row>
    <row r="28" spans="1:8">
      <c r="A28" s="17">
        <v>43922</v>
      </c>
      <c r="B28" s="16">
        <v>510</v>
      </c>
      <c r="C28" s="16">
        <v>575</v>
      </c>
      <c r="D28" s="16">
        <v>469</v>
      </c>
      <c r="E28" s="16">
        <v>511</v>
      </c>
      <c r="F28" s="16">
        <v>511</v>
      </c>
      <c r="G28" s="16">
        <v>385400</v>
      </c>
      <c r="H28" s="16">
        <f t="shared" si="0"/>
        <v>1</v>
      </c>
    </row>
    <row r="29" spans="1:8">
      <c r="A29" s="17">
        <v>43952</v>
      </c>
      <c r="B29" s="16">
        <v>512</v>
      </c>
      <c r="C29" s="16">
        <v>555</v>
      </c>
      <c r="D29" s="16">
        <v>492</v>
      </c>
      <c r="E29" s="16">
        <v>522</v>
      </c>
      <c r="F29" s="16">
        <v>522</v>
      </c>
      <c r="G29" s="16">
        <v>236800</v>
      </c>
      <c r="H29" s="16">
        <f t="shared" si="0"/>
        <v>10</v>
      </c>
    </row>
    <row r="30" spans="1:8">
      <c r="A30" s="17">
        <v>43983</v>
      </c>
      <c r="B30" s="16">
        <v>527</v>
      </c>
      <c r="C30" s="16">
        <v>577</v>
      </c>
      <c r="D30" s="16">
        <v>513</v>
      </c>
      <c r="E30" s="16">
        <v>519</v>
      </c>
      <c r="F30" s="16">
        <v>519</v>
      </c>
      <c r="G30" s="16">
        <v>269600</v>
      </c>
      <c r="H30" s="16">
        <f t="shared" si="0"/>
        <v>-8</v>
      </c>
    </row>
    <row r="31" spans="1:8">
      <c r="A31" s="17">
        <v>44013</v>
      </c>
      <c r="B31" s="16">
        <v>523</v>
      </c>
      <c r="C31" s="16">
        <v>644</v>
      </c>
      <c r="D31" s="16">
        <v>515</v>
      </c>
      <c r="E31" s="16">
        <v>519</v>
      </c>
      <c r="F31" s="16">
        <v>519</v>
      </c>
      <c r="G31" s="16">
        <v>464200</v>
      </c>
      <c r="H31" s="16">
        <f t="shared" si="0"/>
        <v>-4</v>
      </c>
    </row>
    <row r="32" spans="1:8">
      <c r="A32" s="17">
        <v>44044</v>
      </c>
      <c r="B32" s="16">
        <v>526</v>
      </c>
      <c r="C32" s="16">
        <v>590</v>
      </c>
      <c r="D32" s="16">
        <v>520</v>
      </c>
      <c r="E32" s="16">
        <v>590</v>
      </c>
      <c r="F32" s="16">
        <v>590</v>
      </c>
      <c r="G32" s="16">
        <v>197200</v>
      </c>
      <c r="H32" s="16">
        <f t="shared" si="0"/>
        <v>64</v>
      </c>
    </row>
    <row r="33" spans="1:8">
      <c r="A33" s="17">
        <v>44075</v>
      </c>
      <c r="B33" s="16">
        <v>586</v>
      </c>
      <c r="C33" s="16">
        <v>693</v>
      </c>
      <c r="D33" s="16">
        <v>570</v>
      </c>
      <c r="E33" s="16">
        <v>676</v>
      </c>
      <c r="F33" s="16">
        <v>676</v>
      </c>
      <c r="G33" s="16">
        <v>196500</v>
      </c>
      <c r="H33" s="16">
        <f t="shared" si="0"/>
        <v>90</v>
      </c>
    </row>
    <row r="34" spans="1:8">
      <c r="A34" s="17">
        <v>44105</v>
      </c>
      <c r="B34" s="16">
        <v>656</v>
      </c>
      <c r="C34" s="16">
        <v>790</v>
      </c>
      <c r="D34" s="16">
        <v>628</v>
      </c>
      <c r="E34" s="16">
        <v>631</v>
      </c>
      <c r="F34" s="16">
        <v>631</v>
      </c>
      <c r="G34" s="16">
        <v>703000</v>
      </c>
      <c r="H34" s="16">
        <f t="shared" ref="H34:H60" si="1">E34-B34</f>
        <v>-25</v>
      </c>
    </row>
    <row r="35" spans="1:8">
      <c r="A35" s="17">
        <v>44136</v>
      </c>
      <c r="B35" s="16">
        <v>623</v>
      </c>
      <c r="C35" s="16">
        <v>719</v>
      </c>
      <c r="D35" s="16">
        <v>619</v>
      </c>
      <c r="E35" s="16">
        <v>682</v>
      </c>
      <c r="F35" s="16">
        <v>682</v>
      </c>
      <c r="G35" s="16">
        <v>262700</v>
      </c>
      <c r="H35" s="16">
        <f t="shared" si="1"/>
        <v>59</v>
      </c>
    </row>
    <row r="36" spans="1:8">
      <c r="A36" s="17">
        <v>44166</v>
      </c>
      <c r="B36" s="16">
        <v>683</v>
      </c>
      <c r="C36" s="16">
        <v>707</v>
      </c>
      <c r="D36" s="16">
        <v>590</v>
      </c>
      <c r="E36" s="16">
        <v>633</v>
      </c>
      <c r="F36" s="16">
        <v>633</v>
      </c>
      <c r="G36" s="16">
        <v>249600</v>
      </c>
      <c r="H36" s="16">
        <f t="shared" si="1"/>
        <v>-50</v>
      </c>
    </row>
    <row r="37" spans="1:8">
      <c r="A37" s="17">
        <v>44200</v>
      </c>
      <c r="B37" s="16">
        <v>630</v>
      </c>
      <c r="C37" s="16">
        <v>719</v>
      </c>
      <c r="D37" s="16">
        <v>612</v>
      </c>
      <c r="E37" s="16">
        <v>625</v>
      </c>
      <c r="F37" s="16">
        <v>625</v>
      </c>
      <c r="G37" s="16">
        <v>530900</v>
      </c>
      <c r="H37" s="16">
        <f t="shared" si="1"/>
        <v>-5</v>
      </c>
    </row>
    <row r="38" spans="1:8">
      <c r="A38" s="17">
        <v>44228</v>
      </c>
      <c r="B38" s="16">
        <v>619</v>
      </c>
      <c r="C38" s="16">
        <v>720</v>
      </c>
      <c r="D38" s="16">
        <v>613</v>
      </c>
      <c r="E38" s="16">
        <v>666</v>
      </c>
      <c r="F38" s="16">
        <v>666</v>
      </c>
      <c r="G38" s="16">
        <v>437800</v>
      </c>
      <c r="H38" s="16">
        <f t="shared" si="1"/>
        <v>47</v>
      </c>
    </row>
    <row r="39" spans="1:8">
      <c r="A39" s="17">
        <v>44256</v>
      </c>
      <c r="B39" s="16">
        <v>671</v>
      </c>
      <c r="C39" s="16">
        <v>905</v>
      </c>
      <c r="D39" s="16">
        <v>646</v>
      </c>
      <c r="E39" s="16">
        <v>785</v>
      </c>
      <c r="F39" s="16">
        <v>785</v>
      </c>
      <c r="G39" s="16">
        <v>1028900</v>
      </c>
      <c r="H39" s="16">
        <f t="shared" si="1"/>
        <v>114</v>
      </c>
    </row>
    <row r="40" spans="1:8">
      <c r="A40" s="17">
        <v>44287</v>
      </c>
      <c r="B40" s="16">
        <v>788</v>
      </c>
      <c r="C40" s="16">
        <v>801</v>
      </c>
      <c r="D40" s="16">
        <v>675</v>
      </c>
      <c r="E40" s="16">
        <v>686</v>
      </c>
      <c r="F40" s="16">
        <v>686</v>
      </c>
      <c r="G40" s="16">
        <v>537800</v>
      </c>
      <c r="H40" s="16">
        <f t="shared" si="1"/>
        <v>-102</v>
      </c>
    </row>
    <row r="41" spans="1:8">
      <c r="A41" s="17">
        <v>44322</v>
      </c>
      <c r="B41" s="16">
        <v>692</v>
      </c>
      <c r="C41" s="16">
        <v>720</v>
      </c>
      <c r="D41" s="16">
        <v>638</v>
      </c>
      <c r="E41" s="16">
        <v>661</v>
      </c>
      <c r="F41" s="16">
        <v>661</v>
      </c>
      <c r="G41" s="16">
        <v>308100</v>
      </c>
      <c r="H41" s="16">
        <f t="shared" si="1"/>
        <v>-31</v>
      </c>
    </row>
    <row r="42" spans="1:8">
      <c r="A42" s="17">
        <v>44348</v>
      </c>
      <c r="B42" s="16">
        <v>660</v>
      </c>
      <c r="C42" s="16">
        <v>674</v>
      </c>
      <c r="D42" s="16">
        <v>599</v>
      </c>
      <c r="E42" s="16">
        <v>599</v>
      </c>
      <c r="F42" s="16">
        <v>599</v>
      </c>
      <c r="G42" s="16">
        <v>240600</v>
      </c>
      <c r="H42" s="16">
        <f t="shared" si="1"/>
        <v>-61</v>
      </c>
    </row>
    <row r="43" spans="1:8">
      <c r="A43" s="17">
        <v>44378</v>
      </c>
      <c r="B43" s="16">
        <v>608</v>
      </c>
      <c r="C43" s="16">
        <v>612</v>
      </c>
      <c r="D43" s="16">
        <v>547</v>
      </c>
      <c r="E43" s="16">
        <v>553</v>
      </c>
      <c r="F43" s="16">
        <v>553</v>
      </c>
      <c r="G43" s="16">
        <v>352800</v>
      </c>
      <c r="H43" s="16">
        <f t="shared" si="1"/>
        <v>-55</v>
      </c>
    </row>
    <row r="44" spans="1:8">
      <c r="A44" s="17">
        <v>44410</v>
      </c>
      <c r="B44" s="16">
        <v>559</v>
      </c>
      <c r="C44" s="16">
        <v>570</v>
      </c>
      <c r="D44" s="16">
        <v>539</v>
      </c>
      <c r="E44" s="16">
        <v>561</v>
      </c>
      <c r="F44" s="16">
        <v>561</v>
      </c>
      <c r="G44" s="16">
        <v>169300</v>
      </c>
      <c r="H44" s="16">
        <f t="shared" si="1"/>
        <v>2</v>
      </c>
    </row>
    <row r="45" spans="1:8">
      <c r="A45" s="17">
        <v>44440</v>
      </c>
      <c r="B45" s="16">
        <v>566</v>
      </c>
      <c r="C45" s="16">
        <v>670</v>
      </c>
      <c r="D45" s="16">
        <v>565</v>
      </c>
      <c r="E45" s="16">
        <v>612</v>
      </c>
      <c r="F45" s="16">
        <v>612</v>
      </c>
      <c r="G45" s="16">
        <v>390800</v>
      </c>
      <c r="H45" s="16">
        <f t="shared" si="1"/>
        <v>46</v>
      </c>
    </row>
    <row r="46" spans="1:8">
      <c r="A46" s="17">
        <v>44470</v>
      </c>
      <c r="B46" s="16">
        <v>603</v>
      </c>
      <c r="C46" s="16">
        <v>611</v>
      </c>
      <c r="D46" s="16">
        <v>543</v>
      </c>
      <c r="E46" s="16">
        <v>548</v>
      </c>
      <c r="F46" s="16">
        <v>548</v>
      </c>
      <c r="G46" s="16">
        <v>327800</v>
      </c>
      <c r="H46" s="16">
        <f t="shared" si="1"/>
        <v>-55</v>
      </c>
    </row>
    <row r="47" spans="1:8">
      <c r="A47" s="17">
        <v>44501</v>
      </c>
      <c r="B47" s="16">
        <v>556</v>
      </c>
      <c r="C47" s="16">
        <v>556</v>
      </c>
      <c r="D47" s="16">
        <v>498</v>
      </c>
      <c r="E47" s="16">
        <v>500</v>
      </c>
      <c r="F47" s="16">
        <v>500</v>
      </c>
      <c r="G47" s="16">
        <v>238700</v>
      </c>
      <c r="H47" s="16">
        <f t="shared" si="1"/>
        <v>-56</v>
      </c>
    </row>
    <row r="48" spans="1:8">
      <c r="A48" s="17">
        <v>44531</v>
      </c>
      <c r="B48" s="16">
        <v>490</v>
      </c>
      <c r="C48" s="16">
        <v>543</v>
      </c>
      <c r="D48" s="16">
        <v>479</v>
      </c>
      <c r="E48" s="16">
        <v>503</v>
      </c>
      <c r="F48" s="16">
        <v>503</v>
      </c>
      <c r="G48" s="16">
        <v>389000</v>
      </c>
      <c r="H48" s="16">
        <f t="shared" si="1"/>
        <v>13</v>
      </c>
    </row>
    <row r="49" spans="1:8">
      <c r="A49" s="17">
        <v>44565</v>
      </c>
      <c r="B49" s="16">
        <v>506</v>
      </c>
      <c r="C49" s="16">
        <v>519</v>
      </c>
      <c r="D49" s="16">
        <v>465</v>
      </c>
      <c r="E49" s="16">
        <v>474</v>
      </c>
      <c r="F49" s="16">
        <v>474</v>
      </c>
      <c r="G49" s="16">
        <v>280300</v>
      </c>
      <c r="H49" s="16">
        <f t="shared" si="1"/>
        <v>-32</v>
      </c>
    </row>
    <row r="50" spans="1:8">
      <c r="A50" s="17">
        <v>44593</v>
      </c>
      <c r="B50" s="16">
        <v>472</v>
      </c>
      <c r="C50" s="16">
        <v>492</v>
      </c>
      <c r="D50" s="16">
        <v>459</v>
      </c>
      <c r="E50" s="16">
        <v>481</v>
      </c>
      <c r="F50" s="16">
        <v>481</v>
      </c>
      <c r="G50" s="16">
        <v>181000</v>
      </c>
      <c r="H50" s="16">
        <f t="shared" si="1"/>
        <v>9</v>
      </c>
    </row>
    <row r="51" spans="1:8">
      <c r="A51" s="17">
        <v>44621</v>
      </c>
      <c r="B51" s="16">
        <v>478</v>
      </c>
      <c r="C51" s="16">
        <v>498</v>
      </c>
      <c r="D51" s="16">
        <v>448</v>
      </c>
      <c r="E51" s="16">
        <v>481</v>
      </c>
      <c r="F51" s="16">
        <v>481</v>
      </c>
      <c r="G51" s="16">
        <v>317900</v>
      </c>
      <c r="H51" s="16">
        <f t="shared" si="1"/>
        <v>3</v>
      </c>
    </row>
    <row r="52" spans="1:8">
      <c r="A52" s="17">
        <v>44652</v>
      </c>
      <c r="B52" s="16">
        <v>476</v>
      </c>
      <c r="C52" s="16">
        <v>485</v>
      </c>
      <c r="D52" s="16">
        <v>454</v>
      </c>
      <c r="E52" s="16">
        <v>464</v>
      </c>
      <c r="F52" s="16">
        <v>464</v>
      </c>
      <c r="G52" s="16">
        <v>180800</v>
      </c>
      <c r="H52" s="16">
        <f t="shared" si="1"/>
        <v>-12</v>
      </c>
    </row>
    <row r="53" spans="1:8">
      <c r="A53" s="17">
        <v>44683</v>
      </c>
      <c r="B53" s="16">
        <v>456</v>
      </c>
      <c r="C53" s="16">
        <v>478</v>
      </c>
      <c r="D53" s="16">
        <v>441</v>
      </c>
      <c r="E53" s="16">
        <v>454</v>
      </c>
      <c r="F53" s="16">
        <v>454</v>
      </c>
      <c r="G53" s="16">
        <v>169800</v>
      </c>
      <c r="H53" s="16">
        <f t="shared" si="1"/>
        <v>-2</v>
      </c>
    </row>
    <row r="54" spans="1:8">
      <c r="A54" s="17">
        <v>44713</v>
      </c>
      <c r="B54" s="16">
        <v>454</v>
      </c>
      <c r="C54" s="16">
        <v>493</v>
      </c>
      <c r="D54" s="16">
        <v>442</v>
      </c>
      <c r="E54" s="16">
        <v>465</v>
      </c>
      <c r="F54" s="16">
        <v>465</v>
      </c>
      <c r="G54" s="16">
        <v>236400</v>
      </c>
      <c r="H54" s="16">
        <f t="shared" si="1"/>
        <v>11</v>
      </c>
    </row>
    <row r="55" spans="1:8">
      <c r="A55" s="17">
        <v>44743</v>
      </c>
      <c r="B55" s="16">
        <v>460</v>
      </c>
      <c r="C55" s="16">
        <v>469</v>
      </c>
      <c r="D55" s="16">
        <v>449</v>
      </c>
      <c r="E55" s="16">
        <v>454</v>
      </c>
      <c r="F55" s="16">
        <v>454</v>
      </c>
      <c r="G55" s="16">
        <v>347100</v>
      </c>
      <c r="H55" s="16">
        <f t="shared" si="1"/>
        <v>-6</v>
      </c>
    </row>
    <row r="56" spans="1:8">
      <c r="A56" s="17">
        <v>44774</v>
      </c>
      <c r="B56" s="16">
        <v>455</v>
      </c>
      <c r="C56" s="16">
        <v>462</v>
      </c>
      <c r="D56" s="16">
        <v>444</v>
      </c>
      <c r="E56" s="16">
        <v>445</v>
      </c>
      <c r="F56" s="16">
        <v>445</v>
      </c>
      <c r="G56" s="16">
        <v>259600</v>
      </c>
      <c r="H56" s="16">
        <f t="shared" si="1"/>
        <v>-10</v>
      </c>
    </row>
    <row r="57" spans="1:8">
      <c r="A57" s="17">
        <v>44805</v>
      </c>
      <c r="B57" s="16">
        <v>445</v>
      </c>
      <c r="C57" s="16">
        <v>451</v>
      </c>
      <c r="D57" s="16">
        <v>393</v>
      </c>
      <c r="E57" s="16">
        <v>402</v>
      </c>
      <c r="F57" s="16">
        <v>402</v>
      </c>
      <c r="G57" s="16">
        <v>332500</v>
      </c>
      <c r="H57" s="16">
        <f t="shared" si="1"/>
        <v>-43</v>
      </c>
    </row>
    <row r="58" spans="1:8">
      <c r="A58" s="17">
        <v>44837</v>
      </c>
      <c r="B58" s="16">
        <v>399</v>
      </c>
      <c r="C58" s="16">
        <v>412</v>
      </c>
      <c r="D58" s="16">
        <v>345</v>
      </c>
      <c r="E58" s="16">
        <v>366</v>
      </c>
      <c r="F58" s="16">
        <v>366</v>
      </c>
      <c r="G58" s="16">
        <v>650300</v>
      </c>
      <c r="H58" s="16">
        <f t="shared" si="1"/>
        <v>-33</v>
      </c>
    </row>
    <row r="59" spans="1:8">
      <c r="A59" s="17">
        <v>44866</v>
      </c>
      <c r="B59" s="16">
        <v>373</v>
      </c>
      <c r="C59" s="16">
        <v>405</v>
      </c>
      <c r="D59" s="16">
        <v>351</v>
      </c>
      <c r="E59" s="16">
        <v>402</v>
      </c>
      <c r="F59" s="16">
        <v>402</v>
      </c>
      <c r="G59" s="16">
        <v>203000</v>
      </c>
      <c r="H59" s="16">
        <f t="shared" si="1"/>
        <v>29</v>
      </c>
    </row>
    <row r="60" spans="1:8">
      <c r="A60" s="17">
        <v>44896</v>
      </c>
      <c r="B60" s="16">
        <v>405</v>
      </c>
      <c r="C60" s="16">
        <v>405</v>
      </c>
      <c r="D60" s="16">
        <v>346</v>
      </c>
      <c r="E60" s="16">
        <v>361</v>
      </c>
      <c r="F60" s="16">
        <v>361</v>
      </c>
      <c r="G60" s="16">
        <v>279600</v>
      </c>
      <c r="H60" s="16">
        <f t="shared" si="1"/>
        <v>-44</v>
      </c>
    </row>
  </sheetData>
  <phoneticPr fontId="32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CE15E-5AF7-4FB7-A6AC-23F28627490F}">
  <sheetPr codeName="Sheet33"/>
  <dimension ref="A1:DY60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43132</v>
      </c>
      <c r="B2" s="16">
        <v>757</v>
      </c>
      <c r="C2" s="16">
        <v>757</v>
      </c>
      <c r="D2" s="16">
        <v>647</v>
      </c>
      <c r="E2" s="16">
        <v>693</v>
      </c>
      <c r="F2" s="16">
        <v>693</v>
      </c>
      <c r="G2" s="16">
        <v>19507000</v>
      </c>
      <c r="H2" s="16">
        <f t="shared" ref="H2:H33" si="0">E2-B2</f>
        <v>-64</v>
      </c>
      <c r="J2" s="18" cm="1">
        <f t="array" ref="J2:Q5">_xlfn._xlws.FILTER(A2:H60,MONTH(A2:A60)=1,"")</f>
        <v>43466</v>
      </c>
      <c r="K2" s="16">
        <v>480</v>
      </c>
      <c r="L2" s="16">
        <v>537</v>
      </c>
      <c r="M2" s="16">
        <v>476</v>
      </c>
      <c r="N2" s="16">
        <v>477</v>
      </c>
      <c r="O2" s="16">
        <v>477</v>
      </c>
      <c r="P2" s="16">
        <v>9390700</v>
      </c>
      <c r="Q2" s="16">
        <v>-3</v>
      </c>
      <c r="R2" s="16">
        <f>Q2/K2*100</f>
        <v>-0.625</v>
      </c>
      <c r="S2" s="16">
        <f>COUNT(Q2:Q5)</f>
        <v>4</v>
      </c>
      <c r="T2" s="18" cm="1">
        <f t="array" ref="T2:AA6">_xlfn._xlws.FILTER(A2:H60,MONTH(A2:A60)=2,"")</f>
        <v>43132</v>
      </c>
      <c r="U2" s="16">
        <v>757</v>
      </c>
      <c r="V2" s="16">
        <v>757</v>
      </c>
      <c r="W2" s="16">
        <v>647</v>
      </c>
      <c r="X2" s="16">
        <v>693</v>
      </c>
      <c r="Y2" s="16">
        <v>693</v>
      </c>
      <c r="Z2" s="16">
        <v>19507000</v>
      </c>
      <c r="AA2" s="16">
        <v>-64</v>
      </c>
      <c r="AB2" s="16">
        <f>AA2/U2*100</f>
        <v>-8.4544253632760906</v>
      </c>
      <c r="AC2" s="16">
        <f>COUNT(AA2:AA6)</f>
        <v>5</v>
      </c>
      <c r="AD2" s="18" cm="1">
        <f t="array" ref="AD2:AK6">_xlfn._xlws.FILTER(A2:H60,MONTH(A2:A60)=3,"")</f>
        <v>43160</v>
      </c>
      <c r="AE2" s="16">
        <v>690</v>
      </c>
      <c r="AF2" s="16">
        <v>694</v>
      </c>
      <c r="AG2" s="16">
        <v>621</v>
      </c>
      <c r="AH2" s="16">
        <v>636</v>
      </c>
      <c r="AI2" s="16">
        <v>636</v>
      </c>
      <c r="AJ2" s="16">
        <v>16353000</v>
      </c>
      <c r="AK2" s="16">
        <v>-54</v>
      </c>
      <c r="AL2" s="16">
        <f>AK2/AE2*100</f>
        <v>-7.8260869565217401</v>
      </c>
      <c r="AM2" s="16">
        <f>COUNT(AK2:AK6)</f>
        <v>5</v>
      </c>
      <c r="AN2" s="18" cm="1">
        <f t="array" ref="AN2:AU6">_xlfn._xlws.FILTER(A2:H60,MONTH(A2:A60)=4,"")</f>
        <v>43191</v>
      </c>
      <c r="AO2" s="16">
        <v>639</v>
      </c>
      <c r="AP2" s="16">
        <v>650</v>
      </c>
      <c r="AQ2" s="16">
        <v>610</v>
      </c>
      <c r="AR2" s="16">
        <v>627</v>
      </c>
      <c r="AS2" s="16">
        <v>627</v>
      </c>
      <c r="AT2" s="16">
        <v>15020000</v>
      </c>
      <c r="AU2" s="16">
        <v>-12</v>
      </c>
      <c r="AV2" s="16">
        <f>AU2/AO2*100</f>
        <v>-1.8779342723004695</v>
      </c>
      <c r="AW2" s="16">
        <f>COUNT(AU2:AU6)</f>
        <v>5</v>
      </c>
      <c r="AX2" s="18" cm="1">
        <f t="array" ref="AX2:BE6">_xlfn._xlws.FILTER(A2:H60,MONTH(A2:A60)=5,"")</f>
        <v>43221</v>
      </c>
      <c r="AY2" s="16">
        <v>624</v>
      </c>
      <c r="AZ2" s="16">
        <v>629</v>
      </c>
      <c r="BA2" s="16">
        <v>545</v>
      </c>
      <c r="BB2" s="16">
        <v>548</v>
      </c>
      <c r="BC2" s="16">
        <v>548</v>
      </c>
      <c r="BD2" s="16">
        <v>15190000</v>
      </c>
      <c r="BE2" s="16">
        <v>-76</v>
      </c>
      <c r="BF2" s="16">
        <f>BE2/AY2*100</f>
        <v>-12.179487179487179</v>
      </c>
      <c r="BG2" s="16">
        <f>COUNT(BE2:BE6)</f>
        <v>5</v>
      </c>
      <c r="BH2" s="18" cm="1">
        <f t="array" ref="BH2:BO6">_xlfn._xlws.FILTER(A2:H60,MONTH(A2:A60)=6,"")</f>
        <v>43252</v>
      </c>
      <c r="BI2" s="16">
        <v>546</v>
      </c>
      <c r="BJ2" s="16">
        <v>583</v>
      </c>
      <c r="BK2" s="16">
        <v>526</v>
      </c>
      <c r="BL2" s="16">
        <v>545</v>
      </c>
      <c r="BM2" s="16">
        <v>545</v>
      </c>
      <c r="BN2" s="16">
        <v>11360000</v>
      </c>
      <c r="BO2" s="16">
        <v>-1</v>
      </c>
      <c r="BP2" s="16">
        <f>BO2/BI2*100</f>
        <v>-0.18315018315018314</v>
      </c>
      <c r="BQ2" s="16">
        <f>COUNT(BO2:BO6)</f>
        <v>5</v>
      </c>
      <c r="BR2" s="18" cm="1">
        <f t="array" ref="BR2:BY6">_xlfn._xlws.FILTER(A2:H60,MONTH(A2:A60)=7,"")</f>
        <v>43282</v>
      </c>
      <c r="BS2" s="16">
        <v>545</v>
      </c>
      <c r="BT2" s="16">
        <v>555</v>
      </c>
      <c r="BU2" s="16">
        <v>511</v>
      </c>
      <c r="BV2" s="16">
        <v>532</v>
      </c>
      <c r="BW2" s="16">
        <v>532</v>
      </c>
      <c r="BX2" s="16">
        <v>13468000</v>
      </c>
      <c r="BY2" s="16">
        <v>-13</v>
      </c>
      <c r="BZ2" s="16">
        <f>BY2/BS2*100</f>
        <v>-2.3853211009174311</v>
      </c>
      <c r="CA2" s="16">
        <f>COUNT(BY2:BY6)</f>
        <v>5</v>
      </c>
      <c r="CB2" s="18" cm="1">
        <f t="array" ref="CB2:CI6">_xlfn._xlws.FILTER(A2:H60,MONTH(A2:A60)=8,"")</f>
        <v>43313</v>
      </c>
      <c r="CC2" s="16">
        <v>534</v>
      </c>
      <c r="CD2" s="16">
        <v>557</v>
      </c>
      <c r="CE2" s="16">
        <v>504</v>
      </c>
      <c r="CF2" s="16">
        <v>533</v>
      </c>
      <c r="CG2" s="16">
        <v>533</v>
      </c>
      <c r="CH2" s="16">
        <v>9604000</v>
      </c>
      <c r="CI2" s="16">
        <v>-1</v>
      </c>
      <c r="CJ2" s="16">
        <f>CI2/CC2*100</f>
        <v>-0.18726591760299627</v>
      </c>
      <c r="CK2" s="16">
        <f>COUNT(CI2:CI6)</f>
        <v>5</v>
      </c>
      <c r="CL2" s="18" cm="1">
        <f t="array" ref="CL2:CS6">_xlfn._xlws.FILTER(A2:H60,MONTH(A2:A60)=9,"")</f>
        <v>43344</v>
      </c>
      <c r="CM2" s="16">
        <v>533</v>
      </c>
      <c r="CN2" s="16">
        <v>596</v>
      </c>
      <c r="CO2" s="16">
        <v>504</v>
      </c>
      <c r="CP2" s="16">
        <v>585</v>
      </c>
      <c r="CQ2" s="16">
        <v>585</v>
      </c>
      <c r="CR2" s="16">
        <v>10176000</v>
      </c>
      <c r="CS2" s="16">
        <v>52</v>
      </c>
      <c r="CT2" s="16">
        <f>CS2/CM2*100</f>
        <v>9.7560975609756095</v>
      </c>
      <c r="CU2" s="16">
        <f>COUNT(CS2:CS6)</f>
        <v>5</v>
      </c>
      <c r="CV2" s="18" cm="1">
        <f t="array" ref="CV2:DC6">_xlfn._xlws.FILTER(A2:H60,MONTH(A2:A60)=10,"")</f>
        <v>43374</v>
      </c>
      <c r="CW2" s="16">
        <v>586</v>
      </c>
      <c r="CX2" s="16">
        <v>598</v>
      </c>
      <c r="CY2" s="16">
        <v>509</v>
      </c>
      <c r="CZ2" s="16">
        <v>541</v>
      </c>
      <c r="DA2" s="16">
        <v>541</v>
      </c>
      <c r="DB2" s="16">
        <v>15551100</v>
      </c>
      <c r="DC2" s="16">
        <v>-45</v>
      </c>
      <c r="DD2" s="16">
        <f>DC2/CW2*100</f>
        <v>-7.6791808873720138</v>
      </c>
      <c r="DE2" s="16">
        <f>COUNT(DC2:DC6)</f>
        <v>5</v>
      </c>
      <c r="DF2" s="18" cm="1">
        <f t="array" ref="DF2:DM6">_xlfn._xlws.FILTER(A2:H60,MONTH(A2:A60)=11,"")</f>
        <v>43405</v>
      </c>
      <c r="DG2" s="16">
        <v>537</v>
      </c>
      <c r="DH2" s="16">
        <v>582</v>
      </c>
      <c r="DI2" s="16">
        <v>535</v>
      </c>
      <c r="DJ2" s="16">
        <v>558</v>
      </c>
      <c r="DK2" s="16">
        <v>558</v>
      </c>
      <c r="DL2" s="16">
        <v>10057300</v>
      </c>
      <c r="DM2" s="16">
        <v>21</v>
      </c>
      <c r="DN2" s="16">
        <f>DM2/DG2*100</f>
        <v>3.9106145251396649</v>
      </c>
      <c r="DO2" s="16">
        <f>COUNT(DM2:DM6)</f>
        <v>5</v>
      </c>
      <c r="DP2" s="18" cm="1">
        <f t="array" ref="DP2:DW6">_xlfn._xlws.FILTER(A2:H60,MONTH(A2:A60)=12,"")</f>
        <v>43435</v>
      </c>
      <c r="DQ2" s="16">
        <v>565</v>
      </c>
      <c r="DR2" s="16">
        <v>569</v>
      </c>
      <c r="DS2" s="16">
        <v>443</v>
      </c>
      <c r="DT2" s="16">
        <v>488</v>
      </c>
      <c r="DU2" s="16">
        <v>488</v>
      </c>
      <c r="DV2" s="16">
        <v>10602500</v>
      </c>
      <c r="DW2" s="16">
        <v>-77</v>
      </c>
      <c r="DX2" s="16">
        <f>DW2/DQ2*100</f>
        <v>-13.628318584070797</v>
      </c>
      <c r="DY2" s="16">
        <f>COUNT(DW2:DW6)</f>
        <v>5</v>
      </c>
    </row>
    <row r="3" spans="1:129">
      <c r="A3" s="17">
        <v>43160</v>
      </c>
      <c r="B3" s="16">
        <v>690</v>
      </c>
      <c r="C3" s="16">
        <v>694</v>
      </c>
      <c r="D3" s="16">
        <v>621</v>
      </c>
      <c r="E3" s="16">
        <v>636</v>
      </c>
      <c r="F3" s="16">
        <v>636</v>
      </c>
      <c r="G3" s="16">
        <v>16353000</v>
      </c>
      <c r="H3" s="16">
        <f t="shared" si="0"/>
        <v>-54</v>
      </c>
      <c r="J3" s="18">
        <v>43831</v>
      </c>
      <c r="K3" s="16">
        <v>391</v>
      </c>
      <c r="L3" s="16">
        <v>399</v>
      </c>
      <c r="M3" s="16">
        <v>374</v>
      </c>
      <c r="N3" s="16">
        <v>388</v>
      </c>
      <c r="O3" s="16">
        <v>388</v>
      </c>
      <c r="P3" s="16">
        <v>6253300</v>
      </c>
      <c r="Q3" s="16">
        <v>-3</v>
      </c>
      <c r="R3" s="16">
        <f>Q3/K3*100</f>
        <v>-0.76726342710997442</v>
      </c>
      <c r="S3" s="16">
        <f>COUNTIF(Q2:Q5,"&gt;0")</f>
        <v>0</v>
      </c>
      <c r="T3" s="18">
        <v>43497</v>
      </c>
      <c r="U3" s="16">
        <v>482</v>
      </c>
      <c r="V3" s="16">
        <v>494</v>
      </c>
      <c r="W3" s="16">
        <v>463</v>
      </c>
      <c r="X3" s="16">
        <v>486</v>
      </c>
      <c r="Y3" s="16">
        <v>486</v>
      </c>
      <c r="Z3" s="16">
        <v>6532100</v>
      </c>
      <c r="AA3" s="16">
        <v>4</v>
      </c>
      <c r="AB3" s="16">
        <f>AA3/U3*100</f>
        <v>0.82987551867219922</v>
      </c>
      <c r="AC3" s="16">
        <f>COUNTIF(AA2:AA6,"&gt;0")</f>
        <v>3</v>
      </c>
      <c r="AD3" s="18">
        <v>43525</v>
      </c>
      <c r="AE3" s="16">
        <v>489</v>
      </c>
      <c r="AF3" s="16">
        <v>500</v>
      </c>
      <c r="AG3" s="16">
        <v>407</v>
      </c>
      <c r="AH3" s="16">
        <v>411</v>
      </c>
      <c r="AI3" s="16">
        <v>411</v>
      </c>
      <c r="AJ3" s="16">
        <v>11798800</v>
      </c>
      <c r="AK3" s="16">
        <v>-78</v>
      </c>
      <c r="AL3" s="16">
        <f>AK3/AE3*100</f>
        <v>-15.950920245398773</v>
      </c>
      <c r="AM3" s="16">
        <f>COUNTIF(AK2:AK6,"&gt;0")</f>
        <v>2</v>
      </c>
      <c r="AN3" s="18">
        <v>43556</v>
      </c>
      <c r="AO3" s="16">
        <v>416</v>
      </c>
      <c r="AP3" s="16">
        <v>434</v>
      </c>
      <c r="AQ3" s="16">
        <v>400</v>
      </c>
      <c r="AR3" s="16">
        <v>406</v>
      </c>
      <c r="AS3" s="16">
        <v>406</v>
      </c>
      <c r="AT3" s="16">
        <v>7776100</v>
      </c>
      <c r="AU3" s="16">
        <v>-10</v>
      </c>
      <c r="AV3" s="16">
        <f>AU3/AO3*100</f>
        <v>-2.4038461538461542</v>
      </c>
      <c r="AW3" s="16">
        <f>COUNTIF(AU2:AU6,"&gt;0")</f>
        <v>1</v>
      </c>
      <c r="AX3" s="18">
        <v>43586</v>
      </c>
      <c r="AY3" s="16">
        <v>401</v>
      </c>
      <c r="AZ3" s="16">
        <v>403</v>
      </c>
      <c r="BA3" s="16">
        <v>371</v>
      </c>
      <c r="BB3" s="16">
        <v>387</v>
      </c>
      <c r="BC3" s="16">
        <v>387</v>
      </c>
      <c r="BD3" s="16">
        <v>8428300</v>
      </c>
      <c r="BE3" s="16">
        <v>-14</v>
      </c>
      <c r="BF3" s="16">
        <f>BE3/AY3*100</f>
        <v>-3.4912718204488775</v>
      </c>
      <c r="BG3" s="16">
        <f>COUNTIF(BE2:BE6,"&gt;0")</f>
        <v>1</v>
      </c>
      <c r="BH3" s="18">
        <v>43617</v>
      </c>
      <c r="BI3" s="16">
        <v>382</v>
      </c>
      <c r="BJ3" s="16">
        <v>420</v>
      </c>
      <c r="BK3" s="16">
        <v>376</v>
      </c>
      <c r="BL3" s="16">
        <v>394</v>
      </c>
      <c r="BM3" s="16">
        <v>394</v>
      </c>
      <c r="BN3" s="16">
        <v>8576300</v>
      </c>
      <c r="BO3" s="16">
        <v>12</v>
      </c>
      <c r="BP3" s="16">
        <f>BO3/BI3*100</f>
        <v>3.1413612565445024</v>
      </c>
      <c r="BQ3" s="16">
        <f>COUNTIF(BO2:BO6,"&gt;0")</f>
        <v>1</v>
      </c>
      <c r="BR3" s="18">
        <v>43647</v>
      </c>
      <c r="BS3" s="16">
        <v>400</v>
      </c>
      <c r="BT3" s="16">
        <v>411</v>
      </c>
      <c r="BU3" s="16">
        <v>387</v>
      </c>
      <c r="BV3" s="16">
        <v>391</v>
      </c>
      <c r="BW3" s="16">
        <v>391</v>
      </c>
      <c r="BX3" s="16">
        <v>7488700</v>
      </c>
      <c r="BY3" s="16">
        <v>-9</v>
      </c>
      <c r="BZ3" s="16">
        <f>BY3/BS3*100</f>
        <v>-2.25</v>
      </c>
      <c r="CA3" s="16">
        <f>COUNTIF(BY2:BY6,"&gt;0")</f>
        <v>1</v>
      </c>
      <c r="CB3" s="18">
        <v>43678</v>
      </c>
      <c r="CC3" s="16">
        <v>389</v>
      </c>
      <c r="CD3" s="16">
        <v>391</v>
      </c>
      <c r="CE3" s="16">
        <v>329</v>
      </c>
      <c r="CF3" s="16">
        <v>350</v>
      </c>
      <c r="CG3" s="16">
        <v>350</v>
      </c>
      <c r="CH3" s="16">
        <v>7136000</v>
      </c>
      <c r="CI3" s="16">
        <v>-39</v>
      </c>
      <c r="CJ3" s="16">
        <f>CI3/CC3*100</f>
        <v>-10.025706940874036</v>
      </c>
      <c r="CK3" s="16">
        <f>COUNTIF(CI2:CI6,"&gt;0")</f>
        <v>2</v>
      </c>
      <c r="CL3" s="18">
        <v>43709</v>
      </c>
      <c r="CM3" s="16">
        <v>347</v>
      </c>
      <c r="CN3" s="16">
        <v>398</v>
      </c>
      <c r="CO3" s="16">
        <v>340</v>
      </c>
      <c r="CP3" s="16">
        <v>383</v>
      </c>
      <c r="CQ3" s="16">
        <v>383</v>
      </c>
      <c r="CR3" s="16">
        <v>8410700</v>
      </c>
      <c r="CS3" s="16">
        <v>36</v>
      </c>
      <c r="CT3" s="16">
        <f>CS3/CM3*100</f>
        <v>10.37463976945245</v>
      </c>
      <c r="CU3" s="16">
        <f>COUNTIF(CS2:CS6,"&gt;0")</f>
        <v>4</v>
      </c>
      <c r="CV3" s="18">
        <v>43739</v>
      </c>
      <c r="CW3" s="16">
        <v>384</v>
      </c>
      <c r="CX3" s="16">
        <v>404</v>
      </c>
      <c r="CY3" s="16">
        <v>370</v>
      </c>
      <c r="CZ3" s="16">
        <v>385</v>
      </c>
      <c r="DA3" s="16">
        <v>385</v>
      </c>
      <c r="DB3" s="16">
        <v>8351100</v>
      </c>
      <c r="DC3" s="16">
        <v>1</v>
      </c>
      <c r="DD3" s="16">
        <f>DC3/CW3*100</f>
        <v>0.26041666666666663</v>
      </c>
      <c r="DE3" s="16">
        <f>COUNTIF(DC2:DC6,"&gt;0")</f>
        <v>2</v>
      </c>
      <c r="DF3" s="18">
        <v>43770</v>
      </c>
      <c r="DG3" s="16">
        <v>381</v>
      </c>
      <c r="DH3" s="16">
        <v>410</v>
      </c>
      <c r="DI3" s="16">
        <v>381</v>
      </c>
      <c r="DJ3" s="16">
        <v>407</v>
      </c>
      <c r="DK3" s="16">
        <v>407</v>
      </c>
      <c r="DL3" s="16">
        <v>6814700</v>
      </c>
      <c r="DM3" s="16">
        <v>26</v>
      </c>
      <c r="DN3" s="16">
        <f>DM3/DG3*100</f>
        <v>6.8241469816272966</v>
      </c>
      <c r="DO3" s="16">
        <f>COUNTIF(DM2:DM6,"&gt;0")</f>
        <v>4</v>
      </c>
      <c r="DP3" s="18">
        <v>43800</v>
      </c>
      <c r="DQ3" s="16">
        <v>407</v>
      </c>
      <c r="DR3" s="16">
        <v>410</v>
      </c>
      <c r="DS3" s="16">
        <v>390</v>
      </c>
      <c r="DT3" s="16">
        <v>393</v>
      </c>
      <c r="DU3" s="16">
        <v>393</v>
      </c>
      <c r="DV3" s="16">
        <v>6551700</v>
      </c>
      <c r="DW3" s="16">
        <v>-14</v>
      </c>
      <c r="DX3" s="16">
        <f>DW3/DQ3*100</f>
        <v>-3.4398034398034398</v>
      </c>
      <c r="DY3" s="16">
        <f>COUNTIF(DW2:DW6,"&gt;0")</f>
        <v>2</v>
      </c>
    </row>
    <row r="4" spans="1:129">
      <c r="A4" s="17">
        <v>43191</v>
      </c>
      <c r="B4" s="16">
        <v>639</v>
      </c>
      <c r="C4" s="16">
        <v>650</v>
      </c>
      <c r="D4" s="16">
        <v>610</v>
      </c>
      <c r="E4" s="16">
        <v>627</v>
      </c>
      <c r="F4" s="16">
        <v>627</v>
      </c>
      <c r="G4" s="16">
        <v>15020000</v>
      </c>
      <c r="H4" s="16">
        <f t="shared" si="0"/>
        <v>-12</v>
      </c>
      <c r="J4" s="18">
        <v>44200</v>
      </c>
      <c r="K4" s="16">
        <v>376</v>
      </c>
      <c r="L4" s="16">
        <v>428</v>
      </c>
      <c r="M4" s="16">
        <v>367</v>
      </c>
      <c r="N4" s="16">
        <v>376</v>
      </c>
      <c r="O4" s="16">
        <v>376</v>
      </c>
      <c r="P4" s="16">
        <v>8454200</v>
      </c>
      <c r="Q4" s="16">
        <v>0</v>
      </c>
      <c r="R4" s="16">
        <f>Q4/K4*100</f>
        <v>0</v>
      </c>
      <c r="S4" s="19">
        <f>S3/S2*100</f>
        <v>0</v>
      </c>
      <c r="T4" s="18">
        <v>43862</v>
      </c>
      <c r="U4" s="16">
        <v>381</v>
      </c>
      <c r="V4" s="16">
        <v>419</v>
      </c>
      <c r="W4" s="16">
        <v>338</v>
      </c>
      <c r="X4" s="16">
        <v>341</v>
      </c>
      <c r="Y4" s="16">
        <v>341</v>
      </c>
      <c r="Z4" s="16">
        <v>9054600</v>
      </c>
      <c r="AA4" s="16">
        <v>-40</v>
      </c>
      <c r="AB4" s="16">
        <f>AA4/U4*100</f>
        <v>-10.498687664041995</v>
      </c>
      <c r="AC4" s="19">
        <f>AC3/AC2*100</f>
        <v>60</v>
      </c>
      <c r="AD4" s="18">
        <v>43891</v>
      </c>
      <c r="AE4" s="16">
        <v>333</v>
      </c>
      <c r="AF4" s="16">
        <v>370</v>
      </c>
      <c r="AG4" s="16">
        <v>263</v>
      </c>
      <c r="AH4" s="16">
        <v>342</v>
      </c>
      <c r="AI4" s="16">
        <v>342</v>
      </c>
      <c r="AJ4" s="16">
        <v>13860700</v>
      </c>
      <c r="AK4" s="16">
        <v>9</v>
      </c>
      <c r="AL4" s="16">
        <f>AK4/AE4*100</f>
        <v>2.7027027027027026</v>
      </c>
      <c r="AM4" s="19">
        <f>AM3/AM2*100</f>
        <v>40</v>
      </c>
      <c r="AN4" s="18">
        <v>43922</v>
      </c>
      <c r="AO4" s="16">
        <v>335</v>
      </c>
      <c r="AP4" s="16">
        <v>362</v>
      </c>
      <c r="AQ4" s="16">
        <v>310</v>
      </c>
      <c r="AR4" s="16">
        <v>327</v>
      </c>
      <c r="AS4" s="16">
        <v>327</v>
      </c>
      <c r="AT4" s="16">
        <v>9679800</v>
      </c>
      <c r="AU4" s="16">
        <v>-8</v>
      </c>
      <c r="AV4" s="16">
        <f>AU4/AO4*100</f>
        <v>-2.3880597014925375</v>
      </c>
      <c r="AW4" s="19">
        <f>AW3/AW2*100</f>
        <v>20</v>
      </c>
      <c r="AX4" s="18">
        <v>43952</v>
      </c>
      <c r="AY4" s="16">
        <v>326</v>
      </c>
      <c r="AZ4" s="16">
        <v>359</v>
      </c>
      <c r="BA4" s="16">
        <v>298</v>
      </c>
      <c r="BB4" s="16">
        <v>350</v>
      </c>
      <c r="BC4" s="16">
        <v>350</v>
      </c>
      <c r="BD4" s="16">
        <v>6350400</v>
      </c>
      <c r="BE4" s="16">
        <v>24</v>
      </c>
      <c r="BF4" s="16">
        <f>BE4/AY4*100</f>
        <v>7.3619631901840492</v>
      </c>
      <c r="BG4" s="19">
        <f>BG3/BG2*100</f>
        <v>20</v>
      </c>
      <c r="BH4" s="18">
        <v>43983</v>
      </c>
      <c r="BI4" s="16">
        <v>350</v>
      </c>
      <c r="BJ4" s="16">
        <v>377</v>
      </c>
      <c r="BK4" s="16">
        <v>324</v>
      </c>
      <c r="BL4" s="16">
        <v>325</v>
      </c>
      <c r="BM4" s="16">
        <v>325</v>
      </c>
      <c r="BN4" s="16">
        <v>9237900</v>
      </c>
      <c r="BO4" s="16">
        <v>-25</v>
      </c>
      <c r="BP4" s="16">
        <f>BO4/BI4*100</f>
        <v>-7.1428571428571423</v>
      </c>
      <c r="BQ4" s="19">
        <f>BQ3/BQ2*100</f>
        <v>20</v>
      </c>
      <c r="BR4" s="18">
        <v>44013</v>
      </c>
      <c r="BS4" s="16">
        <v>327</v>
      </c>
      <c r="BT4" s="16">
        <v>359</v>
      </c>
      <c r="BU4" s="16">
        <v>296</v>
      </c>
      <c r="BV4" s="16">
        <v>298</v>
      </c>
      <c r="BW4" s="16">
        <v>298</v>
      </c>
      <c r="BX4" s="16">
        <v>8695700</v>
      </c>
      <c r="BY4" s="16">
        <v>-29</v>
      </c>
      <c r="BZ4" s="16">
        <f>BY4/BS4*100</f>
        <v>-8.8685015290519882</v>
      </c>
      <c r="CA4" s="19">
        <f>CA3/CA2*100</f>
        <v>20</v>
      </c>
      <c r="CB4" s="18">
        <v>44044</v>
      </c>
      <c r="CC4" s="16">
        <v>300</v>
      </c>
      <c r="CD4" s="16">
        <v>335</v>
      </c>
      <c r="CE4" s="16">
        <v>300</v>
      </c>
      <c r="CF4" s="16">
        <v>322</v>
      </c>
      <c r="CG4" s="16">
        <v>322</v>
      </c>
      <c r="CH4" s="16">
        <v>5618200</v>
      </c>
      <c r="CI4" s="16">
        <v>22</v>
      </c>
      <c r="CJ4" s="16">
        <f>CI4/CC4*100</f>
        <v>7.333333333333333</v>
      </c>
      <c r="CK4" s="19">
        <f>CK3/CK2*100</f>
        <v>40</v>
      </c>
      <c r="CL4" s="18">
        <v>44075</v>
      </c>
      <c r="CM4" s="16">
        <v>318</v>
      </c>
      <c r="CN4" s="16">
        <v>370</v>
      </c>
      <c r="CO4" s="16">
        <v>317</v>
      </c>
      <c r="CP4" s="16">
        <v>346</v>
      </c>
      <c r="CQ4" s="16">
        <v>346</v>
      </c>
      <c r="CR4" s="16">
        <v>8804200</v>
      </c>
      <c r="CS4" s="16">
        <v>28</v>
      </c>
      <c r="CT4" s="16">
        <f>CS4/CM4*100</f>
        <v>8.8050314465408803</v>
      </c>
      <c r="CU4" s="19">
        <f>CU3/CU2*100</f>
        <v>80</v>
      </c>
      <c r="CV4" s="18">
        <v>44105</v>
      </c>
      <c r="CW4" s="16">
        <v>347</v>
      </c>
      <c r="CX4" s="16">
        <v>378</v>
      </c>
      <c r="CY4" s="16">
        <v>335</v>
      </c>
      <c r="CZ4" s="16">
        <v>340</v>
      </c>
      <c r="DA4" s="16">
        <v>340</v>
      </c>
      <c r="DB4" s="16">
        <v>6136700</v>
      </c>
      <c r="DC4" s="16">
        <v>-7</v>
      </c>
      <c r="DD4" s="16">
        <f>DC4/CW4*100</f>
        <v>-2.0172910662824206</v>
      </c>
      <c r="DE4" s="19">
        <f>DE3/DE2*100</f>
        <v>40</v>
      </c>
      <c r="DF4" s="18">
        <v>44136</v>
      </c>
      <c r="DG4" s="16">
        <v>342</v>
      </c>
      <c r="DH4" s="16">
        <v>396</v>
      </c>
      <c r="DI4" s="16">
        <v>335</v>
      </c>
      <c r="DJ4" s="16">
        <v>369</v>
      </c>
      <c r="DK4" s="16">
        <v>369</v>
      </c>
      <c r="DL4" s="16">
        <v>9022900</v>
      </c>
      <c r="DM4" s="16">
        <v>27</v>
      </c>
      <c r="DN4" s="16">
        <f>DM4/DG4*100</f>
        <v>7.8947368421052628</v>
      </c>
      <c r="DO4" s="19">
        <f>DO3/DO2*100</f>
        <v>80</v>
      </c>
      <c r="DP4" s="18">
        <v>44166</v>
      </c>
      <c r="DQ4" s="16">
        <v>374</v>
      </c>
      <c r="DR4" s="16">
        <v>397</v>
      </c>
      <c r="DS4" s="16">
        <v>355</v>
      </c>
      <c r="DT4" s="16">
        <v>375</v>
      </c>
      <c r="DU4" s="16">
        <v>375</v>
      </c>
      <c r="DV4" s="16">
        <v>7659700</v>
      </c>
      <c r="DW4" s="16">
        <v>1</v>
      </c>
      <c r="DX4" s="16">
        <f>DW4/DQ4*100</f>
        <v>0.26737967914438499</v>
      </c>
      <c r="DY4" s="19">
        <f>DY3/DY2*100</f>
        <v>40</v>
      </c>
    </row>
    <row r="5" spans="1:129">
      <c r="A5" s="17">
        <v>43221</v>
      </c>
      <c r="B5" s="16">
        <v>624</v>
      </c>
      <c r="C5" s="16">
        <v>629</v>
      </c>
      <c r="D5" s="16">
        <v>545</v>
      </c>
      <c r="E5" s="16">
        <v>548</v>
      </c>
      <c r="F5" s="16">
        <v>548</v>
      </c>
      <c r="G5" s="16">
        <v>15190000</v>
      </c>
      <c r="H5" s="16">
        <f t="shared" si="0"/>
        <v>-76</v>
      </c>
      <c r="J5" s="18">
        <v>44565</v>
      </c>
      <c r="K5" s="16">
        <v>388</v>
      </c>
      <c r="L5" s="16">
        <v>406</v>
      </c>
      <c r="M5" s="16">
        <v>368</v>
      </c>
      <c r="N5" s="16">
        <v>380</v>
      </c>
      <c r="O5" s="16">
        <v>380</v>
      </c>
      <c r="P5" s="16">
        <v>4980700</v>
      </c>
      <c r="Q5" s="16">
        <v>-8</v>
      </c>
      <c r="R5" s="16">
        <f>Q5/K5*100</f>
        <v>-2.0618556701030926</v>
      </c>
      <c r="S5" s="16">
        <f>AVERAGE(R2:R5)</f>
        <v>-0.86352977430326672</v>
      </c>
      <c r="T5" s="18">
        <v>44228</v>
      </c>
      <c r="U5" s="16">
        <v>375</v>
      </c>
      <c r="V5" s="16">
        <v>434</v>
      </c>
      <c r="W5" s="16">
        <v>365</v>
      </c>
      <c r="X5" s="16">
        <v>393</v>
      </c>
      <c r="Y5" s="16">
        <v>393</v>
      </c>
      <c r="Z5" s="16">
        <v>8964000</v>
      </c>
      <c r="AA5" s="16">
        <v>18</v>
      </c>
      <c r="AB5" s="16">
        <f>AA5/U5*100</f>
        <v>4.8</v>
      </c>
      <c r="AC5" s="16">
        <f>AVERAGE(AB2:AB6)</f>
        <v>-2.1946736113897516</v>
      </c>
      <c r="AD5" s="18">
        <v>44256</v>
      </c>
      <c r="AE5" s="16">
        <v>398</v>
      </c>
      <c r="AF5" s="16">
        <v>506</v>
      </c>
      <c r="AG5" s="16">
        <v>396</v>
      </c>
      <c r="AH5" s="16">
        <v>451</v>
      </c>
      <c r="AI5" s="16">
        <v>451</v>
      </c>
      <c r="AJ5" s="16">
        <v>15852300</v>
      </c>
      <c r="AK5" s="16">
        <v>53</v>
      </c>
      <c r="AL5" s="16">
        <f>AK5/AE5*100</f>
        <v>13.316582914572864</v>
      </c>
      <c r="AM5" s="16">
        <f>AVERAGE(AL2:AL6)</f>
        <v>-2.8173671017391158</v>
      </c>
      <c r="AN5" s="18">
        <v>44287</v>
      </c>
      <c r="AO5" s="16">
        <v>451</v>
      </c>
      <c r="AP5" s="16">
        <v>475</v>
      </c>
      <c r="AQ5" s="16">
        <v>435</v>
      </c>
      <c r="AR5" s="16">
        <v>454</v>
      </c>
      <c r="AS5" s="16">
        <v>454</v>
      </c>
      <c r="AT5" s="16">
        <v>7209100</v>
      </c>
      <c r="AU5" s="16">
        <v>3</v>
      </c>
      <c r="AV5" s="16">
        <f>AU5/AO5*100</f>
        <v>0.66518847006651882</v>
      </c>
      <c r="AW5" s="16">
        <f>AVERAGE(AV2:AV6)</f>
        <v>-2.2335390271667022</v>
      </c>
      <c r="AX5" s="18">
        <v>44322</v>
      </c>
      <c r="AY5" s="16">
        <v>462</v>
      </c>
      <c r="AZ5" s="16">
        <v>483</v>
      </c>
      <c r="BA5" s="16">
        <v>427</v>
      </c>
      <c r="BB5" s="16">
        <v>435</v>
      </c>
      <c r="BC5" s="16">
        <v>435</v>
      </c>
      <c r="BD5" s="16">
        <v>6608700</v>
      </c>
      <c r="BE5" s="16">
        <v>-27</v>
      </c>
      <c r="BF5" s="16">
        <f>BE5/AY5*100</f>
        <v>-5.8441558441558437</v>
      </c>
      <c r="BG5" s="16">
        <f>AVERAGE(BF2:BF6)</f>
        <v>-3.1187747688219161</v>
      </c>
      <c r="BH5" s="18">
        <v>44348</v>
      </c>
      <c r="BI5" s="16">
        <v>436</v>
      </c>
      <c r="BJ5" s="16">
        <v>450</v>
      </c>
      <c r="BK5" s="16">
        <v>406</v>
      </c>
      <c r="BL5" s="16">
        <v>416</v>
      </c>
      <c r="BM5" s="16">
        <v>416</v>
      </c>
      <c r="BN5" s="16">
        <v>5808300</v>
      </c>
      <c r="BO5" s="16">
        <v>-20</v>
      </c>
      <c r="BP5" s="16">
        <f>BO5/BI5*100</f>
        <v>-4.5871559633027523</v>
      </c>
      <c r="BQ5" s="16">
        <f>AVERAGE(BP2:BP6)</f>
        <v>-2.0459055960574881</v>
      </c>
      <c r="BR5" s="18">
        <v>44378</v>
      </c>
      <c r="BS5" s="16">
        <v>420</v>
      </c>
      <c r="BT5" s="16">
        <v>430</v>
      </c>
      <c r="BU5" s="16">
        <v>396</v>
      </c>
      <c r="BV5" s="16">
        <v>398</v>
      </c>
      <c r="BW5" s="16">
        <v>398</v>
      </c>
      <c r="BX5" s="16">
        <v>5952000</v>
      </c>
      <c r="BY5" s="16">
        <v>-22</v>
      </c>
      <c r="BZ5" s="16">
        <f>BY5/BS5*100</f>
        <v>-5.2380952380952381</v>
      </c>
      <c r="CA5" s="16">
        <f>AVERAGE(BZ2:BZ6)</f>
        <v>-3.6296892115951271</v>
      </c>
      <c r="CB5" s="18">
        <v>44410</v>
      </c>
      <c r="CC5" s="16">
        <v>404</v>
      </c>
      <c r="CD5" s="16">
        <v>413</v>
      </c>
      <c r="CE5" s="16">
        <v>387</v>
      </c>
      <c r="CF5" s="16">
        <v>408</v>
      </c>
      <c r="CG5" s="16">
        <v>408</v>
      </c>
      <c r="CH5" s="16">
        <v>4075800</v>
      </c>
      <c r="CI5" s="16">
        <v>4</v>
      </c>
      <c r="CJ5" s="16">
        <f>CI5/CC5*100</f>
        <v>0.99009900990099009</v>
      </c>
      <c r="CK5" s="16">
        <f>AVERAGE(CJ2:CJ6)</f>
        <v>-0.72981426140631311</v>
      </c>
      <c r="CL5" s="18">
        <v>44440</v>
      </c>
      <c r="CM5" s="16">
        <v>406</v>
      </c>
      <c r="CN5" s="16">
        <v>443</v>
      </c>
      <c r="CO5" s="16">
        <v>404</v>
      </c>
      <c r="CP5" s="16">
        <v>407</v>
      </c>
      <c r="CQ5" s="16">
        <v>407</v>
      </c>
      <c r="CR5" s="16">
        <v>7437900</v>
      </c>
      <c r="CS5" s="16">
        <v>1</v>
      </c>
      <c r="CT5" s="16">
        <f>CS5/CM5*100</f>
        <v>0.24630541871921183</v>
      </c>
      <c r="CU5" s="16">
        <f>AVERAGE(CT2:CT6)</f>
        <v>5.3573729229699669</v>
      </c>
      <c r="CV5" s="18">
        <v>44470</v>
      </c>
      <c r="CW5" s="16">
        <v>401</v>
      </c>
      <c r="CX5" s="16">
        <v>406</v>
      </c>
      <c r="CY5" s="16">
        <v>381</v>
      </c>
      <c r="CZ5" s="16">
        <v>389</v>
      </c>
      <c r="DA5" s="16">
        <v>389</v>
      </c>
      <c r="DB5" s="16">
        <v>8314100</v>
      </c>
      <c r="DC5" s="16">
        <v>-12</v>
      </c>
      <c r="DD5" s="16">
        <f>DC5/CW5*100</f>
        <v>-2.9925187032418954</v>
      </c>
      <c r="DE5" s="16">
        <f>AVERAGE(DD2:DD6)</f>
        <v>-0.83433865125694129</v>
      </c>
      <c r="DF5" s="18">
        <v>44501</v>
      </c>
      <c r="DG5" s="16">
        <v>393</v>
      </c>
      <c r="DH5" s="16">
        <v>397</v>
      </c>
      <c r="DI5" s="16">
        <v>368</v>
      </c>
      <c r="DJ5" s="16">
        <v>369</v>
      </c>
      <c r="DK5" s="16">
        <v>369</v>
      </c>
      <c r="DL5" s="16">
        <v>6134600</v>
      </c>
      <c r="DM5" s="16">
        <v>-24</v>
      </c>
      <c r="DN5" s="16">
        <f>DM5/DG5*100</f>
        <v>-6.1068702290076331</v>
      </c>
      <c r="DO5" s="16">
        <f>AVERAGE(DN2:DN6)</f>
        <v>4.5558076752549699</v>
      </c>
      <c r="DP5" s="18">
        <v>44531</v>
      </c>
      <c r="DQ5" s="16">
        <v>365</v>
      </c>
      <c r="DR5" s="16">
        <v>394</v>
      </c>
      <c r="DS5" s="16">
        <v>365</v>
      </c>
      <c r="DT5" s="16">
        <v>381</v>
      </c>
      <c r="DU5" s="16">
        <v>381</v>
      </c>
      <c r="DV5" s="16">
        <v>4797000</v>
      </c>
      <c r="DW5" s="16">
        <v>16</v>
      </c>
      <c r="DX5" s="16">
        <f>DW5/DQ5*100</f>
        <v>4.3835616438356162</v>
      </c>
      <c r="DY5" s="16">
        <f>AVERAGE(DX2:DX6)</f>
        <v>-3.0418117746966145</v>
      </c>
    </row>
    <row r="6" spans="1:129">
      <c r="A6" s="17">
        <v>43252</v>
      </c>
      <c r="B6" s="16">
        <v>546</v>
      </c>
      <c r="C6" s="16">
        <v>583</v>
      </c>
      <c r="D6" s="16">
        <v>526</v>
      </c>
      <c r="E6" s="16">
        <v>545</v>
      </c>
      <c r="F6" s="16">
        <v>545</v>
      </c>
      <c r="G6" s="16">
        <v>11360000</v>
      </c>
      <c r="H6" s="16">
        <f t="shared" si="0"/>
        <v>-1</v>
      </c>
      <c r="S6" s="16">
        <f>MEDIAN(R2:R5)</f>
        <v>-0.69613171355498715</v>
      </c>
      <c r="T6" s="18">
        <v>44593</v>
      </c>
      <c r="U6" s="16">
        <v>383</v>
      </c>
      <c r="V6" s="16">
        <v>400</v>
      </c>
      <c r="W6" s="16">
        <v>379</v>
      </c>
      <c r="X6" s="16">
        <v>392</v>
      </c>
      <c r="Y6" s="16">
        <v>392</v>
      </c>
      <c r="Z6" s="16">
        <v>3534600</v>
      </c>
      <c r="AA6" s="16">
        <v>9</v>
      </c>
      <c r="AB6" s="16">
        <f>AA6/U6*100</f>
        <v>2.3498694516971277</v>
      </c>
      <c r="AC6" s="16">
        <f>MEDIAN(AB2:AB6)</f>
        <v>0.82987551867219922</v>
      </c>
      <c r="AD6" s="18">
        <v>44621</v>
      </c>
      <c r="AE6" s="16">
        <v>395</v>
      </c>
      <c r="AF6" s="16">
        <v>401</v>
      </c>
      <c r="AG6" s="16">
        <v>359</v>
      </c>
      <c r="AH6" s="16">
        <v>370</v>
      </c>
      <c r="AI6" s="16">
        <v>370</v>
      </c>
      <c r="AJ6" s="16">
        <v>8177200</v>
      </c>
      <c r="AK6" s="16">
        <v>-25</v>
      </c>
      <c r="AL6" s="16">
        <f>AK6/AE6*100</f>
        <v>-6.3291139240506329</v>
      </c>
      <c r="AM6" s="16">
        <f>MEDIAN(AL2:AL6)</f>
        <v>-6.3291139240506329</v>
      </c>
      <c r="AN6" s="18">
        <v>44652</v>
      </c>
      <c r="AO6" s="16">
        <v>368</v>
      </c>
      <c r="AP6" s="16">
        <v>380</v>
      </c>
      <c r="AQ6" s="16">
        <v>338</v>
      </c>
      <c r="AR6" s="16">
        <v>349</v>
      </c>
      <c r="AS6" s="16">
        <v>349</v>
      </c>
      <c r="AT6" s="16">
        <v>5329000</v>
      </c>
      <c r="AU6" s="16">
        <v>-19</v>
      </c>
      <c r="AV6" s="16">
        <f>AU6/AO6*100</f>
        <v>-5.1630434782608692</v>
      </c>
      <c r="AW6" s="16">
        <f>MEDIAN(AV2:AV6)</f>
        <v>-2.3880597014925375</v>
      </c>
      <c r="AX6" s="18">
        <v>44683</v>
      </c>
      <c r="AY6" s="16">
        <v>347</v>
      </c>
      <c r="AZ6" s="16">
        <v>370</v>
      </c>
      <c r="BA6" s="16">
        <v>331</v>
      </c>
      <c r="BB6" s="16">
        <v>342</v>
      </c>
      <c r="BC6" s="16">
        <v>342</v>
      </c>
      <c r="BD6" s="16">
        <v>5593900</v>
      </c>
      <c r="BE6" s="16">
        <v>-5</v>
      </c>
      <c r="BF6" s="16">
        <f>BE6/AY6*100</f>
        <v>-1.4409221902017291</v>
      </c>
      <c r="BG6" s="16">
        <f>MEDIAN(BF2:BF6)</f>
        <v>-3.4912718204488775</v>
      </c>
      <c r="BH6" s="18">
        <v>44713</v>
      </c>
      <c r="BI6" s="16">
        <v>343</v>
      </c>
      <c r="BJ6" s="16">
        <v>350</v>
      </c>
      <c r="BK6" s="16">
        <v>324</v>
      </c>
      <c r="BL6" s="16">
        <v>338</v>
      </c>
      <c r="BM6" s="16">
        <v>338</v>
      </c>
      <c r="BN6" s="16">
        <v>6386100</v>
      </c>
      <c r="BO6" s="16">
        <v>-5</v>
      </c>
      <c r="BP6" s="16">
        <f>BO6/BI6*100</f>
        <v>-1.4577259475218658</v>
      </c>
      <c r="BQ6" s="16">
        <f>MEDIAN(BP2:BP6)</f>
        <v>-1.4577259475218658</v>
      </c>
      <c r="BR6" s="18">
        <v>44743</v>
      </c>
      <c r="BS6" s="16">
        <v>337</v>
      </c>
      <c r="BT6" s="16">
        <v>354</v>
      </c>
      <c r="BU6" s="16">
        <v>333</v>
      </c>
      <c r="BV6" s="16">
        <v>339</v>
      </c>
      <c r="BW6" s="16">
        <v>339</v>
      </c>
      <c r="BX6" s="16">
        <v>5027500</v>
      </c>
      <c r="BY6" s="16">
        <v>2</v>
      </c>
      <c r="BZ6" s="16">
        <f>BY6/BS6*100</f>
        <v>0.59347181008902083</v>
      </c>
      <c r="CA6" s="16">
        <f>MEDIAN(BZ2:BZ6)</f>
        <v>-2.3853211009174311</v>
      </c>
      <c r="CB6" s="18">
        <v>44774</v>
      </c>
      <c r="CC6" s="16">
        <v>341</v>
      </c>
      <c r="CD6" s="16">
        <v>348</v>
      </c>
      <c r="CE6" s="16">
        <v>334</v>
      </c>
      <c r="CF6" s="16">
        <v>335</v>
      </c>
      <c r="CG6" s="16">
        <v>335</v>
      </c>
      <c r="CH6" s="16">
        <v>4850400</v>
      </c>
      <c r="CI6" s="16">
        <v>-6</v>
      </c>
      <c r="CJ6" s="16">
        <f>CI6/CC6*100</f>
        <v>-1.7595307917888565</v>
      </c>
      <c r="CK6" s="16">
        <f>MEDIAN(CJ2:CJ6)</f>
        <v>-0.18726591760299627</v>
      </c>
      <c r="CL6" s="18">
        <v>44805</v>
      </c>
      <c r="CM6" s="16">
        <v>334</v>
      </c>
      <c r="CN6" s="16">
        <v>337</v>
      </c>
      <c r="CO6" s="16">
        <v>319</v>
      </c>
      <c r="CP6" s="16">
        <v>326</v>
      </c>
      <c r="CQ6" s="16">
        <v>326</v>
      </c>
      <c r="CR6" s="16">
        <v>5400600</v>
      </c>
      <c r="CS6" s="16">
        <v>-8</v>
      </c>
      <c r="CT6" s="16">
        <f>CS6/CM6*100</f>
        <v>-2.3952095808383236</v>
      </c>
      <c r="CU6" s="16">
        <f>MEDIAN(CT2:CT6)</f>
        <v>8.8050314465408803</v>
      </c>
      <c r="CV6" s="18">
        <v>44837</v>
      </c>
      <c r="CW6" s="16">
        <v>327</v>
      </c>
      <c r="CX6" s="16">
        <v>354</v>
      </c>
      <c r="CY6" s="16">
        <v>321</v>
      </c>
      <c r="CZ6" s="16">
        <v>354</v>
      </c>
      <c r="DA6" s="16">
        <v>354</v>
      </c>
      <c r="DB6" s="16">
        <v>8174100</v>
      </c>
      <c r="DC6" s="16">
        <v>27</v>
      </c>
      <c r="DD6" s="16">
        <f>DC6/CW6*100</f>
        <v>8.2568807339449553</v>
      </c>
      <c r="DE6" s="16">
        <f>MEDIAN(DD2:DD6)</f>
        <v>-2.0172910662824206</v>
      </c>
      <c r="DF6" s="18">
        <v>44866</v>
      </c>
      <c r="DG6" s="16">
        <v>351</v>
      </c>
      <c r="DH6" s="16">
        <v>401</v>
      </c>
      <c r="DI6" s="16">
        <v>348</v>
      </c>
      <c r="DJ6" s="16">
        <v>387</v>
      </c>
      <c r="DK6" s="16">
        <v>387</v>
      </c>
      <c r="DL6" s="16">
        <v>9681100</v>
      </c>
      <c r="DM6" s="16">
        <v>36</v>
      </c>
      <c r="DN6" s="16">
        <f>DM6/DG6*100</f>
        <v>10.256410256410255</v>
      </c>
      <c r="DO6" s="16">
        <f>MEDIAN(DN2:DN6)</f>
        <v>6.8241469816272966</v>
      </c>
      <c r="DP6" s="18">
        <v>44896</v>
      </c>
      <c r="DQ6" s="16">
        <v>394</v>
      </c>
      <c r="DR6" s="16">
        <v>407</v>
      </c>
      <c r="DS6" s="16">
        <v>372</v>
      </c>
      <c r="DT6" s="16">
        <v>383</v>
      </c>
      <c r="DU6" s="16">
        <v>383</v>
      </c>
      <c r="DV6" s="16">
        <v>10424900</v>
      </c>
      <c r="DW6" s="16">
        <v>-11</v>
      </c>
      <c r="DX6" s="16">
        <f>DW6/DQ6*100</f>
        <v>-2.7918781725888326</v>
      </c>
      <c r="DY6" s="16">
        <f>MEDIAN(DX2:DX6)</f>
        <v>-2.7918781725888326</v>
      </c>
    </row>
    <row r="7" spans="1:129">
      <c r="A7" s="17">
        <v>43282</v>
      </c>
      <c r="B7" s="16">
        <v>545</v>
      </c>
      <c r="C7" s="16">
        <v>555</v>
      </c>
      <c r="D7" s="16">
        <v>511</v>
      </c>
      <c r="E7" s="16">
        <v>532</v>
      </c>
      <c r="F7" s="16">
        <v>532</v>
      </c>
      <c r="G7" s="16">
        <v>13468000</v>
      </c>
      <c r="H7" s="16">
        <f t="shared" si="0"/>
        <v>-13</v>
      </c>
    </row>
    <row r="8" spans="1:129">
      <c r="A8" s="17">
        <v>43313</v>
      </c>
      <c r="B8" s="16">
        <v>534</v>
      </c>
      <c r="C8" s="16">
        <v>557</v>
      </c>
      <c r="D8" s="16">
        <v>504</v>
      </c>
      <c r="E8" s="16">
        <v>533</v>
      </c>
      <c r="F8" s="16">
        <v>533</v>
      </c>
      <c r="G8" s="16">
        <v>9604000</v>
      </c>
      <c r="H8" s="16">
        <f t="shared" si="0"/>
        <v>-1</v>
      </c>
    </row>
    <row r="9" spans="1:129">
      <c r="A9" s="17">
        <v>43344</v>
      </c>
      <c r="B9" s="16">
        <v>533</v>
      </c>
      <c r="C9" s="16">
        <v>596</v>
      </c>
      <c r="D9" s="16">
        <v>504</v>
      </c>
      <c r="E9" s="16">
        <v>585</v>
      </c>
      <c r="F9" s="16">
        <v>585</v>
      </c>
      <c r="G9" s="16">
        <v>10176000</v>
      </c>
      <c r="H9" s="16">
        <f t="shared" si="0"/>
        <v>52</v>
      </c>
    </row>
    <row r="10" spans="1:129">
      <c r="A10" s="17">
        <v>43374</v>
      </c>
      <c r="B10" s="16">
        <v>586</v>
      </c>
      <c r="C10" s="16">
        <v>598</v>
      </c>
      <c r="D10" s="16">
        <v>509</v>
      </c>
      <c r="E10" s="16">
        <v>541</v>
      </c>
      <c r="F10" s="16">
        <v>541</v>
      </c>
      <c r="G10" s="16">
        <v>15551100</v>
      </c>
      <c r="H10" s="16">
        <f t="shared" si="0"/>
        <v>-45</v>
      </c>
    </row>
    <row r="11" spans="1:129">
      <c r="A11" s="17">
        <v>43405</v>
      </c>
      <c r="B11" s="16">
        <v>537</v>
      </c>
      <c r="C11" s="16">
        <v>582</v>
      </c>
      <c r="D11" s="16">
        <v>535</v>
      </c>
      <c r="E11" s="16">
        <v>558</v>
      </c>
      <c r="F11" s="16">
        <v>558</v>
      </c>
      <c r="G11" s="16">
        <v>10057300</v>
      </c>
      <c r="H11" s="16">
        <f t="shared" si="0"/>
        <v>21</v>
      </c>
    </row>
    <row r="12" spans="1:129">
      <c r="A12" s="17">
        <v>43435</v>
      </c>
      <c r="B12" s="16">
        <v>565</v>
      </c>
      <c r="C12" s="16">
        <v>569</v>
      </c>
      <c r="D12" s="16">
        <v>443</v>
      </c>
      <c r="E12" s="16">
        <v>488</v>
      </c>
      <c r="F12" s="16">
        <v>488</v>
      </c>
      <c r="G12" s="16">
        <v>10602500</v>
      </c>
      <c r="H12" s="16">
        <f t="shared" si="0"/>
        <v>-77</v>
      </c>
    </row>
    <row r="13" spans="1:129">
      <c r="A13" s="17">
        <v>43466</v>
      </c>
      <c r="B13" s="16">
        <v>480</v>
      </c>
      <c r="C13" s="16">
        <v>537</v>
      </c>
      <c r="D13" s="16">
        <v>476</v>
      </c>
      <c r="E13" s="16">
        <v>477</v>
      </c>
      <c r="F13" s="16">
        <v>477</v>
      </c>
      <c r="G13" s="16">
        <v>9390700</v>
      </c>
      <c r="H13" s="16">
        <f t="shared" si="0"/>
        <v>-3</v>
      </c>
    </row>
    <row r="14" spans="1:129">
      <c r="A14" s="17">
        <v>43497</v>
      </c>
      <c r="B14" s="16">
        <v>482</v>
      </c>
      <c r="C14" s="16">
        <v>494</v>
      </c>
      <c r="D14" s="16">
        <v>463</v>
      </c>
      <c r="E14" s="16">
        <v>486</v>
      </c>
      <c r="F14" s="16">
        <v>486</v>
      </c>
      <c r="G14" s="16">
        <v>6532100</v>
      </c>
      <c r="H14" s="16">
        <f t="shared" si="0"/>
        <v>4</v>
      </c>
    </row>
    <row r="15" spans="1:129">
      <c r="A15" s="17">
        <v>43525</v>
      </c>
      <c r="B15" s="16">
        <v>489</v>
      </c>
      <c r="C15" s="16">
        <v>500</v>
      </c>
      <c r="D15" s="16">
        <v>407</v>
      </c>
      <c r="E15" s="16">
        <v>411</v>
      </c>
      <c r="F15" s="16">
        <v>411</v>
      </c>
      <c r="G15" s="16">
        <v>11798800</v>
      </c>
      <c r="H15" s="16">
        <f t="shared" si="0"/>
        <v>-78</v>
      </c>
    </row>
    <row r="16" spans="1:129">
      <c r="A16" s="17">
        <v>43556</v>
      </c>
      <c r="B16" s="16">
        <v>416</v>
      </c>
      <c r="C16" s="16">
        <v>434</v>
      </c>
      <c r="D16" s="16">
        <v>400</v>
      </c>
      <c r="E16" s="16">
        <v>406</v>
      </c>
      <c r="F16" s="16">
        <v>406</v>
      </c>
      <c r="G16" s="16">
        <v>7776100</v>
      </c>
      <c r="H16" s="16">
        <f t="shared" si="0"/>
        <v>-10</v>
      </c>
    </row>
    <row r="17" spans="1:8">
      <c r="A17" s="17">
        <v>43586</v>
      </c>
      <c r="B17" s="16">
        <v>401</v>
      </c>
      <c r="C17" s="16">
        <v>403</v>
      </c>
      <c r="D17" s="16">
        <v>371</v>
      </c>
      <c r="E17" s="16">
        <v>387</v>
      </c>
      <c r="F17" s="16">
        <v>387</v>
      </c>
      <c r="G17" s="16">
        <v>8428300</v>
      </c>
      <c r="H17" s="16">
        <f t="shared" si="0"/>
        <v>-14</v>
      </c>
    </row>
    <row r="18" spans="1:8">
      <c r="A18" s="17">
        <v>43617</v>
      </c>
      <c r="B18" s="16">
        <v>382</v>
      </c>
      <c r="C18" s="16">
        <v>420</v>
      </c>
      <c r="D18" s="16">
        <v>376</v>
      </c>
      <c r="E18" s="16">
        <v>394</v>
      </c>
      <c r="F18" s="16">
        <v>394</v>
      </c>
      <c r="G18" s="16">
        <v>8576300</v>
      </c>
      <c r="H18" s="16">
        <f t="shared" si="0"/>
        <v>12</v>
      </c>
    </row>
    <row r="19" spans="1:8">
      <c r="A19" s="17">
        <v>43647</v>
      </c>
      <c r="B19" s="16">
        <v>400</v>
      </c>
      <c r="C19" s="16">
        <v>411</v>
      </c>
      <c r="D19" s="16">
        <v>387</v>
      </c>
      <c r="E19" s="16">
        <v>391</v>
      </c>
      <c r="F19" s="16">
        <v>391</v>
      </c>
      <c r="G19" s="16">
        <v>7488700</v>
      </c>
      <c r="H19" s="16">
        <f t="shared" si="0"/>
        <v>-9</v>
      </c>
    </row>
    <row r="20" spans="1:8">
      <c r="A20" s="17">
        <v>43678</v>
      </c>
      <c r="B20" s="16">
        <v>389</v>
      </c>
      <c r="C20" s="16">
        <v>391</v>
      </c>
      <c r="D20" s="16">
        <v>329</v>
      </c>
      <c r="E20" s="16">
        <v>350</v>
      </c>
      <c r="F20" s="16">
        <v>350</v>
      </c>
      <c r="G20" s="16">
        <v>7136000</v>
      </c>
      <c r="H20" s="16">
        <f t="shared" si="0"/>
        <v>-39</v>
      </c>
    </row>
    <row r="21" spans="1:8">
      <c r="A21" s="17">
        <v>43709</v>
      </c>
      <c r="B21" s="16">
        <v>347</v>
      </c>
      <c r="C21" s="16">
        <v>398</v>
      </c>
      <c r="D21" s="16">
        <v>340</v>
      </c>
      <c r="E21" s="16">
        <v>383</v>
      </c>
      <c r="F21" s="16">
        <v>383</v>
      </c>
      <c r="G21" s="16">
        <v>8410700</v>
      </c>
      <c r="H21" s="16">
        <f t="shared" si="0"/>
        <v>36</v>
      </c>
    </row>
    <row r="22" spans="1:8">
      <c r="A22" s="17">
        <v>43739</v>
      </c>
      <c r="B22" s="16">
        <v>384</v>
      </c>
      <c r="C22" s="16">
        <v>404</v>
      </c>
      <c r="D22" s="16">
        <v>370</v>
      </c>
      <c r="E22" s="16">
        <v>385</v>
      </c>
      <c r="F22" s="16">
        <v>385</v>
      </c>
      <c r="G22" s="16">
        <v>8351100</v>
      </c>
      <c r="H22" s="16">
        <f t="shared" si="0"/>
        <v>1</v>
      </c>
    </row>
    <row r="23" spans="1:8">
      <c r="A23" s="17">
        <v>43770</v>
      </c>
      <c r="B23" s="16">
        <v>381</v>
      </c>
      <c r="C23" s="16">
        <v>410</v>
      </c>
      <c r="D23" s="16">
        <v>381</v>
      </c>
      <c r="E23" s="16">
        <v>407</v>
      </c>
      <c r="F23" s="16">
        <v>407</v>
      </c>
      <c r="G23" s="16">
        <v>6814700</v>
      </c>
      <c r="H23" s="16">
        <f t="shared" si="0"/>
        <v>26</v>
      </c>
    </row>
    <row r="24" spans="1:8">
      <c r="A24" s="17">
        <v>43800</v>
      </c>
      <c r="B24" s="16">
        <v>407</v>
      </c>
      <c r="C24" s="16">
        <v>410</v>
      </c>
      <c r="D24" s="16">
        <v>390</v>
      </c>
      <c r="E24" s="16">
        <v>393</v>
      </c>
      <c r="F24" s="16">
        <v>393</v>
      </c>
      <c r="G24" s="16">
        <v>6551700</v>
      </c>
      <c r="H24" s="16">
        <f t="shared" si="0"/>
        <v>-14</v>
      </c>
    </row>
    <row r="25" spans="1:8">
      <c r="A25" s="17">
        <v>43831</v>
      </c>
      <c r="B25" s="16">
        <v>391</v>
      </c>
      <c r="C25" s="16">
        <v>399</v>
      </c>
      <c r="D25" s="16">
        <v>374</v>
      </c>
      <c r="E25" s="16">
        <v>388</v>
      </c>
      <c r="F25" s="16">
        <v>388</v>
      </c>
      <c r="G25" s="16">
        <v>6253300</v>
      </c>
      <c r="H25" s="16">
        <f t="shared" si="0"/>
        <v>-3</v>
      </c>
    </row>
    <row r="26" spans="1:8">
      <c r="A26" s="17">
        <v>43862</v>
      </c>
      <c r="B26" s="16">
        <v>381</v>
      </c>
      <c r="C26" s="16">
        <v>419</v>
      </c>
      <c r="D26" s="16">
        <v>338</v>
      </c>
      <c r="E26" s="16">
        <v>341</v>
      </c>
      <c r="F26" s="16">
        <v>341</v>
      </c>
      <c r="G26" s="16">
        <v>9054600</v>
      </c>
      <c r="H26" s="16">
        <f t="shared" si="0"/>
        <v>-40</v>
      </c>
    </row>
    <row r="27" spans="1:8">
      <c r="A27" s="17">
        <v>43891</v>
      </c>
      <c r="B27" s="16">
        <v>333</v>
      </c>
      <c r="C27" s="16">
        <v>370</v>
      </c>
      <c r="D27" s="16">
        <v>263</v>
      </c>
      <c r="E27" s="16">
        <v>342</v>
      </c>
      <c r="F27" s="16">
        <v>342</v>
      </c>
      <c r="G27" s="16">
        <v>13860700</v>
      </c>
      <c r="H27" s="16">
        <f t="shared" si="0"/>
        <v>9</v>
      </c>
    </row>
    <row r="28" spans="1:8">
      <c r="A28" s="17">
        <v>43922</v>
      </c>
      <c r="B28" s="16">
        <v>335</v>
      </c>
      <c r="C28" s="16">
        <v>362</v>
      </c>
      <c r="D28" s="16">
        <v>310</v>
      </c>
      <c r="E28" s="16">
        <v>327</v>
      </c>
      <c r="F28" s="16">
        <v>327</v>
      </c>
      <c r="G28" s="16">
        <v>9679800</v>
      </c>
      <c r="H28" s="16">
        <f t="shared" si="0"/>
        <v>-8</v>
      </c>
    </row>
    <row r="29" spans="1:8">
      <c r="A29" s="17">
        <v>43952</v>
      </c>
      <c r="B29" s="16">
        <v>326</v>
      </c>
      <c r="C29" s="16">
        <v>359</v>
      </c>
      <c r="D29" s="16">
        <v>298</v>
      </c>
      <c r="E29" s="16">
        <v>350</v>
      </c>
      <c r="F29" s="16">
        <v>350</v>
      </c>
      <c r="G29" s="16">
        <v>6350400</v>
      </c>
      <c r="H29" s="16">
        <f t="shared" si="0"/>
        <v>24</v>
      </c>
    </row>
    <row r="30" spans="1:8">
      <c r="A30" s="17">
        <v>43983</v>
      </c>
      <c r="B30" s="16">
        <v>350</v>
      </c>
      <c r="C30" s="16">
        <v>377</v>
      </c>
      <c r="D30" s="16">
        <v>324</v>
      </c>
      <c r="E30" s="16">
        <v>325</v>
      </c>
      <c r="F30" s="16">
        <v>325</v>
      </c>
      <c r="G30" s="16">
        <v>9237900</v>
      </c>
      <c r="H30" s="16">
        <f t="shared" si="0"/>
        <v>-25</v>
      </c>
    </row>
    <row r="31" spans="1:8">
      <c r="A31" s="17">
        <v>44013</v>
      </c>
      <c r="B31" s="16">
        <v>327</v>
      </c>
      <c r="C31" s="16">
        <v>359</v>
      </c>
      <c r="D31" s="16">
        <v>296</v>
      </c>
      <c r="E31" s="16">
        <v>298</v>
      </c>
      <c r="F31" s="16">
        <v>298</v>
      </c>
      <c r="G31" s="16">
        <v>8695700</v>
      </c>
      <c r="H31" s="16">
        <f t="shared" si="0"/>
        <v>-29</v>
      </c>
    </row>
    <row r="32" spans="1:8">
      <c r="A32" s="17">
        <v>44044</v>
      </c>
      <c r="B32" s="16">
        <v>300</v>
      </c>
      <c r="C32" s="16">
        <v>335</v>
      </c>
      <c r="D32" s="16">
        <v>300</v>
      </c>
      <c r="E32" s="16">
        <v>322</v>
      </c>
      <c r="F32" s="16">
        <v>322</v>
      </c>
      <c r="G32" s="16">
        <v>5618200</v>
      </c>
      <c r="H32" s="16">
        <f t="shared" si="0"/>
        <v>22</v>
      </c>
    </row>
    <row r="33" spans="1:8">
      <c r="A33" s="17">
        <v>44075</v>
      </c>
      <c r="B33" s="16">
        <v>318</v>
      </c>
      <c r="C33" s="16">
        <v>370</v>
      </c>
      <c r="D33" s="16">
        <v>317</v>
      </c>
      <c r="E33" s="16">
        <v>346</v>
      </c>
      <c r="F33" s="16">
        <v>346</v>
      </c>
      <c r="G33" s="16">
        <v>8804200</v>
      </c>
      <c r="H33" s="16">
        <f t="shared" si="0"/>
        <v>28</v>
      </c>
    </row>
    <row r="34" spans="1:8">
      <c r="A34" s="17">
        <v>44105</v>
      </c>
      <c r="B34" s="16">
        <v>347</v>
      </c>
      <c r="C34" s="16">
        <v>378</v>
      </c>
      <c r="D34" s="16">
        <v>335</v>
      </c>
      <c r="E34" s="16">
        <v>340</v>
      </c>
      <c r="F34" s="16">
        <v>340</v>
      </c>
      <c r="G34" s="16">
        <v>6136700</v>
      </c>
      <c r="H34" s="16">
        <f t="shared" ref="H34:H60" si="1">E34-B34</f>
        <v>-7</v>
      </c>
    </row>
    <row r="35" spans="1:8">
      <c r="A35" s="17">
        <v>44136</v>
      </c>
      <c r="B35" s="16">
        <v>342</v>
      </c>
      <c r="C35" s="16">
        <v>396</v>
      </c>
      <c r="D35" s="16">
        <v>335</v>
      </c>
      <c r="E35" s="16">
        <v>369</v>
      </c>
      <c r="F35" s="16">
        <v>369</v>
      </c>
      <c r="G35" s="16">
        <v>9022900</v>
      </c>
      <c r="H35" s="16">
        <f t="shared" si="1"/>
        <v>27</v>
      </c>
    </row>
    <row r="36" spans="1:8">
      <c r="A36" s="17">
        <v>44166</v>
      </c>
      <c r="B36" s="16">
        <v>374</v>
      </c>
      <c r="C36" s="16">
        <v>397</v>
      </c>
      <c r="D36" s="16">
        <v>355</v>
      </c>
      <c r="E36" s="16">
        <v>375</v>
      </c>
      <c r="F36" s="16">
        <v>375</v>
      </c>
      <c r="G36" s="16">
        <v>7659700</v>
      </c>
      <c r="H36" s="16">
        <f t="shared" si="1"/>
        <v>1</v>
      </c>
    </row>
    <row r="37" spans="1:8">
      <c r="A37" s="17">
        <v>44200</v>
      </c>
      <c r="B37" s="16">
        <v>376</v>
      </c>
      <c r="C37" s="16">
        <v>428</v>
      </c>
      <c r="D37" s="16">
        <v>367</v>
      </c>
      <c r="E37" s="16">
        <v>376</v>
      </c>
      <c r="F37" s="16">
        <v>376</v>
      </c>
      <c r="G37" s="16">
        <v>8454200</v>
      </c>
      <c r="H37" s="16">
        <f t="shared" si="1"/>
        <v>0</v>
      </c>
    </row>
    <row r="38" spans="1:8">
      <c r="A38" s="17">
        <v>44228</v>
      </c>
      <c r="B38" s="16">
        <v>375</v>
      </c>
      <c r="C38" s="16">
        <v>434</v>
      </c>
      <c r="D38" s="16">
        <v>365</v>
      </c>
      <c r="E38" s="16">
        <v>393</v>
      </c>
      <c r="F38" s="16">
        <v>393</v>
      </c>
      <c r="G38" s="16">
        <v>8964000</v>
      </c>
      <c r="H38" s="16">
        <f t="shared" si="1"/>
        <v>18</v>
      </c>
    </row>
    <row r="39" spans="1:8">
      <c r="A39" s="17">
        <v>44256</v>
      </c>
      <c r="B39" s="16">
        <v>398</v>
      </c>
      <c r="C39" s="16">
        <v>506</v>
      </c>
      <c r="D39" s="16">
        <v>396</v>
      </c>
      <c r="E39" s="16">
        <v>451</v>
      </c>
      <c r="F39" s="16">
        <v>451</v>
      </c>
      <c r="G39" s="16">
        <v>15852300</v>
      </c>
      <c r="H39" s="16">
        <f t="shared" si="1"/>
        <v>53</v>
      </c>
    </row>
    <row r="40" spans="1:8">
      <c r="A40" s="17">
        <v>44287</v>
      </c>
      <c r="B40" s="16">
        <v>451</v>
      </c>
      <c r="C40" s="16">
        <v>475</v>
      </c>
      <c r="D40" s="16">
        <v>435</v>
      </c>
      <c r="E40" s="16">
        <v>454</v>
      </c>
      <c r="F40" s="16">
        <v>454</v>
      </c>
      <c r="G40" s="16">
        <v>7209100</v>
      </c>
      <c r="H40" s="16">
        <f t="shared" si="1"/>
        <v>3</v>
      </c>
    </row>
    <row r="41" spans="1:8">
      <c r="A41" s="17">
        <v>44322</v>
      </c>
      <c r="B41" s="16">
        <v>462</v>
      </c>
      <c r="C41" s="16">
        <v>483</v>
      </c>
      <c r="D41" s="16">
        <v>427</v>
      </c>
      <c r="E41" s="16">
        <v>435</v>
      </c>
      <c r="F41" s="16">
        <v>435</v>
      </c>
      <c r="G41" s="16">
        <v>6608700</v>
      </c>
      <c r="H41" s="16">
        <f t="shared" si="1"/>
        <v>-27</v>
      </c>
    </row>
    <row r="42" spans="1:8">
      <c r="A42" s="17">
        <v>44348</v>
      </c>
      <c r="B42" s="16">
        <v>436</v>
      </c>
      <c r="C42" s="16">
        <v>450</v>
      </c>
      <c r="D42" s="16">
        <v>406</v>
      </c>
      <c r="E42" s="16">
        <v>416</v>
      </c>
      <c r="F42" s="16">
        <v>416</v>
      </c>
      <c r="G42" s="16">
        <v>5808300</v>
      </c>
      <c r="H42" s="16">
        <f t="shared" si="1"/>
        <v>-20</v>
      </c>
    </row>
    <row r="43" spans="1:8">
      <c r="A43" s="17">
        <v>44378</v>
      </c>
      <c r="B43" s="16">
        <v>420</v>
      </c>
      <c r="C43" s="16">
        <v>430</v>
      </c>
      <c r="D43" s="16">
        <v>396</v>
      </c>
      <c r="E43" s="16">
        <v>398</v>
      </c>
      <c r="F43" s="16">
        <v>398</v>
      </c>
      <c r="G43" s="16">
        <v>5952000</v>
      </c>
      <c r="H43" s="16">
        <f t="shared" si="1"/>
        <v>-22</v>
      </c>
    </row>
    <row r="44" spans="1:8">
      <c r="A44" s="17">
        <v>44410</v>
      </c>
      <c r="B44" s="16">
        <v>404</v>
      </c>
      <c r="C44" s="16">
        <v>413</v>
      </c>
      <c r="D44" s="16">
        <v>387</v>
      </c>
      <c r="E44" s="16">
        <v>408</v>
      </c>
      <c r="F44" s="16">
        <v>408</v>
      </c>
      <c r="G44" s="16">
        <v>4075800</v>
      </c>
      <c r="H44" s="16">
        <f t="shared" si="1"/>
        <v>4</v>
      </c>
    </row>
    <row r="45" spans="1:8">
      <c r="A45" s="17">
        <v>44440</v>
      </c>
      <c r="B45" s="16">
        <v>406</v>
      </c>
      <c r="C45" s="16">
        <v>443</v>
      </c>
      <c r="D45" s="16">
        <v>404</v>
      </c>
      <c r="E45" s="16">
        <v>407</v>
      </c>
      <c r="F45" s="16">
        <v>407</v>
      </c>
      <c r="G45" s="16">
        <v>7437900</v>
      </c>
      <c r="H45" s="16">
        <f t="shared" si="1"/>
        <v>1</v>
      </c>
    </row>
    <row r="46" spans="1:8">
      <c r="A46" s="17">
        <v>44470</v>
      </c>
      <c r="B46" s="16">
        <v>401</v>
      </c>
      <c r="C46" s="16">
        <v>406</v>
      </c>
      <c r="D46" s="16">
        <v>381</v>
      </c>
      <c r="E46" s="16">
        <v>389</v>
      </c>
      <c r="F46" s="16">
        <v>389</v>
      </c>
      <c r="G46" s="16">
        <v>8314100</v>
      </c>
      <c r="H46" s="16">
        <f t="shared" si="1"/>
        <v>-12</v>
      </c>
    </row>
    <row r="47" spans="1:8">
      <c r="A47" s="17">
        <v>44501</v>
      </c>
      <c r="B47" s="16">
        <v>393</v>
      </c>
      <c r="C47" s="16">
        <v>397</v>
      </c>
      <c r="D47" s="16">
        <v>368</v>
      </c>
      <c r="E47" s="16">
        <v>369</v>
      </c>
      <c r="F47" s="16">
        <v>369</v>
      </c>
      <c r="G47" s="16">
        <v>6134600</v>
      </c>
      <c r="H47" s="16">
        <f t="shared" si="1"/>
        <v>-24</v>
      </c>
    </row>
    <row r="48" spans="1:8">
      <c r="A48" s="17">
        <v>44531</v>
      </c>
      <c r="B48" s="16">
        <v>365</v>
      </c>
      <c r="C48" s="16">
        <v>394</v>
      </c>
      <c r="D48" s="16">
        <v>365</v>
      </c>
      <c r="E48" s="16">
        <v>381</v>
      </c>
      <c r="F48" s="16">
        <v>381</v>
      </c>
      <c r="G48" s="16">
        <v>4797000</v>
      </c>
      <c r="H48" s="16">
        <f t="shared" si="1"/>
        <v>16</v>
      </c>
    </row>
    <row r="49" spans="1:8">
      <c r="A49" s="17">
        <v>44565</v>
      </c>
      <c r="B49" s="16">
        <v>388</v>
      </c>
      <c r="C49" s="16">
        <v>406</v>
      </c>
      <c r="D49" s="16">
        <v>368</v>
      </c>
      <c r="E49" s="16">
        <v>380</v>
      </c>
      <c r="F49" s="16">
        <v>380</v>
      </c>
      <c r="G49" s="16">
        <v>4980700</v>
      </c>
      <c r="H49" s="16">
        <f t="shared" si="1"/>
        <v>-8</v>
      </c>
    </row>
    <row r="50" spans="1:8">
      <c r="A50" s="17">
        <v>44593</v>
      </c>
      <c r="B50" s="16">
        <v>383</v>
      </c>
      <c r="C50" s="16">
        <v>400</v>
      </c>
      <c r="D50" s="16">
        <v>379</v>
      </c>
      <c r="E50" s="16">
        <v>392</v>
      </c>
      <c r="F50" s="16">
        <v>392</v>
      </c>
      <c r="G50" s="16">
        <v>3534600</v>
      </c>
      <c r="H50" s="16">
        <f t="shared" si="1"/>
        <v>9</v>
      </c>
    </row>
    <row r="51" spans="1:8">
      <c r="A51" s="17">
        <v>44621</v>
      </c>
      <c r="B51" s="16">
        <v>395</v>
      </c>
      <c r="C51" s="16">
        <v>401</v>
      </c>
      <c r="D51" s="16">
        <v>359</v>
      </c>
      <c r="E51" s="16">
        <v>370</v>
      </c>
      <c r="F51" s="16">
        <v>370</v>
      </c>
      <c r="G51" s="16">
        <v>8177200</v>
      </c>
      <c r="H51" s="16">
        <f t="shared" si="1"/>
        <v>-25</v>
      </c>
    </row>
    <row r="52" spans="1:8">
      <c r="A52" s="17">
        <v>44652</v>
      </c>
      <c r="B52" s="16">
        <v>368</v>
      </c>
      <c r="C52" s="16">
        <v>380</v>
      </c>
      <c r="D52" s="16">
        <v>338</v>
      </c>
      <c r="E52" s="16">
        <v>349</v>
      </c>
      <c r="F52" s="16">
        <v>349</v>
      </c>
      <c r="G52" s="16">
        <v>5329000</v>
      </c>
      <c r="H52" s="16">
        <f t="shared" si="1"/>
        <v>-19</v>
      </c>
    </row>
    <row r="53" spans="1:8">
      <c r="A53" s="17">
        <v>44683</v>
      </c>
      <c r="B53" s="16">
        <v>347</v>
      </c>
      <c r="C53" s="16">
        <v>370</v>
      </c>
      <c r="D53" s="16">
        <v>331</v>
      </c>
      <c r="E53" s="16">
        <v>342</v>
      </c>
      <c r="F53" s="16">
        <v>342</v>
      </c>
      <c r="G53" s="16">
        <v>5593900</v>
      </c>
      <c r="H53" s="16">
        <f t="shared" si="1"/>
        <v>-5</v>
      </c>
    </row>
    <row r="54" spans="1:8">
      <c r="A54" s="17">
        <v>44713</v>
      </c>
      <c r="B54" s="16">
        <v>343</v>
      </c>
      <c r="C54" s="16">
        <v>350</v>
      </c>
      <c r="D54" s="16">
        <v>324</v>
      </c>
      <c r="E54" s="16">
        <v>338</v>
      </c>
      <c r="F54" s="16">
        <v>338</v>
      </c>
      <c r="G54" s="16">
        <v>6386100</v>
      </c>
      <c r="H54" s="16">
        <f t="shared" si="1"/>
        <v>-5</v>
      </c>
    </row>
    <row r="55" spans="1:8">
      <c r="A55" s="17">
        <v>44743</v>
      </c>
      <c r="B55" s="16">
        <v>337</v>
      </c>
      <c r="C55" s="16">
        <v>354</v>
      </c>
      <c r="D55" s="16">
        <v>333</v>
      </c>
      <c r="E55" s="16">
        <v>339</v>
      </c>
      <c r="F55" s="16">
        <v>339</v>
      </c>
      <c r="G55" s="16">
        <v>5027500</v>
      </c>
      <c r="H55" s="16">
        <f t="shared" si="1"/>
        <v>2</v>
      </c>
    </row>
    <row r="56" spans="1:8">
      <c r="A56" s="17">
        <v>44774</v>
      </c>
      <c r="B56" s="16">
        <v>341</v>
      </c>
      <c r="C56" s="16">
        <v>348</v>
      </c>
      <c r="D56" s="16">
        <v>334</v>
      </c>
      <c r="E56" s="16">
        <v>335</v>
      </c>
      <c r="F56" s="16">
        <v>335</v>
      </c>
      <c r="G56" s="16">
        <v>4850400</v>
      </c>
      <c r="H56" s="16">
        <f t="shared" si="1"/>
        <v>-6</v>
      </c>
    </row>
    <row r="57" spans="1:8">
      <c r="A57" s="17">
        <v>44805</v>
      </c>
      <c r="B57" s="16">
        <v>334</v>
      </c>
      <c r="C57" s="16">
        <v>337</v>
      </c>
      <c r="D57" s="16">
        <v>319</v>
      </c>
      <c r="E57" s="16">
        <v>326</v>
      </c>
      <c r="F57" s="16">
        <v>326</v>
      </c>
      <c r="G57" s="16">
        <v>5400600</v>
      </c>
      <c r="H57" s="16">
        <f t="shared" si="1"/>
        <v>-8</v>
      </c>
    </row>
    <row r="58" spans="1:8">
      <c r="A58" s="17">
        <v>44837</v>
      </c>
      <c r="B58" s="16">
        <v>327</v>
      </c>
      <c r="C58" s="16">
        <v>354</v>
      </c>
      <c r="D58" s="16">
        <v>321</v>
      </c>
      <c r="E58" s="16">
        <v>354</v>
      </c>
      <c r="F58" s="16">
        <v>354</v>
      </c>
      <c r="G58" s="16">
        <v>8174100</v>
      </c>
      <c r="H58" s="16">
        <f t="shared" si="1"/>
        <v>27</v>
      </c>
    </row>
    <row r="59" spans="1:8">
      <c r="A59" s="17">
        <v>44866</v>
      </c>
      <c r="B59" s="16">
        <v>351</v>
      </c>
      <c r="C59" s="16">
        <v>401</v>
      </c>
      <c r="D59" s="16">
        <v>348</v>
      </c>
      <c r="E59" s="16">
        <v>387</v>
      </c>
      <c r="F59" s="16">
        <v>387</v>
      </c>
      <c r="G59" s="16">
        <v>9681100</v>
      </c>
      <c r="H59" s="16">
        <f t="shared" si="1"/>
        <v>36</v>
      </c>
    </row>
    <row r="60" spans="1:8">
      <c r="A60" s="17">
        <v>44896</v>
      </c>
      <c r="B60" s="16">
        <v>394</v>
      </c>
      <c r="C60" s="16">
        <v>407</v>
      </c>
      <c r="D60" s="16">
        <v>372</v>
      </c>
      <c r="E60" s="16">
        <v>383</v>
      </c>
      <c r="F60" s="16">
        <v>383</v>
      </c>
      <c r="G60" s="16">
        <v>10424900</v>
      </c>
      <c r="H60" s="16">
        <f t="shared" si="1"/>
        <v>-11</v>
      </c>
    </row>
  </sheetData>
  <phoneticPr fontId="32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D531-5B4A-40F5-9CE0-5A81C59EA81D}">
  <sheetPr codeName="Sheet32"/>
  <dimension ref="A1:DY60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43132</v>
      </c>
      <c r="B2" s="16">
        <v>892</v>
      </c>
      <c r="C2" s="16">
        <v>915</v>
      </c>
      <c r="D2" s="16">
        <v>763</v>
      </c>
      <c r="E2" s="16">
        <v>787</v>
      </c>
      <c r="F2" s="16">
        <v>787</v>
      </c>
      <c r="G2" s="16">
        <v>905500</v>
      </c>
      <c r="H2" s="16">
        <f t="shared" ref="H2:H33" si="0">E2-B2</f>
        <v>-105</v>
      </c>
      <c r="J2" s="18" cm="1">
        <f t="array" ref="J2:Q5">_xlfn._xlws.FILTER(A2:H60,MONTH(A2:A60)=1,"")</f>
        <v>43466</v>
      </c>
      <c r="K2" s="16">
        <v>390</v>
      </c>
      <c r="L2" s="16">
        <v>432</v>
      </c>
      <c r="M2" s="16">
        <v>385</v>
      </c>
      <c r="N2" s="16">
        <v>394</v>
      </c>
      <c r="O2" s="16">
        <v>394</v>
      </c>
      <c r="P2" s="16">
        <v>809500</v>
      </c>
      <c r="Q2" s="16">
        <v>4</v>
      </c>
      <c r="R2" s="16">
        <f>Q2/K2*100</f>
        <v>1.0256410256410255</v>
      </c>
      <c r="S2" s="16">
        <f>COUNT(Q2:Q5)</f>
        <v>4</v>
      </c>
      <c r="T2" s="18" cm="1">
        <f t="array" ref="T2:AA6">_xlfn._xlws.FILTER(A2:H60,MONTH(A2:A60)=2,"")</f>
        <v>43132</v>
      </c>
      <c r="U2" s="16">
        <v>892</v>
      </c>
      <c r="V2" s="16">
        <v>915</v>
      </c>
      <c r="W2" s="16">
        <v>763</v>
      </c>
      <c r="X2" s="16">
        <v>787</v>
      </c>
      <c r="Y2" s="16">
        <v>787</v>
      </c>
      <c r="Z2" s="16">
        <v>905500</v>
      </c>
      <c r="AA2" s="16">
        <v>-105</v>
      </c>
      <c r="AB2" s="16">
        <f>AA2/U2*100</f>
        <v>-11.771300448430495</v>
      </c>
      <c r="AC2" s="16">
        <f>COUNT(AA2:AA6)</f>
        <v>5</v>
      </c>
      <c r="AD2" s="18" cm="1">
        <f t="array" ref="AD2:AK6">_xlfn._xlws.FILTER(A2:H60,MONTH(A2:A60)=3,"")</f>
        <v>43160</v>
      </c>
      <c r="AE2" s="16">
        <v>787</v>
      </c>
      <c r="AF2" s="16">
        <v>796</v>
      </c>
      <c r="AG2" s="16">
        <v>735</v>
      </c>
      <c r="AH2" s="16">
        <v>771</v>
      </c>
      <c r="AI2" s="16">
        <v>771</v>
      </c>
      <c r="AJ2" s="16">
        <v>570400</v>
      </c>
      <c r="AK2" s="16">
        <v>-16</v>
      </c>
      <c r="AL2" s="16">
        <f>AK2/AE2*100</f>
        <v>-2.0330368487928845</v>
      </c>
      <c r="AM2" s="16">
        <f>COUNT(AK2:AK6)</f>
        <v>5</v>
      </c>
      <c r="AN2" s="18" cm="1">
        <f t="array" ref="AN2:AU6">_xlfn._xlws.FILTER(A2:H60,MONTH(A2:A60)=4,"")</f>
        <v>43191</v>
      </c>
      <c r="AO2" s="16">
        <v>771</v>
      </c>
      <c r="AP2" s="16">
        <v>828</v>
      </c>
      <c r="AQ2" s="16">
        <v>751</v>
      </c>
      <c r="AR2" s="16">
        <v>808</v>
      </c>
      <c r="AS2" s="16">
        <v>808</v>
      </c>
      <c r="AT2" s="16">
        <v>498100</v>
      </c>
      <c r="AU2" s="16">
        <v>37</v>
      </c>
      <c r="AV2" s="16">
        <f>AU2/AO2*100</f>
        <v>4.7989623865110254</v>
      </c>
      <c r="AW2" s="16">
        <f>COUNT(AU2:AU6)</f>
        <v>5</v>
      </c>
      <c r="AX2" s="18" cm="1">
        <f t="array" ref="AX2:BE6">_xlfn._xlws.FILTER(A2:H60,MONTH(A2:A60)=5,"")</f>
        <v>43221</v>
      </c>
      <c r="AY2" s="16">
        <v>806</v>
      </c>
      <c r="AZ2" s="16">
        <v>820</v>
      </c>
      <c r="BA2" s="16">
        <v>680</v>
      </c>
      <c r="BB2" s="16">
        <v>681</v>
      </c>
      <c r="BC2" s="16">
        <v>681</v>
      </c>
      <c r="BD2" s="16">
        <v>616700</v>
      </c>
      <c r="BE2" s="16">
        <v>-125</v>
      </c>
      <c r="BF2" s="16">
        <f>BE2/AY2*100</f>
        <v>-15.508684863523573</v>
      </c>
      <c r="BG2" s="16">
        <f>COUNT(BE2:BE6)</f>
        <v>5</v>
      </c>
      <c r="BH2" s="18" cm="1">
        <f t="array" ref="BH2:BO6">_xlfn._xlws.FILTER(A2:H60,MONTH(A2:A60)=6,"")</f>
        <v>43252</v>
      </c>
      <c r="BI2" s="16">
        <v>680</v>
      </c>
      <c r="BJ2" s="16">
        <v>768</v>
      </c>
      <c r="BK2" s="16">
        <v>630</v>
      </c>
      <c r="BL2" s="16">
        <v>699</v>
      </c>
      <c r="BM2" s="16">
        <v>699</v>
      </c>
      <c r="BN2" s="16">
        <v>1090200</v>
      </c>
      <c r="BO2" s="16">
        <v>19</v>
      </c>
      <c r="BP2" s="16">
        <f>BO2/BI2*100</f>
        <v>2.7941176470588238</v>
      </c>
      <c r="BQ2" s="16">
        <f>COUNT(BO2:BO6)</f>
        <v>5</v>
      </c>
      <c r="BR2" s="18" cm="1">
        <f t="array" ref="BR2:BY6">_xlfn._xlws.FILTER(A2:H60,MONTH(A2:A60)=7,"")</f>
        <v>43282</v>
      </c>
      <c r="BS2" s="16">
        <v>699</v>
      </c>
      <c r="BT2" s="16">
        <v>705</v>
      </c>
      <c r="BU2" s="16">
        <v>606</v>
      </c>
      <c r="BV2" s="16">
        <v>682</v>
      </c>
      <c r="BW2" s="16">
        <v>682</v>
      </c>
      <c r="BX2" s="16">
        <v>817700</v>
      </c>
      <c r="BY2" s="16">
        <v>-17</v>
      </c>
      <c r="BZ2" s="16">
        <f>BY2/BS2*100</f>
        <v>-2.4320457796852648</v>
      </c>
      <c r="CA2" s="16">
        <f>COUNT(BY2:BY6)</f>
        <v>5</v>
      </c>
      <c r="CB2" s="18" cm="1">
        <f t="array" ref="CB2:CI6">_xlfn._xlws.FILTER(A2:H60,MONTH(A2:A60)=8,"")</f>
        <v>43313</v>
      </c>
      <c r="CC2" s="16">
        <v>690</v>
      </c>
      <c r="CD2" s="16">
        <v>718</v>
      </c>
      <c r="CE2" s="16">
        <v>642</v>
      </c>
      <c r="CF2" s="16">
        <v>687</v>
      </c>
      <c r="CG2" s="16">
        <v>687</v>
      </c>
      <c r="CH2" s="16">
        <v>913400</v>
      </c>
      <c r="CI2" s="16">
        <v>-3</v>
      </c>
      <c r="CJ2" s="16">
        <f>CI2/CC2*100</f>
        <v>-0.43478260869565216</v>
      </c>
      <c r="CK2" s="16">
        <f>COUNT(CI2:CI6)</f>
        <v>5</v>
      </c>
      <c r="CL2" s="18" cm="1">
        <f t="array" ref="CL2:CS6">_xlfn._xlws.FILTER(A2:H60,MONTH(A2:A60)=9,"")</f>
        <v>43344</v>
      </c>
      <c r="CM2" s="16">
        <v>687</v>
      </c>
      <c r="CN2" s="16">
        <v>764</v>
      </c>
      <c r="CO2" s="16">
        <v>665</v>
      </c>
      <c r="CP2" s="16">
        <v>729</v>
      </c>
      <c r="CQ2" s="16">
        <v>729</v>
      </c>
      <c r="CR2" s="16">
        <v>850400</v>
      </c>
      <c r="CS2" s="16">
        <v>42</v>
      </c>
      <c r="CT2" s="16">
        <f>CS2/CM2*100</f>
        <v>6.1135371179039302</v>
      </c>
      <c r="CU2" s="16">
        <f>COUNT(CS2:CS6)</f>
        <v>5</v>
      </c>
      <c r="CV2" s="18" cm="1">
        <f t="array" ref="CV2:DC6">_xlfn._xlws.FILTER(A2:H60,MONTH(A2:A60)=10,"")</f>
        <v>43374</v>
      </c>
      <c r="CW2" s="16">
        <v>729</v>
      </c>
      <c r="CX2" s="16">
        <v>729</v>
      </c>
      <c r="CY2" s="16">
        <v>573</v>
      </c>
      <c r="CZ2" s="16">
        <v>603</v>
      </c>
      <c r="DA2" s="16">
        <v>603</v>
      </c>
      <c r="DB2" s="16">
        <v>1085100</v>
      </c>
      <c r="DC2" s="16">
        <v>-126</v>
      </c>
      <c r="DD2" s="16">
        <f>DC2/CW2*100</f>
        <v>-17.283950617283949</v>
      </c>
      <c r="DE2" s="16">
        <f>COUNT(DC2:DC6)</f>
        <v>5</v>
      </c>
      <c r="DF2" s="18" cm="1">
        <f t="array" ref="DF2:DM6">_xlfn._xlws.FILTER(A2:H60,MONTH(A2:A60)=11,"")</f>
        <v>43405</v>
      </c>
      <c r="DG2" s="16">
        <v>600</v>
      </c>
      <c r="DH2" s="16">
        <v>635</v>
      </c>
      <c r="DI2" s="16">
        <v>562</v>
      </c>
      <c r="DJ2" s="16">
        <v>564</v>
      </c>
      <c r="DK2" s="16">
        <v>564</v>
      </c>
      <c r="DL2" s="16">
        <v>536700</v>
      </c>
      <c r="DM2" s="16">
        <v>-36</v>
      </c>
      <c r="DN2" s="16">
        <f>DM2/DG2*100</f>
        <v>-6</v>
      </c>
      <c r="DO2" s="16">
        <f>COUNT(DM2:DM6)</f>
        <v>5</v>
      </c>
      <c r="DP2" s="18" cm="1">
        <f t="array" ref="DP2:DW6">_xlfn._xlws.FILTER(A2:H60,MONTH(A2:A60)=12,"")</f>
        <v>43435</v>
      </c>
      <c r="DQ2" s="16">
        <v>566</v>
      </c>
      <c r="DR2" s="16">
        <v>578</v>
      </c>
      <c r="DS2" s="16">
        <v>375</v>
      </c>
      <c r="DT2" s="16">
        <v>397</v>
      </c>
      <c r="DU2" s="16">
        <v>397</v>
      </c>
      <c r="DV2" s="16">
        <v>1023100</v>
      </c>
      <c r="DW2" s="16">
        <v>-169</v>
      </c>
      <c r="DX2" s="16">
        <f>DW2/DQ2*100</f>
        <v>-29.858657243816257</v>
      </c>
      <c r="DY2" s="16">
        <f>COUNT(DW2:DW6)</f>
        <v>5</v>
      </c>
    </row>
    <row r="3" spans="1:129">
      <c r="A3" s="17">
        <v>43160</v>
      </c>
      <c r="B3" s="16">
        <v>787</v>
      </c>
      <c r="C3" s="16">
        <v>796</v>
      </c>
      <c r="D3" s="16">
        <v>735</v>
      </c>
      <c r="E3" s="16">
        <v>771</v>
      </c>
      <c r="F3" s="16">
        <v>771</v>
      </c>
      <c r="G3" s="16">
        <v>570400</v>
      </c>
      <c r="H3" s="16">
        <f t="shared" si="0"/>
        <v>-16</v>
      </c>
      <c r="J3" s="18">
        <v>43831</v>
      </c>
      <c r="K3" s="16">
        <v>273</v>
      </c>
      <c r="L3" s="16">
        <v>274</v>
      </c>
      <c r="M3" s="16">
        <v>233</v>
      </c>
      <c r="N3" s="16">
        <v>236</v>
      </c>
      <c r="O3" s="16">
        <v>236</v>
      </c>
      <c r="P3" s="16">
        <v>4310700</v>
      </c>
      <c r="Q3" s="16">
        <v>-37</v>
      </c>
      <c r="R3" s="16">
        <f>Q3/K3*100</f>
        <v>-13.553113553113553</v>
      </c>
      <c r="S3" s="16">
        <f>COUNTIF(Q2:Q5,"&gt;0")</f>
        <v>3</v>
      </c>
      <c r="T3" s="18">
        <v>43497</v>
      </c>
      <c r="U3" s="16">
        <v>397</v>
      </c>
      <c r="V3" s="16">
        <v>419</v>
      </c>
      <c r="W3" s="16">
        <v>372</v>
      </c>
      <c r="X3" s="16">
        <v>391</v>
      </c>
      <c r="Y3" s="16">
        <v>391</v>
      </c>
      <c r="Z3" s="16">
        <v>600100</v>
      </c>
      <c r="AA3" s="16">
        <v>-6</v>
      </c>
      <c r="AB3" s="16">
        <f>AA3/U3*100</f>
        <v>-1.5113350125944585</v>
      </c>
      <c r="AC3" s="16">
        <f>COUNTIF(AA2:AA6,"&gt;0")</f>
        <v>1</v>
      </c>
      <c r="AD3" s="18">
        <v>43525</v>
      </c>
      <c r="AE3" s="16">
        <v>394</v>
      </c>
      <c r="AF3" s="16">
        <v>407</v>
      </c>
      <c r="AG3" s="16">
        <v>370</v>
      </c>
      <c r="AH3" s="16">
        <v>378</v>
      </c>
      <c r="AI3" s="16">
        <v>378</v>
      </c>
      <c r="AJ3" s="16">
        <v>676700</v>
      </c>
      <c r="AK3" s="16">
        <v>-16</v>
      </c>
      <c r="AL3" s="16">
        <f>AK3/AE3*100</f>
        <v>-4.0609137055837561</v>
      </c>
      <c r="AM3" s="16">
        <f>COUNTIF(AK2:AK6,"&gt;0")</f>
        <v>1</v>
      </c>
      <c r="AN3" s="18">
        <v>43556</v>
      </c>
      <c r="AO3" s="16">
        <v>385</v>
      </c>
      <c r="AP3" s="16">
        <v>390</v>
      </c>
      <c r="AQ3" s="16">
        <v>314</v>
      </c>
      <c r="AR3" s="16">
        <v>320</v>
      </c>
      <c r="AS3" s="16">
        <v>320</v>
      </c>
      <c r="AT3" s="16">
        <v>504000</v>
      </c>
      <c r="AU3" s="16">
        <v>-65</v>
      </c>
      <c r="AV3" s="16">
        <f>AU3/AO3*100</f>
        <v>-16.883116883116884</v>
      </c>
      <c r="AW3" s="16">
        <f>COUNTIF(AU2:AU6,"&gt;0")</f>
        <v>2</v>
      </c>
      <c r="AX3" s="18">
        <v>43586</v>
      </c>
      <c r="AY3" s="16">
        <v>320</v>
      </c>
      <c r="AZ3" s="16">
        <v>322</v>
      </c>
      <c r="BA3" s="16">
        <v>267</v>
      </c>
      <c r="BB3" s="16">
        <v>271</v>
      </c>
      <c r="BC3" s="16">
        <v>271</v>
      </c>
      <c r="BD3" s="16">
        <v>804000</v>
      </c>
      <c r="BE3" s="16">
        <v>-49</v>
      </c>
      <c r="BF3" s="16">
        <f>BE3/AY3*100</f>
        <v>-15.312500000000002</v>
      </c>
      <c r="BG3" s="16">
        <f>COUNTIF(BE2:BE6,"&gt;0")</f>
        <v>2</v>
      </c>
      <c r="BH3" s="18">
        <v>43617</v>
      </c>
      <c r="BI3" s="16">
        <v>265</v>
      </c>
      <c r="BJ3" s="16">
        <v>274</v>
      </c>
      <c r="BK3" s="16">
        <v>246</v>
      </c>
      <c r="BL3" s="16">
        <v>250</v>
      </c>
      <c r="BM3" s="16">
        <v>250</v>
      </c>
      <c r="BN3" s="16">
        <v>721600</v>
      </c>
      <c r="BO3" s="16">
        <v>-15</v>
      </c>
      <c r="BP3" s="16">
        <f>BO3/BI3*100</f>
        <v>-5.6603773584905666</v>
      </c>
      <c r="BQ3" s="16">
        <f>COUNTIF(BO2:BO6,"&gt;0")</f>
        <v>3</v>
      </c>
      <c r="BR3" s="18">
        <v>43647</v>
      </c>
      <c r="BS3" s="16">
        <v>254</v>
      </c>
      <c r="BT3" s="16">
        <v>263</v>
      </c>
      <c r="BU3" s="16">
        <v>244</v>
      </c>
      <c r="BV3" s="16">
        <v>247</v>
      </c>
      <c r="BW3" s="16">
        <v>247</v>
      </c>
      <c r="BX3" s="16">
        <v>598500</v>
      </c>
      <c r="BY3" s="16">
        <v>-7</v>
      </c>
      <c r="BZ3" s="16">
        <f>BY3/BS3*100</f>
        <v>-2.7559055118110236</v>
      </c>
      <c r="CA3" s="16">
        <f>COUNTIF(BY2:BY6,"&gt;0")</f>
        <v>0</v>
      </c>
      <c r="CB3" s="18">
        <v>43678</v>
      </c>
      <c r="CC3" s="16">
        <v>245</v>
      </c>
      <c r="CD3" s="16">
        <v>247</v>
      </c>
      <c r="CE3" s="16">
        <v>179</v>
      </c>
      <c r="CF3" s="16">
        <v>190</v>
      </c>
      <c r="CG3" s="16">
        <v>190</v>
      </c>
      <c r="CH3" s="16">
        <v>1022600</v>
      </c>
      <c r="CI3" s="16">
        <v>-55</v>
      </c>
      <c r="CJ3" s="16">
        <f>CI3/CC3*100</f>
        <v>-22.448979591836736</v>
      </c>
      <c r="CK3" s="16">
        <f>COUNTIF(CI2:CI6,"&gt;0")</f>
        <v>3</v>
      </c>
      <c r="CL3" s="18">
        <v>43709</v>
      </c>
      <c r="CM3" s="16">
        <v>193</v>
      </c>
      <c r="CN3" s="16">
        <v>265</v>
      </c>
      <c r="CO3" s="16">
        <v>185</v>
      </c>
      <c r="CP3" s="16">
        <v>213</v>
      </c>
      <c r="CQ3" s="16">
        <v>213</v>
      </c>
      <c r="CR3" s="16">
        <v>6513400</v>
      </c>
      <c r="CS3" s="16">
        <v>20</v>
      </c>
      <c r="CT3" s="16">
        <f>CS3/CM3*100</f>
        <v>10.362694300518134</v>
      </c>
      <c r="CU3" s="16">
        <f>COUNTIF(CS2:CS6,"&gt;0")</f>
        <v>4</v>
      </c>
      <c r="CV3" s="18">
        <v>43739</v>
      </c>
      <c r="CW3" s="16">
        <v>212</v>
      </c>
      <c r="CX3" s="16">
        <v>226</v>
      </c>
      <c r="CY3" s="16">
        <v>212</v>
      </c>
      <c r="CZ3" s="16">
        <v>225</v>
      </c>
      <c r="DA3" s="16">
        <v>225</v>
      </c>
      <c r="DB3" s="16">
        <v>992700</v>
      </c>
      <c r="DC3" s="16">
        <v>13</v>
      </c>
      <c r="DD3" s="16">
        <f>DC3/CW3*100</f>
        <v>6.132075471698113</v>
      </c>
      <c r="DE3" s="16">
        <f>COUNTIF(DC2:DC6,"&gt;0")</f>
        <v>1</v>
      </c>
      <c r="DF3" s="18">
        <v>43770</v>
      </c>
      <c r="DG3" s="16">
        <v>223</v>
      </c>
      <c r="DH3" s="16">
        <v>470</v>
      </c>
      <c r="DI3" s="16">
        <v>223</v>
      </c>
      <c r="DJ3" s="16">
        <v>310</v>
      </c>
      <c r="DK3" s="16">
        <v>310</v>
      </c>
      <c r="DL3" s="16">
        <v>44098400</v>
      </c>
      <c r="DM3" s="16">
        <v>87</v>
      </c>
      <c r="DN3" s="16">
        <f>DM3/DG3*100</f>
        <v>39.013452914798208</v>
      </c>
      <c r="DO3" s="16">
        <f>COUNTIF(DM2:DM6,"&gt;0")</f>
        <v>3</v>
      </c>
      <c r="DP3" s="18">
        <v>43800</v>
      </c>
      <c r="DQ3" s="16">
        <v>310</v>
      </c>
      <c r="DR3" s="16">
        <v>310</v>
      </c>
      <c r="DS3" s="16">
        <v>264</v>
      </c>
      <c r="DT3" s="16">
        <v>278</v>
      </c>
      <c r="DU3" s="16">
        <v>278</v>
      </c>
      <c r="DV3" s="16">
        <v>9118000</v>
      </c>
      <c r="DW3" s="16">
        <v>-32</v>
      </c>
      <c r="DX3" s="16">
        <f>DW3/DQ3*100</f>
        <v>-10.32258064516129</v>
      </c>
      <c r="DY3" s="16">
        <f>COUNTIF(DW2:DW6,"&gt;0")</f>
        <v>2</v>
      </c>
    </row>
    <row r="4" spans="1:129">
      <c r="A4" s="17">
        <v>43191</v>
      </c>
      <c r="B4" s="16">
        <v>771</v>
      </c>
      <c r="C4" s="16">
        <v>828</v>
      </c>
      <c r="D4" s="16">
        <v>751</v>
      </c>
      <c r="E4" s="16">
        <v>808</v>
      </c>
      <c r="F4" s="16">
        <v>808</v>
      </c>
      <c r="G4" s="16">
        <v>498100</v>
      </c>
      <c r="H4" s="16">
        <f t="shared" si="0"/>
        <v>37</v>
      </c>
      <c r="J4" s="18">
        <v>44200</v>
      </c>
      <c r="K4" s="16">
        <v>198</v>
      </c>
      <c r="L4" s="16">
        <v>215</v>
      </c>
      <c r="M4" s="16">
        <v>189</v>
      </c>
      <c r="N4" s="16">
        <v>210</v>
      </c>
      <c r="O4" s="16">
        <v>210</v>
      </c>
      <c r="P4" s="16">
        <v>4102800</v>
      </c>
      <c r="Q4" s="16">
        <v>12</v>
      </c>
      <c r="R4" s="16">
        <f>Q4/K4*100</f>
        <v>6.0606060606060606</v>
      </c>
      <c r="S4" s="19">
        <f>S3/S2*100</f>
        <v>75</v>
      </c>
      <c r="T4" s="18">
        <v>43862</v>
      </c>
      <c r="U4" s="16">
        <v>230</v>
      </c>
      <c r="V4" s="16">
        <v>243</v>
      </c>
      <c r="W4" s="16">
        <v>177</v>
      </c>
      <c r="X4" s="16">
        <v>177</v>
      </c>
      <c r="Y4" s="16">
        <v>177</v>
      </c>
      <c r="Z4" s="16">
        <v>3834500</v>
      </c>
      <c r="AA4" s="16">
        <v>-53</v>
      </c>
      <c r="AB4" s="16">
        <f>AA4/U4*100</f>
        <v>-23.043478260869566</v>
      </c>
      <c r="AC4" s="19">
        <f>AC3/AC2*100</f>
        <v>20</v>
      </c>
      <c r="AD4" s="18">
        <v>43891</v>
      </c>
      <c r="AE4" s="16">
        <v>175</v>
      </c>
      <c r="AF4" s="16">
        <v>193</v>
      </c>
      <c r="AG4" s="16">
        <v>123</v>
      </c>
      <c r="AH4" s="16">
        <v>159</v>
      </c>
      <c r="AI4" s="16">
        <v>159</v>
      </c>
      <c r="AJ4" s="16">
        <v>7271600</v>
      </c>
      <c r="AK4" s="16">
        <v>-16</v>
      </c>
      <c r="AL4" s="16">
        <f>AK4/AE4*100</f>
        <v>-9.1428571428571423</v>
      </c>
      <c r="AM4" s="19">
        <f>AM3/AM2*100</f>
        <v>20</v>
      </c>
      <c r="AN4" s="18">
        <v>43922</v>
      </c>
      <c r="AO4" s="16">
        <v>157</v>
      </c>
      <c r="AP4" s="16">
        <v>168</v>
      </c>
      <c r="AQ4" s="16">
        <v>137</v>
      </c>
      <c r="AR4" s="16">
        <v>165</v>
      </c>
      <c r="AS4" s="16">
        <v>165</v>
      </c>
      <c r="AT4" s="16">
        <v>3463600</v>
      </c>
      <c r="AU4" s="16">
        <v>8</v>
      </c>
      <c r="AV4" s="16">
        <f>AU4/AO4*100</f>
        <v>5.095541401273886</v>
      </c>
      <c r="AW4" s="19">
        <f>AW3/AW2*100</f>
        <v>40</v>
      </c>
      <c r="AX4" s="18">
        <v>43952</v>
      </c>
      <c r="AY4" s="16">
        <v>163</v>
      </c>
      <c r="AZ4" s="16">
        <v>182</v>
      </c>
      <c r="BA4" s="16">
        <v>162</v>
      </c>
      <c r="BB4" s="16">
        <v>182</v>
      </c>
      <c r="BC4" s="16">
        <v>182</v>
      </c>
      <c r="BD4" s="16">
        <v>3658200</v>
      </c>
      <c r="BE4" s="16">
        <v>19</v>
      </c>
      <c r="BF4" s="16">
        <f>BE4/AY4*100</f>
        <v>11.656441717791409</v>
      </c>
      <c r="BG4" s="19">
        <f>BG3/BG2*100</f>
        <v>40</v>
      </c>
      <c r="BH4" s="18">
        <v>43983</v>
      </c>
      <c r="BI4" s="16">
        <v>179</v>
      </c>
      <c r="BJ4" s="16">
        <v>196</v>
      </c>
      <c r="BK4" s="16">
        <v>171</v>
      </c>
      <c r="BL4" s="16">
        <v>171</v>
      </c>
      <c r="BM4" s="16">
        <v>171</v>
      </c>
      <c r="BN4" s="16">
        <v>4196800</v>
      </c>
      <c r="BO4" s="16">
        <v>-8</v>
      </c>
      <c r="BP4" s="16">
        <f>BO4/BI4*100</f>
        <v>-4.4692737430167595</v>
      </c>
      <c r="BQ4" s="19">
        <f>BQ3/BQ2*100</f>
        <v>60</v>
      </c>
      <c r="BR4" s="18">
        <v>44013</v>
      </c>
      <c r="BS4" s="16">
        <v>173</v>
      </c>
      <c r="BT4" s="16">
        <v>173</v>
      </c>
      <c r="BU4" s="16">
        <v>151</v>
      </c>
      <c r="BV4" s="16">
        <v>152</v>
      </c>
      <c r="BW4" s="16">
        <v>152</v>
      </c>
      <c r="BX4" s="16">
        <v>1958700</v>
      </c>
      <c r="BY4" s="16">
        <v>-21</v>
      </c>
      <c r="BZ4" s="16">
        <f>BY4/BS4*100</f>
        <v>-12.138728323699421</v>
      </c>
      <c r="CA4" s="19">
        <f>CA3/CA2*100</f>
        <v>0</v>
      </c>
      <c r="CB4" s="18">
        <v>44044</v>
      </c>
      <c r="CC4" s="16">
        <v>152</v>
      </c>
      <c r="CD4" s="16">
        <v>161</v>
      </c>
      <c r="CE4" s="16">
        <v>147</v>
      </c>
      <c r="CF4" s="16">
        <v>154</v>
      </c>
      <c r="CG4" s="16">
        <v>154</v>
      </c>
      <c r="CH4" s="16">
        <v>1765500</v>
      </c>
      <c r="CI4" s="16">
        <v>2</v>
      </c>
      <c r="CJ4" s="16">
        <f>CI4/CC4*100</f>
        <v>1.3157894736842104</v>
      </c>
      <c r="CK4" s="19">
        <f>CK3/CK2*100</f>
        <v>60</v>
      </c>
      <c r="CL4" s="18">
        <v>44075</v>
      </c>
      <c r="CM4" s="16">
        <v>154</v>
      </c>
      <c r="CN4" s="16">
        <v>310</v>
      </c>
      <c r="CO4" s="16">
        <v>153</v>
      </c>
      <c r="CP4" s="16">
        <v>244</v>
      </c>
      <c r="CQ4" s="16">
        <v>244</v>
      </c>
      <c r="CR4" s="16">
        <v>72657400</v>
      </c>
      <c r="CS4" s="16">
        <v>90</v>
      </c>
      <c r="CT4" s="16">
        <f>CS4/CM4*100</f>
        <v>58.441558441558442</v>
      </c>
      <c r="CU4" s="19">
        <f>CU3/CU2*100</f>
        <v>80</v>
      </c>
      <c r="CV4" s="18">
        <v>44105</v>
      </c>
      <c r="CW4" s="16">
        <v>247</v>
      </c>
      <c r="CX4" s="16">
        <v>265</v>
      </c>
      <c r="CY4" s="16">
        <v>220</v>
      </c>
      <c r="CZ4" s="16">
        <v>221</v>
      </c>
      <c r="DA4" s="16">
        <v>221</v>
      </c>
      <c r="DB4" s="16">
        <v>12848600</v>
      </c>
      <c r="DC4" s="16">
        <v>-26</v>
      </c>
      <c r="DD4" s="16">
        <f>DC4/CW4*100</f>
        <v>-10.526315789473683</v>
      </c>
      <c r="DE4" s="19">
        <f>DE3/DE2*100</f>
        <v>20</v>
      </c>
      <c r="DF4" s="18">
        <v>44136</v>
      </c>
      <c r="DG4" s="16">
        <v>213</v>
      </c>
      <c r="DH4" s="16">
        <v>254</v>
      </c>
      <c r="DI4" s="16">
        <v>213</v>
      </c>
      <c r="DJ4" s="16">
        <v>225</v>
      </c>
      <c r="DK4" s="16">
        <v>225</v>
      </c>
      <c r="DL4" s="16">
        <v>10451700</v>
      </c>
      <c r="DM4" s="16">
        <v>12</v>
      </c>
      <c r="DN4" s="16">
        <f>DM4/DG4*100</f>
        <v>5.6338028169014089</v>
      </c>
      <c r="DO4" s="19">
        <f>DO3/DO2*100</f>
        <v>60</v>
      </c>
      <c r="DP4" s="18">
        <v>44166</v>
      </c>
      <c r="DQ4" s="16">
        <v>225</v>
      </c>
      <c r="DR4" s="16">
        <v>231</v>
      </c>
      <c r="DS4" s="16">
        <v>194</v>
      </c>
      <c r="DT4" s="16">
        <v>195</v>
      </c>
      <c r="DU4" s="16">
        <v>195</v>
      </c>
      <c r="DV4" s="16">
        <v>4630600</v>
      </c>
      <c r="DW4" s="16">
        <v>-30</v>
      </c>
      <c r="DX4" s="16">
        <f>DW4/DQ4*100</f>
        <v>-13.333333333333334</v>
      </c>
      <c r="DY4" s="19">
        <f>DY3/DY2*100</f>
        <v>40</v>
      </c>
    </row>
    <row r="5" spans="1:129">
      <c r="A5" s="17">
        <v>43221</v>
      </c>
      <c r="B5" s="16">
        <v>806</v>
      </c>
      <c r="C5" s="16">
        <v>820</v>
      </c>
      <c r="D5" s="16">
        <v>680</v>
      </c>
      <c r="E5" s="16">
        <v>681</v>
      </c>
      <c r="F5" s="16">
        <v>681</v>
      </c>
      <c r="G5" s="16">
        <v>616700</v>
      </c>
      <c r="H5" s="16">
        <f t="shared" si="0"/>
        <v>-125</v>
      </c>
      <c r="J5" s="18">
        <v>44565</v>
      </c>
      <c r="K5" s="16">
        <v>235</v>
      </c>
      <c r="L5" s="16">
        <v>254</v>
      </c>
      <c r="M5" s="16">
        <v>234</v>
      </c>
      <c r="N5" s="16">
        <v>246</v>
      </c>
      <c r="O5" s="16">
        <v>246</v>
      </c>
      <c r="P5" s="16">
        <v>3792200</v>
      </c>
      <c r="Q5" s="16">
        <v>11</v>
      </c>
      <c r="R5" s="16">
        <f>Q5/K5*100</f>
        <v>4.6808510638297873</v>
      </c>
      <c r="S5" s="16">
        <f>AVERAGE(R2:R5)</f>
        <v>-0.44650385075916987</v>
      </c>
      <c r="T5" s="18">
        <v>44228</v>
      </c>
      <c r="U5" s="16">
        <v>210</v>
      </c>
      <c r="V5" s="16">
        <v>278</v>
      </c>
      <c r="W5" s="16">
        <v>208</v>
      </c>
      <c r="X5" s="16">
        <v>263</v>
      </c>
      <c r="Y5" s="16">
        <v>263</v>
      </c>
      <c r="Z5" s="16">
        <v>6713900</v>
      </c>
      <c r="AA5" s="16">
        <v>53</v>
      </c>
      <c r="AB5" s="16">
        <f>AA5/U5*100</f>
        <v>25.238095238095237</v>
      </c>
      <c r="AC5" s="16">
        <f>AVERAGE(AB2:AB6)</f>
        <v>-2.5428069487923759</v>
      </c>
      <c r="AD5" s="18">
        <v>44256</v>
      </c>
      <c r="AE5" s="16">
        <v>260</v>
      </c>
      <c r="AF5" s="16">
        <v>315</v>
      </c>
      <c r="AG5" s="16">
        <v>259</v>
      </c>
      <c r="AH5" s="16">
        <v>263</v>
      </c>
      <c r="AI5" s="16">
        <v>263</v>
      </c>
      <c r="AJ5" s="16">
        <v>9508900</v>
      </c>
      <c r="AK5" s="16">
        <v>3</v>
      </c>
      <c r="AL5" s="16">
        <f>AK5/AE5*100</f>
        <v>1.153846153846154</v>
      </c>
      <c r="AM5" s="16">
        <f>AVERAGE(AL2:AL6)</f>
        <v>-3.9688556831631225</v>
      </c>
      <c r="AN5" s="18">
        <v>44287</v>
      </c>
      <c r="AO5" s="16">
        <v>265</v>
      </c>
      <c r="AP5" s="16">
        <v>266</v>
      </c>
      <c r="AQ5" s="16">
        <v>223</v>
      </c>
      <c r="AR5" s="16">
        <v>226</v>
      </c>
      <c r="AS5" s="16">
        <v>226</v>
      </c>
      <c r="AT5" s="16">
        <v>2820500</v>
      </c>
      <c r="AU5" s="16">
        <v>-39</v>
      </c>
      <c r="AV5" s="16">
        <f>AU5/AO5*100</f>
        <v>-14.716981132075471</v>
      </c>
      <c r="AW5" s="16">
        <f>AVERAGE(AV2:AV6)</f>
        <v>-5.4864932948206961</v>
      </c>
      <c r="AX5" s="18">
        <v>44322</v>
      </c>
      <c r="AY5" s="16">
        <v>231</v>
      </c>
      <c r="AZ5" s="16">
        <v>242</v>
      </c>
      <c r="BA5" s="16">
        <v>219</v>
      </c>
      <c r="BB5" s="16">
        <v>221</v>
      </c>
      <c r="BC5" s="16">
        <v>221</v>
      </c>
      <c r="BD5" s="16">
        <v>1859400</v>
      </c>
      <c r="BE5" s="16">
        <v>-10</v>
      </c>
      <c r="BF5" s="16">
        <f>BE5/AY5*100</f>
        <v>-4.329004329004329</v>
      </c>
      <c r="BG5" s="16">
        <f>AVERAGE(BF2:BF6)</f>
        <v>-3.6610136458906952</v>
      </c>
      <c r="BH5" s="18">
        <v>44348</v>
      </c>
      <c r="BI5" s="16">
        <v>223</v>
      </c>
      <c r="BJ5" s="16">
        <v>241</v>
      </c>
      <c r="BK5" s="16">
        <v>220</v>
      </c>
      <c r="BL5" s="16">
        <v>235</v>
      </c>
      <c r="BM5" s="16">
        <v>235</v>
      </c>
      <c r="BN5" s="16">
        <v>1570900</v>
      </c>
      <c r="BO5" s="16">
        <v>12</v>
      </c>
      <c r="BP5" s="16">
        <f>BO5/BI5*100</f>
        <v>5.3811659192825116</v>
      </c>
      <c r="BQ5" s="16">
        <f>AVERAGE(BP2:BP6)</f>
        <v>-0.30118740837848951</v>
      </c>
      <c r="BR5" s="18">
        <v>44378</v>
      </c>
      <c r="BS5" s="16">
        <v>235</v>
      </c>
      <c r="BT5" s="16">
        <v>246</v>
      </c>
      <c r="BU5" s="16">
        <v>229</v>
      </c>
      <c r="BV5" s="16">
        <v>235</v>
      </c>
      <c r="BW5" s="16">
        <v>235</v>
      </c>
      <c r="BX5" s="16">
        <v>1012300</v>
      </c>
      <c r="BY5" s="16">
        <v>0</v>
      </c>
      <c r="BZ5" s="16">
        <f>BY5/BS5*100</f>
        <v>0</v>
      </c>
      <c r="CA5" s="16">
        <f>AVERAGE(BZ2:BZ6)</f>
        <v>-4.005876463579682</v>
      </c>
      <c r="CB5" s="18">
        <v>44410</v>
      </c>
      <c r="CC5" s="16">
        <v>237</v>
      </c>
      <c r="CD5" s="16">
        <v>250</v>
      </c>
      <c r="CE5" s="16">
        <v>232</v>
      </c>
      <c r="CF5" s="16">
        <v>243</v>
      </c>
      <c r="CG5" s="16">
        <v>243</v>
      </c>
      <c r="CH5" s="16">
        <v>1318500</v>
      </c>
      <c r="CI5" s="16">
        <v>6</v>
      </c>
      <c r="CJ5" s="16">
        <f>CI5/CC5*100</f>
        <v>2.5316455696202533</v>
      </c>
      <c r="CK5" s="16">
        <f>AVERAGE(CJ2:CJ6)</f>
        <v>-3.7150995328280736</v>
      </c>
      <c r="CL5" s="18">
        <v>44440</v>
      </c>
      <c r="CM5" s="16">
        <v>243</v>
      </c>
      <c r="CN5" s="16">
        <v>277</v>
      </c>
      <c r="CO5" s="16">
        <v>240</v>
      </c>
      <c r="CP5" s="16">
        <v>257</v>
      </c>
      <c r="CQ5" s="16">
        <v>257</v>
      </c>
      <c r="CR5" s="16">
        <v>4734100</v>
      </c>
      <c r="CS5" s="16">
        <v>14</v>
      </c>
      <c r="CT5" s="16">
        <f>CS5/CM5*100</f>
        <v>5.761316872427984</v>
      </c>
      <c r="CU5" s="16">
        <f>AVERAGE(CT2:CT6)</f>
        <v>15.214162360306583</v>
      </c>
      <c r="CV5" s="18">
        <v>44470</v>
      </c>
      <c r="CW5" s="16">
        <v>254</v>
      </c>
      <c r="CX5" s="16">
        <v>261</v>
      </c>
      <c r="CY5" s="16">
        <v>229</v>
      </c>
      <c r="CZ5" s="16">
        <v>231</v>
      </c>
      <c r="DA5" s="16">
        <v>231</v>
      </c>
      <c r="DB5" s="16">
        <v>2072200</v>
      </c>
      <c r="DC5" s="16">
        <v>-23</v>
      </c>
      <c r="DD5" s="16">
        <f>DC5/CW5*100</f>
        <v>-9.0551181102362204</v>
      </c>
      <c r="DE5" s="16">
        <f>AVERAGE(DD2:DD6)</f>
        <v>-6.1466618090591485</v>
      </c>
      <c r="DF5" s="18">
        <v>44501</v>
      </c>
      <c r="DG5" s="16">
        <v>236</v>
      </c>
      <c r="DH5" s="16">
        <v>239</v>
      </c>
      <c r="DI5" s="16">
        <v>201</v>
      </c>
      <c r="DJ5" s="16">
        <v>202</v>
      </c>
      <c r="DK5" s="16">
        <v>202</v>
      </c>
      <c r="DL5" s="16">
        <v>1087900</v>
      </c>
      <c r="DM5" s="16">
        <v>-34</v>
      </c>
      <c r="DN5" s="16">
        <f>DM5/DG5*100</f>
        <v>-14.40677966101695</v>
      </c>
      <c r="DO5" s="16">
        <f>AVERAGE(DN2:DN6)</f>
        <v>6.276666642707962</v>
      </c>
      <c r="DP5" s="18">
        <v>44531</v>
      </c>
      <c r="DQ5" s="16">
        <v>195</v>
      </c>
      <c r="DR5" s="16">
        <v>236</v>
      </c>
      <c r="DS5" s="16">
        <v>193</v>
      </c>
      <c r="DT5" s="16">
        <v>232</v>
      </c>
      <c r="DU5" s="16">
        <v>232</v>
      </c>
      <c r="DV5" s="16">
        <v>3222900</v>
      </c>
      <c r="DW5" s="16">
        <v>37</v>
      </c>
      <c r="DX5" s="16">
        <f>DW5/DQ5*100</f>
        <v>18.974358974358974</v>
      </c>
      <c r="DY5" s="16">
        <f>AVERAGE(DX2:DX6)</f>
        <v>-3.8723281638760971</v>
      </c>
    </row>
    <row r="6" spans="1:129">
      <c r="A6" s="17">
        <v>43252</v>
      </c>
      <c r="B6" s="16">
        <v>680</v>
      </c>
      <c r="C6" s="16">
        <v>768</v>
      </c>
      <c r="D6" s="16">
        <v>630</v>
      </c>
      <c r="E6" s="16">
        <v>699</v>
      </c>
      <c r="F6" s="16">
        <v>699</v>
      </c>
      <c r="G6" s="16">
        <v>1090200</v>
      </c>
      <c r="H6" s="16">
        <f t="shared" si="0"/>
        <v>19</v>
      </c>
      <c r="S6" s="16">
        <f>MEDIAN(R2:R5)</f>
        <v>2.8532460447354064</v>
      </c>
      <c r="T6" s="18">
        <v>44593</v>
      </c>
      <c r="U6" s="16">
        <v>246</v>
      </c>
      <c r="V6" s="16">
        <v>258</v>
      </c>
      <c r="W6" s="16">
        <v>235</v>
      </c>
      <c r="X6" s="16">
        <v>242</v>
      </c>
      <c r="Y6" s="16">
        <v>242</v>
      </c>
      <c r="Z6" s="16">
        <v>2138700</v>
      </c>
      <c r="AA6" s="16">
        <v>-4</v>
      </c>
      <c r="AB6" s="16">
        <f>AA6/U6*100</f>
        <v>-1.6260162601626018</v>
      </c>
      <c r="AC6" s="16">
        <f>MEDIAN(AB2:AB6)</f>
        <v>-1.6260162601626018</v>
      </c>
      <c r="AD6" s="18">
        <v>44621</v>
      </c>
      <c r="AE6" s="16">
        <v>243</v>
      </c>
      <c r="AF6" s="16">
        <v>243</v>
      </c>
      <c r="AG6" s="16">
        <v>206</v>
      </c>
      <c r="AH6" s="16">
        <v>229</v>
      </c>
      <c r="AI6" s="16">
        <v>229</v>
      </c>
      <c r="AJ6" s="16">
        <v>2430400</v>
      </c>
      <c r="AK6" s="16">
        <v>-14</v>
      </c>
      <c r="AL6" s="16">
        <f>AK6/AE6*100</f>
        <v>-5.761316872427984</v>
      </c>
      <c r="AM6" s="16">
        <f>MEDIAN(AL2:AL6)</f>
        <v>-4.0609137055837561</v>
      </c>
      <c r="AN6" s="18">
        <v>44652</v>
      </c>
      <c r="AO6" s="16">
        <v>227</v>
      </c>
      <c r="AP6" s="16">
        <v>233</v>
      </c>
      <c r="AQ6" s="16">
        <v>207</v>
      </c>
      <c r="AR6" s="16">
        <v>214</v>
      </c>
      <c r="AS6" s="16">
        <v>214</v>
      </c>
      <c r="AT6" s="16">
        <v>1147500</v>
      </c>
      <c r="AU6" s="16">
        <v>-13</v>
      </c>
      <c r="AV6" s="16">
        <f>AU6/AO6*100</f>
        <v>-5.7268722466960353</v>
      </c>
      <c r="AW6" s="16">
        <f>MEDIAN(AV2:AV6)</f>
        <v>-5.7268722466960353</v>
      </c>
      <c r="AX6" s="18">
        <v>44683</v>
      </c>
      <c r="AY6" s="16">
        <v>212</v>
      </c>
      <c r="AZ6" s="16">
        <v>231</v>
      </c>
      <c r="BA6" s="16">
        <v>204</v>
      </c>
      <c r="BB6" s="16">
        <v>223</v>
      </c>
      <c r="BC6" s="16">
        <v>223</v>
      </c>
      <c r="BD6" s="16">
        <v>1459500</v>
      </c>
      <c r="BE6" s="16">
        <v>11</v>
      </c>
      <c r="BF6" s="16">
        <f>BE6/AY6*100</f>
        <v>5.1886792452830193</v>
      </c>
      <c r="BG6" s="16">
        <f>MEDIAN(BF2:BF6)</f>
        <v>-4.329004329004329</v>
      </c>
      <c r="BH6" s="18">
        <v>44713</v>
      </c>
      <c r="BI6" s="16">
        <v>223</v>
      </c>
      <c r="BJ6" s="16">
        <v>232</v>
      </c>
      <c r="BK6" s="16">
        <v>213</v>
      </c>
      <c r="BL6" s="16">
        <v>224</v>
      </c>
      <c r="BM6" s="16">
        <v>224</v>
      </c>
      <c r="BN6" s="16">
        <v>1623700</v>
      </c>
      <c r="BO6" s="16">
        <v>1</v>
      </c>
      <c r="BP6" s="16">
        <f>BO6/BI6*100</f>
        <v>0.44843049327354262</v>
      </c>
      <c r="BQ6" s="16">
        <f>MEDIAN(BP2:BP6)</f>
        <v>0.44843049327354262</v>
      </c>
      <c r="BR6" s="18">
        <v>44743</v>
      </c>
      <c r="BS6" s="16">
        <v>222</v>
      </c>
      <c r="BT6" s="16">
        <v>223</v>
      </c>
      <c r="BU6" s="16">
        <v>210</v>
      </c>
      <c r="BV6" s="16">
        <v>216</v>
      </c>
      <c r="BW6" s="16">
        <v>216</v>
      </c>
      <c r="BX6" s="16">
        <v>2595200</v>
      </c>
      <c r="BY6" s="16">
        <v>-6</v>
      </c>
      <c r="BZ6" s="16">
        <f>BY6/BS6*100</f>
        <v>-2.7027027027027026</v>
      </c>
      <c r="CA6" s="16">
        <f>MEDIAN(BZ2:BZ6)</f>
        <v>-2.7027027027027026</v>
      </c>
      <c r="CB6" s="18">
        <v>44774</v>
      </c>
      <c r="CC6" s="16">
        <v>217</v>
      </c>
      <c r="CD6" s="16">
        <v>228</v>
      </c>
      <c r="CE6" s="16">
        <v>214</v>
      </c>
      <c r="CF6" s="16">
        <v>218</v>
      </c>
      <c r="CG6" s="16">
        <v>218</v>
      </c>
      <c r="CH6" s="16">
        <v>2173800</v>
      </c>
      <c r="CI6" s="16">
        <v>1</v>
      </c>
      <c r="CJ6" s="16">
        <f>CI6/CC6*100</f>
        <v>0.46082949308755761</v>
      </c>
      <c r="CK6" s="16">
        <f>MEDIAN(CJ2:CJ6)</f>
        <v>0.46082949308755761</v>
      </c>
      <c r="CL6" s="18">
        <v>44805</v>
      </c>
      <c r="CM6" s="16">
        <v>217</v>
      </c>
      <c r="CN6" s="16">
        <v>218</v>
      </c>
      <c r="CO6" s="16">
        <v>203</v>
      </c>
      <c r="CP6" s="16">
        <v>207</v>
      </c>
      <c r="CQ6" s="16">
        <v>207</v>
      </c>
      <c r="CR6" s="16">
        <v>2593800</v>
      </c>
      <c r="CS6" s="16">
        <v>-10</v>
      </c>
      <c r="CT6" s="16">
        <f>CS6/CM6*100</f>
        <v>-4.6082949308755765</v>
      </c>
      <c r="CU6" s="16">
        <f>MEDIAN(CT2:CT6)</f>
        <v>6.1135371179039302</v>
      </c>
      <c r="CV6" s="18">
        <v>44837</v>
      </c>
      <c r="CW6" s="16">
        <v>208</v>
      </c>
      <c r="CX6" s="16">
        <v>218</v>
      </c>
      <c r="CY6" s="16">
        <v>202</v>
      </c>
      <c r="CZ6" s="16">
        <v>208</v>
      </c>
      <c r="DA6" s="16">
        <v>208</v>
      </c>
      <c r="DB6" s="16">
        <v>2957400</v>
      </c>
      <c r="DC6" s="16">
        <v>0</v>
      </c>
      <c r="DD6" s="16">
        <f>DC6/CW6*100</f>
        <v>0</v>
      </c>
      <c r="DE6" s="16">
        <f>MEDIAN(DD2:DD6)</f>
        <v>-9.0551181102362204</v>
      </c>
      <c r="DF6" s="18">
        <v>44866</v>
      </c>
      <c r="DG6" s="16">
        <v>210</v>
      </c>
      <c r="DH6" s="16">
        <v>233</v>
      </c>
      <c r="DI6" s="16">
        <v>201</v>
      </c>
      <c r="DJ6" s="16">
        <v>225</v>
      </c>
      <c r="DK6" s="16">
        <v>225</v>
      </c>
      <c r="DL6" s="16">
        <v>3741200</v>
      </c>
      <c r="DM6" s="16">
        <v>15</v>
      </c>
      <c r="DN6" s="16">
        <f>DM6/DG6*100</f>
        <v>7.1428571428571423</v>
      </c>
      <c r="DO6" s="16">
        <f>MEDIAN(DN2:DN6)</f>
        <v>5.6338028169014089</v>
      </c>
      <c r="DP6" s="18">
        <v>44896</v>
      </c>
      <c r="DQ6" s="16">
        <v>224</v>
      </c>
      <c r="DR6" s="16">
        <v>261</v>
      </c>
      <c r="DS6" s="16">
        <v>211</v>
      </c>
      <c r="DT6" s="16">
        <v>258</v>
      </c>
      <c r="DU6" s="16">
        <v>258</v>
      </c>
      <c r="DV6" s="16">
        <v>5280500</v>
      </c>
      <c r="DW6" s="16">
        <v>34</v>
      </c>
      <c r="DX6" s="16">
        <f>DW6/DQ6*100</f>
        <v>15.178571428571427</v>
      </c>
      <c r="DY6" s="16">
        <f>MEDIAN(DX2:DX6)</f>
        <v>-10.32258064516129</v>
      </c>
    </row>
    <row r="7" spans="1:129">
      <c r="A7" s="17">
        <v>43282</v>
      </c>
      <c r="B7" s="16">
        <v>699</v>
      </c>
      <c r="C7" s="16">
        <v>705</v>
      </c>
      <c r="D7" s="16">
        <v>606</v>
      </c>
      <c r="E7" s="16">
        <v>682</v>
      </c>
      <c r="F7" s="16">
        <v>682</v>
      </c>
      <c r="G7" s="16">
        <v>817700</v>
      </c>
      <c r="H7" s="16">
        <f t="shared" si="0"/>
        <v>-17</v>
      </c>
    </row>
    <row r="8" spans="1:129">
      <c r="A8" s="17">
        <v>43313</v>
      </c>
      <c r="B8" s="16">
        <v>690</v>
      </c>
      <c r="C8" s="16">
        <v>718</v>
      </c>
      <c r="D8" s="16">
        <v>642</v>
      </c>
      <c r="E8" s="16">
        <v>687</v>
      </c>
      <c r="F8" s="16">
        <v>687</v>
      </c>
      <c r="G8" s="16">
        <v>913400</v>
      </c>
      <c r="H8" s="16">
        <f t="shared" si="0"/>
        <v>-3</v>
      </c>
    </row>
    <row r="9" spans="1:129">
      <c r="A9" s="17">
        <v>43344</v>
      </c>
      <c r="B9" s="16">
        <v>687</v>
      </c>
      <c r="C9" s="16">
        <v>764</v>
      </c>
      <c r="D9" s="16">
        <v>665</v>
      </c>
      <c r="E9" s="16">
        <v>729</v>
      </c>
      <c r="F9" s="16">
        <v>729</v>
      </c>
      <c r="G9" s="16">
        <v>850400</v>
      </c>
      <c r="H9" s="16">
        <f t="shared" si="0"/>
        <v>42</v>
      </c>
    </row>
    <row r="10" spans="1:129">
      <c r="A10" s="17">
        <v>43374</v>
      </c>
      <c r="B10" s="16">
        <v>729</v>
      </c>
      <c r="C10" s="16">
        <v>729</v>
      </c>
      <c r="D10" s="16">
        <v>573</v>
      </c>
      <c r="E10" s="16">
        <v>603</v>
      </c>
      <c r="F10" s="16">
        <v>603</v>
      </c>
      <c r="G10" s="16">
        <v>1085100</v>
      </c>
      <c r="H10" s="16">
        <f t="shared" si="0"/>
        <v>-126</v>
      </c>
    </row>
    <row r="11" spans="1:129">
      <c r="A11" s="17">
        <v>43405</v>
      </c>
      <c r="B11" s="16">
        <v>600</v>
      </c>
      <c r="C11" s="16">
        <v>635</v>
      </c>
      <c r="D11" s="16">
        <v>562</v>
      </c>
      <c r="E11" s="16">
        <v>564</v>
      </c>
      <c r="F11" s="16">
        <v>564</v>
      </c>
      <c r="G11" s="16">
        <v>536700</v>
      </c>
      <c r="H11" s="16">
        <f t="shared" si="0"/>
        <v>-36</v>
      </c>
    </row>
    <row r="12" spans="1:129">
      <c r="A12" s="17">
        <v>43435</v>
      </c>
      <c r="B12" s="16">
        <v>566</v>
      </c>
      <c r="C12" s="16">
        <v>578</v>
      </c>
      <c r="D12" s="16">
        <v>375</v>
      </c>
      <c r="E12" s="16">
        <v>397</v>
      </c>
      <c r="F12" s="16">
        <v>397</v>
      </c>
      <c r="G12" s="16">
        <v>1023100</v>
      </c>
      <c r="H12" s="16">
        <f t="shared" si="0"/>
        <v>-169</v>
      </c>
    </row>
    <row r="13" spans="1:129">
      <c r="A13" s="17">
        <v>43466</v>
      </c>
      <c r="B13" s="16">
        <v>390</v>
      </c>
      <c r="C13" s="16">
        <v>432</v>
      </c>
      <c r="D13" s="16">
        <v>385</v>
      </c>
      <c r="E13" s="16">
        <v>394</v>
      </c>
      <c r="F13" s="16">
        <v>394</v>
      </c>
      <c r="G13" s="16">
        <v>809500</v>
      </c>
      <c r="H13" s="16">
        <f t="shared" si="0"/>
        <v>4</v>
      </c>
    </row>
    <row r="14" spans="1:129">
      <c r="A14" s="17">
        <v>43497</v>
      </c>
      <c r="B14" s="16">
        <v>397</v>
      </c>
      <c r="C14" s="16">
        <v>419</v>
      </c>
      <c r="D14" s="16">
        <v>372</v>
      </c>
      <c r="E14" s="16">
        <v>391</v>
      </c>
      <c r="F14" s="16">
        <v>391</v>
      </c>
      <c r="G14" s="16">
        <v>600100</v>
      </c>
      <c r="H14" s="16">
        <f t="shared" si="0"/>
        <v>-6</v>
      </c>
    </row>
    <row r="15" spans="1:129">
      <c r="A15" s="17">
        <v>43525</v>
      </c>
      <c r="B15" s="16">
        <v>394</v>
      </c>
      <c r="C15" s="16">
        <v>407</v>
      </c>
      <c r="D15" s="16">
        <v>370</v>
      </c>
      <c r="E15" s="16">
        <v>378</v>
      </c>
      <c r="F15" s="16">
        <v>378</v>
      </c>
      <c r="G15" s="16">
        <v>676700</v>
      </c>
      <c r="H15" s="16">
        <f t="shared" si="0"/>
        <v>-16</v>
      </c>
    </row>
    <row r="16" spans="1:129">
      <c r="A16" s="17">
        <v>43556</v>
      </c>
      <c r="B16" s="16">
        <v>385</v>
      </c>
      <c r="C16" s="16">
        <v>390</v>
      </c>
      <c r="D16" s="16">
        <v>314</v>
      </c>
      <c r="E16" s="16">
        <v>320</v>
      </c>
      <c r="F16" s="16">
        <v>320</v>
      </c>
      <c r="G16" s="16">
        <v>504000</v>
      </c>
      <c r="H16" s="16">
        <f t="shared" si="0"/>
        <v>-65</v>
      </c>
    </row>
    <row r="17" spans="1:8">
      <c r="A17" s="17">
        <v>43586</v>
      </c>
      <c r="B17" s="16">
        <v>320</v>
      </c>
      <c r="C17" s="16">
        <v>322</v>
      </c>
      <c r="D17" s="16">
        <v>267</v>
      </c>
      <c r="E17" s="16">
        <v>271</v>
      </c>
      <c r="F17" s="16">
        <v>271</v>
      </c>
      <c r="G17" s="16">
        <v>804000</v>
      </c>
      <c r="H17" s="16">
        <f t="shared" si="0"/>
        <v>-49</v>
      </c>
    </row>
    <row r="18" spans="1:8">
      <c r="A18" s="17">
        <v>43617</v>
      </c>
      <c r="B18" s="16">
        <v>265</v>
      </c>
      <c r="C18" s="16">
        <v>274</v>
      </c>
      <c r="D18" s="16">
        <v>246</v>
      </c>
      <c r="E18" s="16">
        <v>250</v>
      </c>
      <c r="F18" s="16">
        <v>250</v>
      </c>
      <c r="G18" s="16">
        <v>721600</v>
      </c>
      <c r="H18" s="16">
        <f t="shared" si="0"/>
        <v>-15</v>
      </c>
    </row>
    <row r="19" spans="1:8">
      <c r="A19" s="17">
        <v>43647</v>
      </c>
      <c r="B19" s="16">
        <v>254</v>
      </c>
      <c r="C19" s="16">
        <v>263</v>
      </c>
      <c r="D19" s="16">
        <v>244</v>
      </c>
      <c r="E19" s="16">
        <v>247</v>
      </c>
      <c r="F19" s="16">
        <v>247</v>
      </c>
      <c r="G19" s="16">
        <v>598500</v>
      </c>
      <c r="H19" s="16">
        <f t="shared" si="0"/>
        <v>-7</v>
      </c>
    </row>
    <row r="20" spans="1:8">
      <c r="A20" s="17">
        <v>43678</v>
      </c>
      <c r="B20" s="16">
        <v>245</v>
      </c>
      <c r="C20" s="16">
        <v>247</v>
      </c>
      <c r="D20" s="16">
        <v>179</v>
      </c>
      <c r="E20" s="16">
        <v>190</v>
      </c>
      <c r="F20" s="16">
        <v>190</v>
      </c>
      <c r="G20" s="16">
        <v>1022600</v>
      </c>
      <c r="H20" s="16">
        <f t="shared" si="0"/>
        <v>-55</v>
      </c>
    </row>
    <row r="21" spans="1:8">
      <c r="A21" s="17">
        <v>43709</v>
      </c>
      <c r="B21" s="16">
        <v>193</v>
      </c>
      <c r="C21" s="16">
        <v>265</v>
      </c>
      <c r="D21" s="16">
        <v>185</v>
      </c>
      <c r="E21" s="16">
        <v>213</v>
      </c>
      <c r="F21" s="16">
        <v>213</v>
      </c>
      <c r="G21" s="16">
        <v>6513400</v>
      </c>
      <c r="H21" s="16">
        <f t="shared" si="0"/>
        <v>20</v>
      </c>
    </row>
    <row r="22" spans="1:8">
      <c r="A22" s="17">
        <v>43739</v>
      </c>
      <c r="B22" s="16">
        <v>212</v>
      </c>
      <c r="C22" s="16">
        <v>226</v>
      </c>
      <c r="D22" s="16">
        <v>212</v>
      </c>
      <c r="E22" s="16">
        <v>225</v>
      </c>
      <c r="F22" s="16">
        <v>225</v>
      </c>
      <c r="G22" s="16">
        <v>992700</v>
      </c>
      <c r="H22" s="16">
        <f t="shared" si="0"/>
        <v>13</v>
      </c>
    </row>
    <row r="23" spans="1:8">
      <c r="A23" s="17">
        <v>43770</v>
      </c>
      <c r="B23" s="16">
        <v>223</v>
      </c>
      <c r="C23" s="16">
        <v>470</v>
      </c>
      <c r="D23" s="16">
        <v>223</v>
      </c>
      <c r="E23" s="16">
        <v>310</v>
      </c>
      <c r="F23" s="16">
        <v>310</v>
      </c>
      <c r="G23" s="16">
        <v>44098400</v>
      </c>
      <c r="H23" s="16">
        <f t="shared" si="0"/>
        <v>87</v>
      </c>
    </row>
    <row r="24" spans="1:8">
      <c r="A24" s="17">
        <v>43800</v>
      </c>
      <c r="B24" s="16">
        <v>310</v>
      </c>
      <c r="C24" s="16">
        <v>310</v>
      </c>
      <c r="D24" s="16">
        <v>264</v>
      </c>
      <c r="E24" s="16">
        <v>278</v>
      </c>
      <c r="F24" s="16">
        <v>278</v>
      </c>
      <c r="G24" s="16">
        <v>9118000</v>
      </c>
      <c r="H24" s="16">
        <f t="shared" si="0"/>
        <v>-32</v>
      </c>
    </row>
    <row r="25" spans="1:8">
      <c r="A25" s="17">
        <v>43831</v>
      </c>
      <c r="B25" s="16">
        <v>273</v>
      </c>
      <c r="C25" s="16">
        <v>274</v>
      </c>
      <c r="D25" s="16">
        <v>233</v>
      </c>
      <c r="E25" s="16">
        <v>236</v>
      </c>
      <c r="F25" s="16">
        <v>236</v>
      </c>
      <c r="G25" s="16">
        <v>4310700</v>
      </c>
      <c r="H25" s="16">
        <f t="shared" si="0"/>
        <v>-37</v>
      </c>
    </row>
    <row r="26" spans="1:8">
      <c r="A26" s="17">
        <v>43862</v>
      </c>
      <c r="B26" s="16">
        <v>230</v>
      </c>
      <c r="C26" s="16">
        <v>243</v>
      </c>
      <c r="D26" s="16">
        <v>177</v>
      </c>
      <c r="E26" s="16">
        <v>177</v>
      </c>
      <c r="F26" s="16">
        <v>177</v>
      </c>
      <c r="G26" s="16">
        <v>3834500</v>
      </c>
      <c r="H26" s="16">
        <f t="shared" si="0"/>
        <v>-53</v>
      </c>
    </row>
    <row r="27" spans="1:8">
      <c r="A27" s="17">
        <v>43891</v>
      </c>
      <c r="B27" s="16">
        <v>175</v>
      </c>
      <c r="C27" s="16">
        <v>193</v>
      </c>
      <c r="D27" s="16">
        <v>123</v>
      </c>
      <c r="E27" s="16">
        <v>159</v>
      </c>
      <c r="F27" s="16">
        <v>159</v>
      </c>
      <c r="G27" s="16">
        <v>7271600</v>
      </c>
      <c r="H27" s="16">
        <f t="shared" si="0"/>
        <v>-16</v>
      </c>
    </row>
    <row r="28" spans="1:8">
      <c r="A28" s="17">
        <v>43922</v>
      </c>
      <c r="B28" s="16">
        <v>157</v>
      </c>
      <c r="C28" s="16">
        <v>168</v>
      </c>
      <c r="D28" s="16">
        <v>137</v>
      </c>
      <c r="E28" s="16">
        <v>165</v>
      </c>
      <c r="F28" s="16">
        <v>165</v>
      </c>
      <c r="G28" s="16">
        <v>3463600</v>
      </c>
      <c r="H28" s="16">
        <f t="shared" si="0"/>
        <v>8</v>
      </c>
    </row>
    <row r="29" spans="1:8">
      <c r="A29" s="17">
        <v>43952</v>
      </c>
      <c r="B29" s="16">
        <v>163</v>
      </c>
      <c r="C29" s="16">
        <v>182</v>
      </c>
      <c r="D29" s="16">
        <v>162</v>
      </c>
      <c r="E29" s="16">
        <v>182</v>
      </c>
      <c r="F29" s="16">
        <v>182</v>
      </c>
      <c r="G29" s="16">
        <v>3658200</v>
      </c>
      <c r="H29" s="16">
        <f t="shared" si="0"/>
        <v>19</v>
      </c>
    </row>
    <row r="30" spans="1:8">
      <c r="A30" s="17">
        <v>43983</v>
      </c>
      <c r="B30" s="16">
        <v>179</v>
      </c>
      <c r="C30" s="16">
        <v>196</v>
      </c>
      <c r="D30" s="16">
        <v>171</v>
      </c>
      <c r="E30" s="16">
        <v>171</v>
      </c>
      <c r="F30" s="16">
        <v>171</v>
      </c>
      <c r="G30" s="16">
        <v>4196800</v>
      </c>
      <c r="H30" s="16">
        <f t="shared" si="0"/>
        <v>-8</v>
      </c>
    </row>
    <row r="31" spans="1:8">
      <c r="A31" s="17">
        <v>44013</v>
      </c>
      <c r="B31" s="16">
        <v>173</v>
      </c>
      <c r="C31" s="16">
        <v>173</v>
      </c>
      <c r="D31" s="16">
        <v>151</v>
      </c>
      <c r="E31" s="16">
        <v>152</v>
      </c>
      <c r="F31" s="16">
        <v>152</v>
      </c>
      <c r="G31" s="16">
        <v>1958700</v>
      </c>
      <c r="H31" s="16">
        <f t="shared" si="0"/>
        <v>-21</v>
      </c>
    </row>
    <row r="32" spans="1:8">
      <c r="A32" s="17">
        <v>44044</v>
      </c>
      <c r="B32" s="16">
        <v>152</v>
      </c>
      <c r="C32" s="16">
        <v>161</v>
      </c>
      <c r="D32" s="16">
        <v>147</v>
      </c>
      <c r="E32" s="16">
        <v>154</v>
      </c>
      <c r="F32" s="16">
        <v>154</v>
      </c>
      <c r="G32" s="16">
        <v>1765500</v>
      </c>
      <c r="H32" s="16">
        <f t="shared" si="0"/>
        <v>2</v>
      </c>
    </row>
    <row r="33" spans="1:8">
      <c r="A33" s="17">
        <v>44075</v>
      </c>
      <c r="B33" s="16">
        <v>154</v>
      </c>
      <c r="C33" s="16">
        <v>310</v>
      </c>
      <c r="D33" s="16">
        <v>153</v>
      </c>
      <c r="E33" s="16">
        <v>244</v>
      </c>
      <c r="F33" s="16">
        <v>244</v>
      </c>
      <c r="G33" s="16">
        <v>72657400</v>
      </c>
      <c r="H33" s="16">
        <f t="shared" si="0"/>
        <v>90</v>
      </c>
    </row>
    <row r="34" spans="1:8">
      <c r="A34" s="17">
        <v>44105</v>
      </c>
      <c r="B34" s="16">
        <v>247</v>
      </c>
      <c r="C34" s="16">
        <v>265</v>
      </c>
      <c r="D34" s="16">
        <v>220</v>
      </c>
      <c r="E34" s="16">
        <v>221</v>
      </c>
      <c r="F34" s="16">
        <v>221</v>
      </c>
      <c r="G34" s="16">
        <v>12848600</v>
      </c>
      <c r="H34" s="16">
        <f t="shared" ref="H34:H60" si="1">E34-B34</f>
        <v>-26</v>
      </c>
    </row>
    <row r="35" spans="1:8">
      <c r="A35" s="17">
        <v>44136</v>
      </c>
      <c r="B35" s="16">
        <v>213</v>
      </c>
      <c r="C35" s="16">
        <v>254</v>
      </c>
      <c r="D35" s="16">
        <v>213</v>
      </c>
      <c r="E35" s="16">
        <v>225</v>
      </c>
      <c r="F35" s="16">
        <v>225</v>
      </c>
      <c r="G35" s="16">
        <v>10451700</v>
      </c>
      <c r="H35" s="16">
        <f t="shared" si="1"/>
        <v>12</v>
      </c>
    </row>
    <row r="36" spans="1:8">
      <c r="A36" s="17">
        <v>44166</v>
      </c>
      <c r="B36" s="16">
        <v>225</v>
      </c>
      <c r="C36" s="16">
        <v>231</v>
      </c>
      <c r="D36" s="16">
        <v>194</v>
      </c>
      <c r="E36" s="16">
        <v>195</v>
      </c>
      <c r="F36" s="16">
        <v>195</v>
      </c>
      <c r="G36" s="16">
        <v>4630600</v>
      </c>
      <c r="H36" s="16">
        <f t="shared" si="1"/>
        <v>-30</v>
      </c>
    </row>
    <row r="37" spans="1:8">
      <c r="A37" s="17">
        <v>44200</v>
      </c>
      <c r="B37" s="16">
        <v>198</v>
      </c>
      <c r="C37" s="16">
        <v>215</v>
      </c>
      <c r="D37" s="16">
        <v>189</v>
      </c>
      <c r="E37" s="16">
        <v>210</v>
      </c>
      <c r="F37" s="16">
        <v>210</v>
      </c>
      <c r="G37" s="16">
        <v>4102800</v>
      </c>
      <c r="H37" s="16">
        <f t="shared" si="1"/>
        <v>12</v>
      </c>
    </row>
    <row r="38" spans="1:8">
      <c r="A38" s="17">
        <v>44228</v>
      </c>
      <c r="B38" s="16">
        <v>210</v>
      </c>
      <c r="C38" s="16">
        <v>278</v>
      </c>
      <c r="D38" s="16">
        <v>208</v>
      </c>
      <c r="E38" s="16">
        <v>263</v>
      </c>
      <c r="F38" s="16">
        <v>263</v>
      </c>
      <c r="G38" s="16">
        <v>6713900</v>
      </c>
      <c r="H38" s="16">
        <f t="shared" si="1"/>
        <v>53</v>
      </c>
    </row>
    <row r="39" spans="1:8">
      <c r="A39" s="17">
        <v>44256</v>
      </c>
      <c r="B39" s="16">
        <v>260</v>
      </c>
      <c r="C39" s="16">
        <v>315</v>
      </c>
      <c r="D39" s="16">
        <v>259</v>
      </c>
      <c r="E39" s="16">
        <v>263</v>
      </c>
      <c r="F39" s="16">
        <v>263</v>
      </c>
      <c r="G39" s="16">
        <v>9508900</v>
      </c>
      <c r="H39" s="16">
        <f t="shared" si="1"/>
        <v>3</v>
      </c>
    </row>
    <row r="40" spans="1:8">
      <c r="A40" s="17">
        <v>44287</v>
      </c>
      <c r="B40" s="16">
        <v>265</v>
      </c>
      <c r="C40" s="16">
        <v>266</v>
      </c>
      <c r="D40" s="16">
        <v>223</v>
      </c>
      <c r="E40" s="16">
        <v>226</v>
      </c>
      <c r="F40" s="16">
        <v>226</v>
      </c>
      <c r="G40" s="16">
        <v>2820500</v>
      </c>
      <c r="H40" s="16">
        <f t="shared" si="1"/>
        <v>-39</v>
      </c>
    </row>
    <row r="41" spans="1:8">
      <c r="A41" s="17">
        <v>44322</v>
      </c>
      <c r="B41" s="16">
        <v>231</v>
      </c>
      <c r="C41" s="16">
        <v>242</v>
      </c>
      <c r="D41" s="16">
        <v>219</v>
      </c>
      <c r="E41" s="16">
        <v>221</v>
      </c>
      <c r="F41" s="16">
        <v>221</v>
      </c>
      <c r="G41" s="16">
        <v>1859400</v>
      </c>
      <c r="H41" s="16">
        <f t="shared" si="1"/>
        <v>-10</v>
      </c>
    </row>
    <row r="42" spans="1:8">
      <c r="A42" s="17">
        <v>44348</v>
      </c>
      <c r="B42" s="16">
        <v>223</v>
      </c>
      <c r="C42" s="16">
        <v>241</v>
      </c>
      <c r="D42" s="16">
        <v>220</v>
      </c>
      <c r="E42" s="16">
        <v>235</v>
      </c>
      <c r="F42" s="16">
        <v>235</v>
      </c>
      <c r="G42" s="16">
        <v>1570900</v>
      </c>
      <c r="H42" s="16">
        <f t="shared" si="1"/>
        <v>12</v>
      </c>
    </row>
    <row r="43" spans="1:8">
      <c r="A43" s="17">
        <v>44378</v>
      </c>
      <c r="B43" s="16">
        <v>235</v>
      </c>
      <c r="C43" s="16">
        <v>246</v>
      </c>
      <c r="D43" s="16">
        <v>229</v>
      </c>
      <c r="E43" s="16">
        <v>235</v>
      </c>
      <c r="F43" s="16">
        <v>235</v>
      </c>
      <c r="G43" s="16">
        <v>1012300</v>
      </c>
      <c r="H43" s="16">
        <f t="shared" si="1"/>
        <v>0</v>
      </c>
    </row>
    <row r="44" spans="1:8">
      <c r="A44" s="17">
        <v>44410</v>
      </c>
      <c r="B44" s="16">
        <v>237</v>
      </c>
      <c r="C44" s="16">
        <v>250</v>
      </c>
      <c r="D44" s="16">
        <v>232</v>
      </c>
      <c r="E44" s="16">
        <v>243</v>
      </c>
      <c r="F44" s="16">
        <v>243</v>
      </c>
      <c r="G44" s="16">
        <v>1318500</v>
      </c>
      <c r="H44" s="16">
        <f t="shared" si="1"/>
        <v>6</v>
      </c>
    </row>
    <row r="45" spans="1:8">
      <c r="A45" s="17">
        <v>44440</v>
      </c>
      <c r="B45" s="16">
        <v>243</v>
      </c>
      <c r="C45" s="16">
        <v>277</v>
      </c>
      <c r="D45" s="16">
        <v>240</v>
      </c>
      <c r="E45" s="16">
        <v>257</v>
      </c>
      <c r="F45" s="16">
        <v>257</v>
      </c>
      <c r="G45" s="16">
        <v>4734100</v>
      </c>
      <c r="H45" s="16">
        <f t="shared" si="1"/>
        <v>14</v>
      </c>
    </row>
    <row r="46" spans="1:8">
      <c r="A46" s="17">
        <v>44470</v>
      </c>
      <c r="B46" s="16">
        <v>254</v>
      </c>
      <c r="C46" s="16">
        <v>261</v>
      </c>
      <c r="D46" s="16">
        <v>229</v>
      </c>
      <c r="E46" s="16">
        <v>231</v>
      </c>
      <c r="F46" s="16">
        <v>231</v>
      </c>
      <c r="G46" s="16">
        <v>2072200</v>
      </c>
      <c r="H46" s="16">
        <f t="shared" si="1"/>
        <v>-23</v>
      </c>
    </row>
    <row r="47" spans="1:8">
      <c r="A47" s="17">
        <v>44501</v>
      </c>
      <c r="B47" s="16">
        <v>236</v>
      </c>
      <c r="C47" s="16">
        <v>239</v>
      </c>
      <c r="D47" s="16">
        <v>201</v>
      </c>
      <c r="E47" s="16">
        <v>202</v>
      </c>
      <c r="F47" s="16">
        <v>202</v>
      </c>
      <c r="G47" s="16">
        <v>1087900</v>
      </c>
      <c r="H47" s="16">
        <f t="shared" si="1"/>
        <v>-34</v>
      </c>
    </row>
    <row r="48" spans="1:8">
      <c r="A48" s="17">
        <v>44531</v>
      </c>
      <c r="B48" s="16">
        <v>195</v>
      </c>
      <c r="C48" s="16">
        <v>236</v>
      </c>
      <c r="D48" s="16">
        <v>193</v>
      </c>
      <c r="E48" s="16">
        <v>232</v>
      </c>
      <c r="F48" s="16">
        <v>232</v>
      </c>
      <c r="G48" s="16">
        <v>3222900</v>
      </c>
      <c r="H48" s="16">
        <f t="shared" si="1"/>
        <v>37</v>
      </c>
    </row>
    <row r="49" spans="1:8">
      <c r="A49" s="17">
        <v>44565</v>
      </c>
      <c r="B49" s="16">
        <v>235</v>
      </c>
      <c r="C49" s="16">
        <v>254</v>
      </c>
      <c r="D49" s="16">
        <v>234</v>
      </c>
      <c r="E49" s="16">
        <v>246</v>
      </c>
      <c r="F49" s="16">
        <v>246</v>
      </c>
      <c r="G49" s="16">
        <v>3792200</v>
      </c>
      <c r="H49" s="16">
        <f t="shared" si="1"/>
        <v>11</v>
      </c>
    </row>
    <row r="50" spans="1:8">
      <c r="A50" s="17">
        <v>44593</v>
      </c>
      <c r="B50" s="16">
        <v>246</v>
      </c>
      <c r="C50" s="16">
        <v>258</v>
      </c>
      <c r="D50" s="16">
        <v>235</v>
      </c>
      <c r="E50" s="16">
        <v>242</v>
      </c>
      <c r="F50" s="16">
        <v>242</v>
      </c>
      <c r="G50" s="16">
        <v>2138700</v>
      </c>
      <c r="H50" s="16">
        <f t="shared" si="1"/>
        <v>-4</v>
      </c>
    </row>
    <row r="51" spans="1:8">
      <c r="A51" s="17">
        <v>44621</v>
      </c>
      <c r="B51" s="16">
        <v>243</v>
      </c>
      <c r="C51" s="16">
        <v>243</v>
      </c>
      <c r="D51" s="16">
        <v>206</v>
      </c>
      <c r="E51" s="16">
        <v>229</v>
      </c>
      <c r="F51" s="16">
        <v>229</v>
      </c>
      <c r="G51" s="16">
        <v>2430400</v>
      </c>
      <c r="H51" s="16">
        <f t="shared" si="1"/>
        <v>-14</v>
      </c>
    </row>
    <row r="52" spans="1:8">
      <c r="A52" s="17">
        <v>44652</v>
      </c>
      <c r="B52" s="16">
        <v>227</v>
      </c>
      <c r="C52" s="16">
        <v>233</v>
      </c>
      <c r="D52" s="16">
        <v>207</v>
      </c>
      <c r="E52" s="16">
        <v>214</v>
      </c>
      <c r="F52" s="16">
        <v>214</v>
      </c>
      <c r="G52" s="16">
        <v>1147500</v>
      </c>
      <c r="H52" s="16">
        <f t="shared" si="1"/>
        <v>-13</v>
      </c>
    </row>
    <row r="53" spans="1:8">
      <c r="A53" s="17">
        <v>44683</v>
      </c>
      <c r="B53" s="16">
        <v>212</v>
      </c>
      <c r="C53" s="16">
        <v>231</v>
      </c>
      <c r="D53" s="16">
        <v>204</v>
      </c>
      <c r="E53" s="16">
        <v>223</v>
      </c>
      <c r="F53" s="16">
        <v>223</v>
      </c>
      <c r="G53" s="16">
        <v>1459500</v>
      </c>
      <c r="H53" s="16">
        <f t="shared" si="1"/>
        <v>11</v>
      </c>
    </row>
    <row r="54" spans="1:8">
      <c r="A54" s="17">
        <v>44713</v>
      </c>
      <c r="B54" s="16">
        <v>223</v>
      </c>
      <c r="C54" s="16">
        <v>232</v>
      </c>
      <c r="D54" s="16">
        <v>213</v>
      </c>
      <c r="E54" s="16">
        <v>224</v>
      </c>
      <c r="F54" s="16">
        <v>224</v>
      </c>
      <c r="G54" s="16">
        <v>1623700</v>
      </c>
      <c r="H54" s="16">
        <f t="shared" si="1"/>
        <v>1</v>
      </c>
    </row>
    <row r="55" spans="1:8">
      <c r="A55" s="17">
        <v>44743</v>
      </c>
      <c r="B55" s="16">
        <v>222</v>
      </c>
      <c r="C55" s="16">
        <v>223</v>
      </c>
      <c r="D55" s="16">
        <v>210</v>
      </c>
      <c r="E55" s="16">
        <v>216</v>
      </c>
      <c r="F55" s="16">
        <v>216</v>
      </c>
      <c r="G55" s="16">
        <v>2595200</v>
      </c>
      <c r="H55" s="16">
        <f t="shared" si="1"/>
        <v>-6</v>
      </c>
    </row>
    <row r="56" spans="1:8">
      <c r="A56" s="17">
        <v>44774</v>
      </c>
      <c r="B56" s="16">
        <v>217</v>
      </c>
      <c r="C56" s="16">
        <v>228</v>
      </c>
      <c r="D56" s="16">
        <v>214</v>
      </c>
      <c r="E56" s="16">
        <v>218</v>
      </c>
      <c r="F56" s="16">
        <v>218</v>
      </c>
      <c r="G56" s="16">
        <v>2173800</v>
      </c>
      <c r="H56" s="16">
        <f t="shared" si="1"/>
        <v>1</v>
      </c>
    </row>
    <row r="57" spans="1:8">
      <c r="A57" s="17">
        <v>44805</v>
      </c>
      <c r="B57" s="16">
        <v>217</v>
      </c>
      <c r="C57" s="16">
        <v>218</v>
      </c>
      <c r="D57" s="16">
        <v>203</v>
      </c>
      <c r="E57" s="16">
        <v>207</v>
      </c>
      <c r="F57" s="16">
        <v>207</v>
      </c>
      <c r="G57" s="16">
        <v>2593800</v>
      </c>
      <c r="H57" s="16">
        <f t="shared" si="1"/>
        <v>-10</v>
      </c>
    </row>
    <row r="58" spans="1:8">
      <c r="A58" s="17">
        <v>44837</v>
      </c>
      <c r="B58" s="16">
        <v>208</v>
      </c>
      <c r="C58" s="16">
        <v>218</v>
      </c>
      <c r="D58" s="16">
        <v>202</v>
      </c>
      <c r="E58" s="16">
        <v>208</v>
      </c>
      <c r="F58" s="16">
        <v>208</v>
      </c>
      <c r="G58" s="16">
        <v>2957400</v>
      </c>
      <c r="H58" s="16">
        <f t="shared" si="1"/>
        <v>0</v>
      </c>
    </row>
    <row r="59" spans="1:8">
      <c r="A59" s="17">
        <v>44866</v>
      </c>
      <c r="B59" s="16">
        <v>210</v>
      </c>
      <c r="C59" s="16">
        <v>233</v>
      </c>
      <c r="D59" s="16">
        <v>201</v>
      </c>
      <c r="E59" s="16">
        <v>225</v>
      </c>
      <c r="F59" s="16">
        <v>225</v>
      </c>
      <c r="G59" s="16">
        <v>3741200</v>
      </c>
      <c r="H59" s="16">
        <f t="shared" si="1"/>
        <v>15</v>
      </c>
    </row>
    <row r="60" spans="1:8">
      <c r="A60" s="17">
        <v>44896</v>
      </c>
      <c r="B60" s="16">
        <v>224</v>
      </c>
      <c r="C60" s="16">
        <v>261</v>
      </c>
      <c r="D60" s="16">
        <v>211</v>
      </c>
      <c r="E60" s="16">
        <v>258</v>
      </c>
      <c r="F60" s="16">
        <v>258</v>
      </c>
      <c r="G60" s="16">
        <v>5280500</v>
      </c>
      <c r="H60" s="16">
        <f t="shared" si="1"/>
        <v>34</v>
      </c>
    </row>
  </sheetData>
  <phoneticPr fontId="32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AFC9D-C9D3-45E2-A04A-232C18437A49}">
  <sheetPr codeName="Sheet31"/>
  <dimension ref="A1:DY60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43132</v>
      </c>
      <c r="B2" s="16">
        <v>2617</v>
      </c>
      <c r="C2" s="16">
        <v>2649</v>
      </c>
      <c r="D2" s="16">
        <v>2310</v>
      </c>
      <c r="E2" s="16">
        <v>2463</v>
      </c>
      <c r="F2" s="16">
        <v>2463</v>
      </c>
      <c r="G2" s="16">
        <v>266800</v>
      </c>
      <c r="H2" s="16">
        <f t="shared" ref="H2:H33" si="0">E2-B2</f>
        <v>-154</v>
      </c>
      <c r="J2" s="18" cm="1">
        <f t="array" ref="J2:Q5">_xlfn._xlws.FILTER(A2:H60,MONTH(A2:A60)=1,"")</f>
        <v>43466</v>
      </c>
      <c r="K2" s="16">
        <v>2084</v>
      </c>
      <c r="L2" s="16">
        <v>2211</v>
      </c>
      <c r="M2" s="16">
        <v>2006</v>
      </c>
      <c r="N2" s="16">
        <v>2067</v>
      </c>
      <c r="O2" s="16">
        <v>2067</v>
      </c>
      <c r="P2" s="16">
        <v>1022900</v>
      </c>
      <c r="Q2" s="16">
        <v>-17</v>
      </c>
      <c r="R2" s="16">
        <f>Q2/K2*100</f>
        <v>-0.81573896353166975</v>
      </c>
      <c r="S2" s="16">
        <f>COUNT(Q2:Q5)</f>
        <v>4</v>
      </c>
      <c r="T2" s="18" cm="1">
        <f t="array" ref="T2:AA6">_xlfn._xlws.FILTER(A2:H60,MONTH(A2:A60)=2,"")</f>
        <v>43132</v>
      </c>
      <c r="U2" s="16">
        <v>2617</v>
      </c>
      <c r="V2" s="16">
        <v>2649</v>
      </c>
      <c r="W2" s="16">
        <v>2310</v>
      </c>
      <c r="X2" s="16">
        <v>2463</v>
      </c>
      <c r="Y2" s="16">
        <v>2463</v>
      </c>
      <c r="Z2" s="16">
        <v>266800</v>
      </c>
      <c r="AA2" s="16">
        <v>-154</v>
      </c>
      <c r="AB2" s="16">
        <f>AA2/U2*100</f>
        <v>-5.8846006878104697</v>
      </c>
      <c r="AC2" s="16">
        <f>COUNT(AA2:AA6)</f>
        <v>5</v>
      </c>
      <c r="AD2" s="18" cm="1">
        <f t="array" ref="AD2:AK6">_xlfn._xlws.FILTER(A2:H60,MONTH(A2:A60)=3,"")</f>
        <v>43160</v>
      </c>
      <c r="AE2" s="16">
        <v>2451</v>
      </c>
      <c r="AF2" s="16">
        <v>2485</v>
      </c>
      <c r="AG2" s="16">
        <v>2151</v>
      </c>
      <c r="AH2" s="16">
        <v>2354</v>
      </c>
      <c r="AI2" s="16">
        <v>2354</v>
      </c>
      <c r="AJ2" s="16">
        <v>291700</v>
      </c>
      <c r="AK2" s="16">
        <v>-97</v>
      </c>
      <c r="AL2" s="16">
        <f>AK2/AE2*100</f>
        <v>-3.9575683394532843</v>
      </c>
      <c r="AM2" s="16">
        <f>COUNT(AK2:AK6)</f>
        <v>5</v>
      </c>
      <c r="AN2" s="18" cm="1">
        <f t="array" ref="AN2:AU6">_xlfn._xlws.FILTER(A2:H60,MONTH(A2:A60)=4,"")</f>
        <v>43191</v>
      </c>
      <c r="AO2" s="16">
        <v>2355</v>
      </c>
      <c r="AP2" s="16">
        <v>2630</v>
      </c>
      <c r="AQ2" s="16">
        <v>2352</v>
      </c>
      <c r="AR2" s="16">
        <v>2614</v>
      </c>
      <c r="AS2" s="16">
        <v>2614</v>
      </c>
      <c r="AT2" s="16">
        <v>193100</v>
      </c>
      <c r="AU2" s="16">
        <v>259</v>
      </c>
      <c r="AV2" s="16">
        <f>AU2/AO2*100</f>
        <v>10.997876857749469</v>
      </c>
      <c r="AW2" s="16">
        <f>COUNT(AU2:AU6)</f>
        <v>5</v>
      </c>
      <c r="AX2" s="18" cm="1">
        <f t="array" ref="AX2:BE6">_xlfn._xlws.FILTER(A2:H60,MONTH(A2:A60)=5,"")</f>
        <v>43221</v>
      </c>
      <c r="AY2" s="16">
        <v>2605</v>
      </c>
      <c r="AZ2" s="16">
        <v>2648</v>
      </c>
      <c r="BA2" s="16">
        <v>2525</v>
      </c>
      <c r="BB2" s="16">
        <v>2582</v>
      </c>
      <c r="BC2" s="16">
        <v>2582</v>
      </c>
      <c r="BD2" s="16">
        <v>139900</v>
      </c>
      <c r="BE2" s="16">
        <v>-23</v>
      </c>
      <c r="BF2" s="16">
        <f>BE2/AY2*100</f>
        <v>-0.88291746641074864</v>
      </c>
      <c r="BG2" s="16">
        <f>COUNT(BE2:BE6)</f>
        <v>5</v>
      </c>
      <c r="BH2" s="18" cm="1">
        <f t="array" ref="BH2:BO6">_xlfn._xlws.FILTER(A2:H60,MONTH(A2:A60)=6,"")</f>
        <v>43252</v>
      </c>
      <c r="BI2" s="16">
        <v>2572</v>
      </c>
      <c r="BJ2" s="16">
        <v>2683</v>
      </c>
      <c r="BK2" s="16">
        <v>2550</v>
      </c>
      <c r="BL2" s="16">
        <v>2656</v>
      </c>
      <c r="BM2" s="16">
        <v>2656</v>
      </c>
      <c r="BN2" s="16">
        <v>195900</v>
      </c>
      <c r="BO2" s="16">
        <v>84</v>
      </c>
      <c r="BP2" s="16">
        <f>BO2/BI2*100</f>
        <v>3.2659409020217729</v>
      </c>
      <c r="BQ2" s="16">
        <f>COUNT(BO2:BO6)</f>
        <v>5</v>
      </c>
      <c r="BR2" s="18" cm="1">
        <f t="array" ref="BR2:BY6">_xlfn._xlws.FILTER(A2:H60,MONTH(A2:A60)=7,"")</f>
        <v>43282</v>
      </c>
      <c r="BS2" s="16">
        <v>2655</v>
      </c>
      <c r="BT2" s="16">
        <v>2657</v>
      </c>
      <c r="BU2" s="16">
        <v>2269</v>
      </c>
      <c r="BV2" s="16">
        <v>2317</v>
      </c>
      <c r="BW2" s="16">
        <v>2317</v>
      </c>
      <c r="BX2" s="16">
        <v>885100</v>
      </c>
      <c r="BY2" s="16">
        <v>-338</v>
      </c>
      <c r="BZ2" s="16">
        <f>BY2/BS2*100</f>
        <v>-12.73069679849341</v>
      </c>
      <c r="CA2" s="16">
        <f>COUNT(BY2:BY6)</f>
        <v>5</v>
      </c>
      <c r="CB2" s="18" cm="1">
        <f t="array" ref="CB2:CI6">_xlfn._xlws.FILTER(A2:H60,MONTH(A2:A60)=8,"")</f>
        <v>43313</v>
      </c>
      <c r="CC2" s="16">
        <v>2339</v>
      </c>
      <c r="CD2" s="16">
        <v>2343</v>
      </c>
      <c r="CE2" s="16">
        <v>2128</v>
      </c>
      <c r="CF2" s="16">
        <v>2262</v>
      </c>
      <c r="CG2" s="16">
        <v>2262</v>
      </c>
      <c r="CH2" s="16">
        <v>222200</v>
      </c>
      <c r="CI2" s="16">
        <v>-77</v>
      </c>
      <c r="CJ2" s="16">
        <f>CI2/CC2*100</f>
        <v>-3.2920051303976057</v>
      </c>
      <c r="CK2" s="16">
        <f>COUNT(CI2:CI6)</f>
        <v>5</v>
      </c>
      <c r="CL2" s="18" cm="1">
        <f t="array" ref="CL2:CS6">_xlfn._xlws.FILTER(A2:H60,MONTH(A2:A60)=9,"")</f>
        <v>43344</v>
      </c>
      <c r="CM2" s="16">
        <v>2262</v>
      </c>
      <c r="CN2" s="16">
        <v>2309</v>
      </c>
      <c r="CO2" s="16">
        <v>2026</v>
      </c>
      <c r="CP2" s="16">
        <v>2275</v>
      </c>
      <c r="CQ2" s="16">
        <v>2275</v>
      </c>
      <c r="CR2" s="16">
        <v>351400</v>
      </c>
      <c r="CS2" s="16">
        <v>13</v>
      </c>
      <c r="CT2" s="16">
        <f>CS2/CM2*100</f>
        <v>0.57471264367816088</v>
      </c>
      <c r="CU2" s="16">
        <f>COUNT(CS2:CS6)</f>
        <v>5</v>
      </c>
      <c r="CV2" s="18" cm="1">
        <f t="array" ref="CV2:DC6">_xlfn._xlws.FILTER(A2:H60,MONTH(A2:A60)=10,"")</f>
        <v>43374</v>
      </c>
      <c r="CW2" s="16">
        <v>2275</v>
      </c>
      <c r="CX2" s="16">
        <v>2360</v>
      </c>
      <c r="CY2" s="16">
        <v>2150</v>
      </c>
      <c r="CZ2" s="16">
        <v>2238</v>
      </c>
      <c r="DA2" s="16">
        <v>2238</v>
      </c>
      <c r="DB2" s="16">
        <v>240400</v>
      </c>
      <c r="DC2" s="16">
        <v>-37</v>
      </c>
      <c r="DD2" s="16">
        <f>DC2/CW2*100</f>
        <v>-1.6263736263736264</v>
      </c>
      <c r="DE2" s="16">
        <f>COUNT(DC2:DC6)</f>
        <v>5</v>
      </c>
      <c r="DF2" s="18" cm="1">
        <f t="array" ref="DF2:DM6">_xlfn._xlws.FILTER(A2:H60,MONTH(A2:A60)=11,"")</f>
        <v>43405</v>
      </c>
      <c r="DG2" s="16">
        <v>2250</v>
      </c>
      <c r="DH2" s="16">
        <v>2449</v>
      </c>
      <c r="DI2" s="16">
        <v>2232</v>
      </c>
      <c r="DJ2" s="16">
        <v>2395</v>
      </c>
      <c r="DK2" s="16">
        <v>2395</v>
      </c>
      <c r="DL2" s="16">
        <v>168300</v>
      </c>
      <c r="DM2" s="16">
        <v>145</v>
      </c>
      <c r="DN2" s="16">
        <f>DM2/DG2*100</f>
        <v>6.4444444444444446</v>
      </c>
      <c r="DO2" s="16">
        <f>COUNT(DM2:DM6)</f>
        <v>5</v>
      </c>
      <c r="DP2" s="18" cm="1">
        <f t="array" ref="DP2:DW6">_xlfn._xlws.FILTER(A2:H60,MONTH(A2:A60)=12,"")</f>
        <v>43435</v>
      </c>
      <c r="DQ2" s="16">
        <v>2395</v>
      </c>
      <c r="DR2" s="16">
        <v>2396</v>
      </c>
      <c r="DS2" s="16">
        <v>1945</v>
      </c>
      <c r="DT2" s="16">
        <v>2170</v>
      </c>
      <c r="DU2" s="16">
        <v>2170</v>
      </c>
      <c r="DV2" s="16">
        <v>235500</v>
      </c>
      <c r="DW2" s="16">
        <v>-225</v>
      </c>
      <c r="DX2" s="16">
        <f>DW2/DQ2*100</f>
        <v>-9.3945720250521916</v>
      </c>
      <c r="DY2" s="16">
        <f>COUNT(DW2:DW6)</f>
        <v>5</v>
      </c>
    </row>
    <row r="3" spans="1:129">
      <c r="A3" s="17">
        <v>43160</v>
      </c>
      <c r="B3" s="16">
        <v>2451</v>
      </c>
      <c r="C3" s="16">
        <v>2485</v>
      </c>
      <c r="D3" s="16">
        <v>2151</v>
      </c>
      <c r="E3" s="16">
        <v>2354</v>
      </c>
      <c r="F3" s="16">
        <v>2354</v>
      </c>
      <c r="G3" s="16">
        <v>291700</v>
      </c>
      <c r="H3" s="16">
        <f t="shared" si="0"/>
        <v>-97</v>
      </c>
      <c r="J3" s="18">
        <v>43831</v>
      </c>
      <c r="K3" s="16">
        <v>1965</v>
      </c>
      <c r="L3" s="16">
        <v>1987</v>
      </c>
      <c r="M3" s="16">
        <v>1771</v>
      </c>
      <c r="N3" s="16">
        <v>1801</v>
      </c>
      <c r="O3" s="16">
        <v>1801</v>
      </c>
      <c r="P3" s="16">
        <v>982900</v>
      </c>
      <c r="Q3" s="16">
        <v>-164</v>
      </c>
      <c r="R3" s="16">
        <f>Q3/K3*100</f>
        <v>-8.346055979643765</v>
      </c>
      <c r="S3" s="16">
        <f>COUNTIF(Q2:Q5,"&gt;0")</f>
        <v>1</v>
      </c>
      <c r="T3" s="18">
        <v>43497</v>
      </c>
      <c r="U3" s="16">
        <v>2050</v>
      </c>
      <c r="V3" s="16">
        <v>2118</v>
      </c>
      <c r="W3" s="16">
        <v>1982</v>
      </c>
      <c r="X3" s="16">
        <v>2060</v>
      </c>
      <c r="Y3" s="16">
        <v>2060</v>
      </c>
      <c r="Z3" s="16">
        <v>199000</v>
      </c>
      <c r="AA3" s="16">
        <v>10</v>
      </c>
      <c r="AB3" s="16">
        <f>AA3/U3*100</f>
        <v>0.48780487804878048</v>
      </c>
      <c r="AC3" s="16">
        <f>COUNTIF(AA2:AA6,"&gt;0")</f>
        <v>1</v>
      </c>
      <c r="AD3" s="18">
        <v>43525</v>
      </c>
      <c r="AE3" s="16">
        <v>2053</v>
      </c>
      <c r="AF3" s="16">
        <v>2264</v>
      </c>
      <c r="AG3" s="16">
        <v>2002</v>
      </c>
      <c r="AH3" s="16">
        <v>2212</v>
      </c>
      <c r="AI3" s="16">
        <v>2212</v>
      </c>
      <c r="AJ3" s="16">
        <v>231800</v>
      </c>
      <c r="AK3" s="16">
        <v>159</v>
      </c>
      <c r="AL3" s="16">
        <f>AK3/AE3*100</f>
        <v>7.7447637603507067</v>
      </c>
      <c r="AM3" s="16">
        <f>COUNTIF(AK2:AK6,"&gt;0")</f>
        <v>4</v>
      </c>
      <c r="AN3" s="18">
        <v>43556</v>
      </c>
      <c r="AO3" s="16">
        <v>2249</v>
      </c>
      <c r="AP3" s="16">
        <v>2272</v>
      </c>
      <c r="AQ3" s="16">
        <v>2085</v>
      </c>
      <c r="AR3" s="16">
        <v>2193</v>
      </c>
      <c r="AS3" s="16">
        <v>2193</v>
      </c>
      <c r="AT3" s="16">
        <v>127500</v>
      </c>
      <c r="AU3" s="16">
        <v>-56</v>
      </c>
      <c r="AV3" s="16">
        <f>AU3/AO3*100</f>
        <v>-2.4899955535793685</v>
      </c>
      <c r="AW3" s="16">
        <f>COUNTIF(AU2:AU6,"&gt;0")</f>
        <v>3</v>
      </c>
      <c r="AX3" s="18">
        <v>43586</v>
      </c>
      <c r="AY3" s="16">
        <v>2193</v>
      </c>
      <c r="AZ3" s="16">
        <v>2270</v>
      </c>
      <c r="BA3" s="16">
        <v>2076</v>
      </c>
      <c r="BB3" s="16">
        <v>2148</v>
      </c>
      <c r="BC3" s="16">
        <v>2148</v>
      </c>
      <c r="BD3" s="16">
        <v>118300</v>
      </c>
      <c r="BE3" s="16">
        <v>-45</v>
      </c>
      <c r="BF3" s="16">
        <f>BE3/AY3*100</f>
        <v>-2.0519835841313268</v>
      </c>
      <c r="BG3" s="16">
        <f>COUNTIF(BE2:BE6,"&gt;0")</f>
        <v>2</v>
      </c>
      <c r="BH3" s="18">
        <v>43617</v>
      </c>
      <c r="BI3" s="16">
        <v>2098</v>
      </c>
      <c r="BJ3" s="16">
        <v>2203</v>
      </c>
      <c r="BK3" s="16">
        <v>1986</v>
      </c>
      <c r="BL3" s="16">
        <v>1986</v>
      </c>
      <c r="BM3" s="16">
        <v>1986</v>
      </c>
      <c r="BN3" s="16">
        <v>124700</v>
      </c>
      <c r="BO3" s="16">
        <v>-112</v>
      </c>
      <c r="BP3" s="16">
        <f>BO3/BI3*100</f>
        <v>-5.3384175405147758</v>
      </c>
      <c r="BQ3" s="16">
        <f>COUNTIF(BO2:BO6,"&gt;0")</f>
        <v>2</v>
      </c>
      <c r="BR3" s="18">
        <v>43647</v>
      </c>
      <c r="BS3" s="16">
        <v>2018</v>
      </c>
      <c r="BT3" s="16">
        <v>2140</v>
      </c>
      <c r="BU3" s="16">
        <v>1931</v>
      </c>
      <c r="BV3" s="16">
        <v>1969</v>
      </c>
      <c r="BW3" s="16">
        <v>1969</v>
      </c>
      <c r="BX3" s="16">
        <v>280300</v>
      </c>
      <c r="BY3" s="16">
        <v>-49</v>
      </c>
      <c r="BZ3" s="16">
        <f>BY3/BS3*100</f>
        <v>-2.4281466798810705</v>
      </c>
      <c r="CA3" s="16">
        <f>COUNTIF(BY2:BY6,"&gt;0")</f>
        <v>0</v>
      </c>
      <c r="CB3" s="18">
        <v>43678</v>
      </c>
      <c r="CC3" s="16">
        <v>1969</v>
      </c>
      <c r="CD3" s="16">
        <v>1971</v>
      </c>
      <c r="CE3" s="16">
        <v>1746</v>
      </c>
      <c r="CF3" s="16">
        <v>1815</v>
      </c>
      <c r="CG3" s="16">
        <v>1815</v>
      </c>
      <c r="CH3" s="16">
        <v>169200</v>
      </c>
      <c r="CI3" s="16">
        <v>-154</v>
      </c>
      <c r="CJ3" s="16">
        <f>CI3/CC3*100</f>
        <v>-7.8212290502793298</v>
      </c>
      <c r="CK3" s="16">
        <f>COUNTIF(CI2:CI6,"&gt;0")</f>
        <v>3</v>
      </c>
      <c r="CL3" s="18">
        <v>43709</v>
      </c>
      <c r="CM3" s="16">
        <v>1813</v>
      </c>
      <c r="CN3" s="16">
        <v>1940</v>
      </c>
      <c r="CO3" s="16">
        <v>1656</v>
      </c>
      <c r="CP3" s="16">
        <v>1858</v>
      </c>
      <c r="CQ3" s="16">
        <v>1858</v>
      </c>
      <c r="CR3" s="16">
        <v>333600</v>
      </c>
      <c r="CS3" s="16">
        <v>45</v>
      </c>
      <c r="CT3" s="16">
        <f>CS3/CM3*100</f>
        <v>2.4820739106453393</v>
      </c>
      <c r="CU3" s="16">
        <f>COUNTIF(CS2:CS6,"&gt;0")</f>
        <v>5</v>
      </c>
      <c r="CV3" s="18">
        <v>43739</v>
      </c>
      <c r="CW3" s="16">
        <v>1738</v>
      </c>
      <c r="CX3" s="16">
        <v>1791</v>
      </c>
      <c r="CY3" s="16">
        <v>1646</v>
      </c>
      <c r="CZ3" s="16">
        <v>1751</v>
      </c>
      <c r="DA3" s="16">
        <v>1751</v>
      </c>
      <c r="DB3" s="16">
        <v>592700</v>
      </c>
      <c r="DC3" s="16">
        <v>13</v>
      </c>
      <c r="DD3" s="16">
        <f>DC3/CW3*100</f>
        <v>0.74798619102416575</v>
      </c>
      <c r="DE3" s="16">
        <f>COUNTIF(DC2:DC6,"&gt;0")</f>
        <v>2</v>
      </c>
      <c r="DF3" s="18">
        <v>43770</v>
      </c>
      <c r="DG3" s="16">
        <v>1746</v>
      </c>
      <c r="DH3" s="16">
        <v>1864</v>
      </c>
      <c r="DI3" s="16">
        <v>1734</v>
      </c>
      <c r="DJ3" s="16">
        <v>1851</v>
      </c>
      <c r="DK3" s="16">
        <v>1851</v>
      </c>
      <c r="DL3" s="16">
        <v>195200</v>
      </c>
      <c r="DM3" s="16">
        <v>105</v>
      </c>
      <c r="DN3" s="16">
        <f>DM3/DG3*100</f>
        <v>6.0137457044673539</v>
      </c>
      <c r="DO3" s="16">
        <f>COUNTIF(DM2:DM6,"&gt;0")</f>
        <v>4</v>
      </c>
      <c r="DP3" s="18">
        <v>43800</v>
      </c>
      <c r="DQ3" s="16">
        <v>1860</v>
      </c>
      <c r="DR3" s="16">
        <v>2018</v>
      </c>
      <c r="DS3" s="16">
        <v>1837</v>
      </c>
      <c r="DT3" s="16">
        <v>1997</v>
      </c>
      <c r="DU3" s="16">
        <v>1997</v>
      </c>
      <c r="DV3" s="16">
        <v>345200</v>
      </c>
      <c r="DW3" s="16">
        <v>137</v>
      </c>
      <c r="DX3" s="16">
        <f>DW3/DQ3*100</f>
        <v>7.365591397849462</v>
      </c>
      <c r="DY3" s="16">
        <f>COUNTIF(DW2:DW6,"&gt;0")</f>
        <v>1</v>
      </c>
    </row>
    <row r="4" spans="1:129">
      <c r="A4" s="17">
        <v>43191</v>
      </c>
      <c r="B4" s="16">
        <v>2355</v>
      </c>
      <c r="C4" s="16">
        <v>2630</v>
      </c>
      <c r="D4" s="16">
        <v>2352</v>
      </c>
      <c r="E4" s="16">
        <v>2614</v>
      </c>
      <c r="F4" s="16">
        <v>2614</v>
      </c>
      <c r="G4" s="16">
        <v>193100</v>
      </c>
      <c r="H4" s="16">
        <f t="shared" si="0"/>
        <v>259</v>
      </c>
      <c r="J4" s="18">
        <v>44200</v>
      </c>
      <c r="K4" s="16">
        <v>1870</v>
      </c>
      <c r="L4" s="16">
        <v>1930</v>
      </c>
      <c r="M4" s="16">
        <v>1784</v>
      </c>
      <c r="N4" s="16">
        <v>1889</v>
      </c>
      <c r="O4" s="16">
        <v>1889</v>
      </c>
      <c r="P4" s="16">
        <v>1188300</v>
      </c>
      <c r="Q4" s="16">
        <v>19</v>
      </c>
      <c r="R4" s="16">
        <f>Q4/K4*100</f>
        <v>1.0160427807486632</v>
      </c>
      <c r="S4" s="19">
        <f>S3/S2*100</f>
        <v>25</v>
      </c>
      <c r="T4" s="18">
        <v>43862</v>
      </c>
      <c r="U4" s="16">
        <v>1761</v>
      </c>
      <c r="V4" s="16">
        <v>1870</v>
      </c>
      <c r="W4" s="16">
        <v>1566</v>
      </c>
      <c r="X4" s="16">
        <v>1572</v>
      </c>
      <c r="Y4" s="16">
        <v>1572</v>
      </c>
      <c r="Z4" s="16">
        <v>269600</v>
      </c>
      <c r="AA4" s="16">
        <v>-189</v>
      </c>
      <c r="AB4" s="16">
        <f>AA4/U4*100</f>
        <v>-10.732538330494037</v>
      </c>
      <c r="AC4" s="19">
        <f>AC3/AC2*100</f>
        <v>20</v>
      </c>
      <c r="AD4" s="18">
        <v>43891</v>
      </c>
      <c r="AE4" s="16">
        <v>1533</v>
      </c>
      <c r="AF4" s="16">
        <v>1750</v>
      </c>
      <c r="AG4" s="16">
        <v>1073</v>
      </c>
      <c r="AH4" s="16">
        <v>1681</v>
      </c>
      <c r="AI4" s="16">
        <v>1681</v>
      </c>
      <c r="AJ4" s="16">
        <v>560200</v>
      </c>
      <c r="AK4" s="16">
        <v>148</v>
      </c>
      <c r="AL4" s="16">
        <f>AK4/AE4*100</f>
        <v>9.6542726679712985</v>
      </c>
      <c r="AM4" s="19">
        <f>AM3/AM2*100</f>
        <v>80</v>
      </c>
      <c r="AN4" s="18">
        <v>43922</v>
      </c>
      <c r="AO4" s="16">
        <v>1614</v>
      </c>
      <c r="AP4" s="16">
        <v>1780</v>
      </c>
      <c r="AQ4" s="16">
        <v>1472</v>
      </c>
      <c r="AR4" s="16">
        <v>1748</v>
      </c>
      <c r="AS4" s="16">
        <v>1748</v>
      </c>
      <c r="AT4" s="16">
        <v>243500</v>
      </c>
      <c r="AU4" s="16">
        <v>134</v>
      </c>
      <c r="AV4" s="16">
        <f>AU4/AO4*100</f>
        <v>8.3023543990086743</v>
      </c>
      <c r="AW4" s="19">
        <f>AW3/AW2*100</f>
        <v>60</v>
      </c>
      <c r="AX4" s="18">
        <v>43952</v>
      </c>
      <c r="AY4" s="16">
        <v>1726</v>
      </c>
      <c r="AZ4" s="16">
        <v>1940</v>
      </c>
      <c r="BA4" s="16">
        <v>1700</v>
      </c>
      <c r="BB4" s="16">
        <v>1894</v>
      </c>
      <c r="BC4" s="16">
        <v>1894</v>
      </c>
      <c r="BD4" s="16">
        <v>128300</v>
      </c>
      <c r="BE4" s="16">
        <v>168</v>
      </c>
      <c r="BF4" s="16">
        <f>BE4/AY4*100</f>
        <v>9.7334878331402095</v>
      </c>
      <c r="BG4" s="19">
        <f>BG3/BG2*100</f>
        <v>40</v>
      </c>
      <c r="BH4" s="18">
        <v>43983</v>
      </c>
      <c r="BI4" s="16">
        <v>1891</v>
      </c>
      <c r="BJ4" s="16">
        <v>1946</v>
      </c>
      <c r="BK4" s="16">
        <v>1620</v>
      </c>
      <c r="BL4" s="16">
        <v>1884</v>
      </c>
      <c r="BM4" s="16">
        <v>1884</v>
      </c>
      <c r="BN4" s="16">
        <v>243900</v>
      </c>
      <c r="BO4" s="16">
        <v>-7</v>
      </c>
      <c r="BP4" s="16">
        <f>BO4/BI4*100</f>
        <v>-0.37017451084082498</v>
      </c>
      <c r="BQ4" s="19">
        <f>BQ3/BQ2*100</f>
        <v>40</v>
      </c>
      <c r="BR4" s="18">
        <v>44013</v>
      </c>
      <c r="BS4" s="16">
        <v>1908</v>
      </c>
      <c r="BT4" s="16">
        <v>1918</v>
      </c>
      <c r="BU4" s="16">
        <v>1748</v>
      </c>
      <c r="BV4" s="16">
        <v>1748</v>
      </c>
      <c r="BW4" s="16">
        <v>1748</v>
      </c>
      <c r="BX4" s="16">
        <v>203300</v>
      </c>
      <c r="BY4" s="16">
        <v>-160</v>
      </c>
      <c r="BZ4" s="16">
        <f>BY4/BS4*100</f>
        <v>-8.3857442348008391</v>
      </c>
      <c r="CA4" s="19">
        <f>CA3/CA2*100</f>
        <v>0</v>
      </c>
      <c r="CB4" s="18">
        <v>44044</v>
      </c>
      <c r="CC4" s="16">
        <v>1751</v>
      </c>
      <c r="CD4" s="16">
        <v>1919</v>
      </c>
      <c r="CE4" s="16">
        <v>1751</v>
      </c>
      <c r="CF4" s="16">
        <v>1866</v>
      </c>
      <c r="CG4" s="16">
        <v>1866</v>
      </c>
      <c r="CH4" s="16">
        <v>110400</v>
      </c>
      <c r="CI4" s="16">
        <v>115</v>
      </c>
      <c r="CJ4" s="16">
        <f>CI4/CC4*100</f>
        <v>6.5676756139348935</v>
      </c>
      <c r="CK4" s="19">
        <f>CK3/CK2*100</f>
        <v>60</v>
      </c>
      <c r="CL4" s="18">
        <v>44075</v>
      </c>
      <c r="CM4" s="16">
        <v>1875</v>
      </c>
      <c r="CN4" s="16">
        <v>2126</v>
      </c>
      <c r="CO4" s="16">
        <v>1760</v>
      </c>
      <c r="CP4" s="16">
        <v>2101</v>
      </c>
      <c r="CQ4" s="16">
        <v>2101</v>
      </c>
      <c r="CR4" s="16">
        <v>225300</v>
      </c>
      <c r="CS4" s="16">
        <v>226</v>
      </c>
      <c r="CT4" s="16">
        <f>CS4/CM4*100</f>
        <v>12.053333333333335</v>
      </c>
      <c r="CU4" s="19">
        <f>CU3/CU2*100</f>
        <v>100</v>
      </c>
      <c r="CV4" s="18">
        <v>44105</v>
      </c>
      <c r="CW4" s="16">
        <v>2118</v>
      </c>
      <c r="CX4" s="16">
        <v>2118</v>
      </c>
      <c r="CY4" s="16">
        <v>1757</v>
      </c>
      <c r="CZ4" s="16">
        <v>1788</v>
      </c>
      <c r="DA4" s="16">
        <v>1788</v>
      </c>
      <c r="DB4" s="16">
        <v>155000</v>
      </c>
      <c r="DC4" s="16">
        <v>-330</v>
      </c>
      <c r="DD4" s="16">
        <f>DC4/CW4*100</f>
        <v>-15.580736543909349</v>
      </c>
      <c r="DE4" s="19">
        <f>DE3/DE2*100</f>
        <v>40</v>
      </c>
      <c r="DF4" s="18">
        <v>44136</v>
      </c>
      <c r="DG4" s="16">
        <v>1795</v>
      </c>
      <c r="DH4" s="16">
        <v>2099</v>
      </c>
      <c r="DI4" s="16">
        <v>1781</v>
      </c>
      <c r="DJ4" s="16">
        <v>2034</v>
      </c>
      <c r="DK4" s="16">
        <v>2034</v>
      </c>
      <c r="DL4" s="16">
        <v>208300</v>
      </c>
      <c r="DM4" s="16">
        <v>239</v>
      </c>
      <c r="DN4" s="16">
        <f>DM4/DG4*100</f>
        <v>13.314763231197771</v>
      </c>
      <c r="DO4" s="19">
        <f>DO3/DO2*100</f>
        <v>80</v>
      </c>
      <c r="DP4" s="18">
        <v>44166</v>
      </c>
      <c r="DQ4" s="16">
        <v>2074</v>
      </c>
      <c r="DR4" s="16">
        <v>2103</v>
      </c>
      <c r="DS4" s="16">
        <v>1854</v>
      </c>
      <c r="DT4" s="16">
        <v>1880</v>
      </c>
      <c r="DU4" s="16">
        <v>1880</v>
      </c>
      <c r="DV4" s="16">
        <v>334400</v>
      </c>
      <c r="DW4" s="16">
        <v>-194</v>
      </c>
      <c r="DX4" s="16">
        <f>DW4/DQ4*100</f>
        <v>-9.3539054966248791</v>
      </c>
      <c r="DY4" s="19">
        <f>DY3/DY2*100</f>
        <v>20</v>
      </c>
    </row>
    <row r="5" spans="1:129">
      <c r="A5" s="17">
        <v>43221</v>
      </c>
      <c r="B5" s="16">
        <v>2605</v>
      </c>
      <c r="C5" s="16">
        <v>2648</v>
      </c>
      <c r="D5" s="16">
        <v>2525</v>
      </c>
      <c r="E5" s="16">
        <v>2582</v>
      </c>
      <c r="F5" s="16">
        <v>2582</v>
      </c>
      <c r="G5" s="16">
        <v>139900</v>
      </c>
      <c r="H5" s="16">
        <f t="shared" si="0"/>
        <v>-23</v>
      </c>
      <c r="J5" s="18">
        <v>44565</v>
      </c>
      <c r="K5" s="16">
        <v>1285</v>
      </c>
      <c r="L5" s="16">
        <v>1288</v>
      </c>
      <c r="M5" s="16">
        <v>973</v>
      </c>
      <c r="N5" s="16">
        <v>1080</v>
      </c>
      <c r="O5" s="16">
        <v>1080</v>
      </c>
      <c r="P5" s="16">
        <v>1397600</v>
      </c>
      <c r="Q5" s="16">
        <v>-205</v>
      </c>
      <c r="R5" s="16">
        <f>Q5/K5*100</f>
        <v>-15.953307392996107</v>
      </c>
      <c r="S5" s="16">
        <f>AVERAGE(R2:R5)</f>
        <v>-6.0247648888557199</v>
      </c>
      <c r="T5" s="18">
        <v>44228</v>
      </c>
      <c r="U5" s="16">
        <v>1880</v>
      </c>
      <c r="V5" s="16">
        <v>1934</v>
      </c>
      <c r="W5" s="16">
        <v>1786</v>
      </c>
      <c r="X5" s="16">
        <v>1798</v>
      </c>
      <c r="Y5" s="16">
        <v>1798</v>
      </c>
      <c r="Z5" s="16">
        <v>443300</v>
      </c>
      <c r="AA5" s="16">
        <v>-82</v>
      </c>
      <c r="AB5" s="16">
        <f>AA5/U5*100</f>
        <v>-4.3617021276595747</v>
      </c>
      <c r="AC5" s="16">
        <f>AVERAGE(AB2:AB6)</f>
        <v>-4.766110778629443</v>
      </c>
      <c r="AD5" s="18">
        <v>44256</v>
      </c>
      <c r="AE5" s="16">
        <v>1798</v>
      </c>
      <c r="AF5" s="16">
        <v>1980</v>
      </c>
      <c r="AG5" s="16">
        <v>1742</v>
      </c>
      <c r="AH5" s="16">
        <v>1887</v>
      </c>
      <c r="AI5" s="16">
        <v>1887</v>
      </c>
      <c r="AJ5" s="16">
        <v>531800</v>
      </c>
      <c r="AK5" s="16">
        <v>89</v>
      </c>
      <c r="AL5" s="16">
        <f>AK5/AE5*100</f>
        <v>4.9499443826473861</v>
      </c>
      <c r="AM5" s="16">
        <f>AVERAGE(AL2:AL6)</f>
        <v>5.559280574917425</v>
      </c>
      <c r="AN5" s="18">
        <v>44287</v>
      </c>
      <c r="AO5" s="16">
        <v>1887</v>
      </c>
      <c r="AP5" s="16">
        <v>1909</v>
      </c>
      <c r="AQ5" s="16">
        <v>1722</v>
      </c>
      <c r="AR5" s="16">
        <v>1722</v>
      </c>
      <c r="AS5" s="16">
        <v>1722</v>
      </c>
      <c r="AT5" s="16">
        <v>329600</v>
      </c>
      <c r="AU5" s="16">
        <v>-165</v>
      </c>
      <c r="AV5" s="16">
        <f>AU5/AO5*100</f>
        <v>-8.7440381558028619</v>
      </c>
      <c r="AW5" s="16">
        <f>AVERAGE(AV2:AV6)</f>
        <v>1.6310172872529605</v>
      </c>
      <c r="AX5" s="18">
        <v>44322</v>
      </c>
      <c r="AY5" s="16">
        <v>1722</v>
      </c>
      <c r="AZ5" s="16">
        <v>1771</v>
      </c>
      <c r="BA5" s="16">
        <v>1650</v>
      </c>
      <c r="BB5" s="16">
        <v>1681</v>
      </c>
      <c r="BC5" s="16">
        <v>1681</v>
      </c>
      <c r="BD5" s="16">
        <v>218000</v>
      </c>
      <c r="BE5" s="16">
        <v>-41</v>
      </c>
      <c r="BF5" s="16">
        <f>BE5/AY5*100</f>
        <v>-2.3809523809523809</v>
      </c>
      <c r="BG5" s="16">
        <f>AVERAGE(BF2:BF6)</f>
        <v>1.4890478064199786</v>
      </c>
      <c r="BH5" s="18">
        <v>44348</v>
      </c>
      <c r="BI5" s="16">
        <v>1694</v>
      </c>
      <c r="BJ5" s="16">
        <v>1719</v>
      </c>
      <c r="BK5" s="16">
        <v>1593</v>
      </c>
      <c r="BL5" s="16">
        <v>1596</v>
      </c>
      <c r="BM5" s="16">
        <v>1596</v>
      </c>
      <c r="BN5" s="16">
        <v>259500</v>
      </c>
      <c r="BO5" s="16">
        <v>-98</v>
      </c>
      <c r="BP5" s="16">
        <f>BO5/BI5*100</f>
        <v>-5.785123966942149</v>
      </c>
      <c r="BQ5" s="16">
        <f>AVERAGE(BP2:BP6)</f>
        <v>2.2237485021102383</v>
      </c>
      <c r="BR5" s="18">
        <v>44378</v>
      </c>
      <c r="BS5" s="16">
        <v>1596</v>
      </c>
      <c r="BT5" s="16">
        <v>1643</v>
      </c>
      <c r="BU5" s="16">
        <v>1506</v>
      </c>
      <c r="BV5" s="16">
        <v>1516</v>
      </c>
      <c r="BW5" s="16">
        <v>1516</v>
      </c>
      <c r="BX5" s="16">
        <v>289700</v>
      </c>
      <c r="BY5" s="16">
        <v>-80</v>
      </c>
      <c r="BZ5" s="16">
        <f>BY5/BS5*100</f>
        <v>-5.0125313283208017</v>
      </c>
      <c r="CA5" s="16">
        <f>AVERAGE(BZ2:BZ6)</f>
        <v>-7.4821059563398622</v>
      </c>
      <c r="CB5" s="18">
        <v>44410</v>
      </c>
      <c r="CC5" s="16">
        <v>1506</v>
      </c>
      <c r="CD5" s="16">
        <v>1647</v>
      </c>
      <c r="CE5" s="16">
        <v>1498</v>
      </c>
      <c r="CF5" s="16">
        <v>1631</v>
      </c>
      <c r="CG5" s="16">
        <v>1631</v>
      </c>
      <c r="CH5" s="16">
        <v>148200</v>
      </c>
      <c r="CI5" s="16">
        <v>125</v>
      </c>
      <c r="CJ5" s="16">
        <f>CI5/CC5*100</f>
        <v>8.3001328021248337</v>
      </c>
      <c r="CK5" s="16">
        <f>AVERAGE(CJ2:CJ6)</f>
        <v>2.174965479987951</v>
      </c>
      <c r="CL5" s="18">
        <v>44440</v>
      </c>
      <c r="CM5" s="16">
        <v>1639</v>
      </c>
      <c r="CN5" s="16">
        <v>1776</v>
      </c>
      <c r="CO5" s="16">
        <v>1607</v>
      </c>
      <c r="CP5" s="16">
        <v>1740</v>
      </c>
      <c r="CQ5" s="16">
        <v>1740</v>
      </c>
      <c r="CR5" s="16">
        <v>229600</v>
      </c>
      <c r="CS5" s="16">
        <v>101</v>
      </c>
      <c r="CT5" s="16">
        <f>CS5/CM5*100</f>
        <v>6.1622940817571692</v>
      </c>
      <c r="CU5" s="16">
        <f>AVERAGE(CT2:CT6)</f>
        <v>7.8185475950610037</v>
      </c>
      <c r="CV5" s="18">
        <v>44470</v>
      </c>
      <c r="CW5" s="16">
        <v>1720</v>
      </c>
      <c r="CX5" s="16">
        <v>1720</v>
      </c>
      <c r="CY5" s="16">
        <v>1518</v>
      </c>
      <c r="CZ5" s="16">
        <v>1529</v>
      </c>
      <c r="DA5" s="16">
        <v>1529</v>
      </c>
      <c r="DB5" s="16">
        <v>157800</v>
      </c>
      <c r="DC5" s="16">
        <v>-191</v>
      </c>
      <c r="DD5" s="16">
        <f>DC5/CW5*100</f>
        <v>-11.104651162790697</v>
      </c>
      <c r="DE5" s="16">
        <f>AVERAGE(DD2:DD6)</f>
        <v>-4.0052173399676905</v>
      </c>
      <c r="DF5" s="18">
        <v>44501</v>
      </c>
      <c r="DG5" s="16">
        <v>1545</v>
      </c>
      <c r="DH5" s="16">
        <v>1582</v>
      </c>
      <c r="DI5" s="16">
        <v>1374</v>
      </c>
      <c r="DJ5" s="16">
        <v>1375</v>
      </c>
      <c r="DK5" s="16">
        <v>1375</v>
      </c>
      <c r="DL5" s="16">
        <v>182700</v>
      </c>
      <c r="DM5" s="16">
        <v>-170</v>
      </c>
      <c r="DN5" s="16">
        <f>DM5/DG5*100</f>
        <v>-11.003236245954692</v>
      </c>
      <c r="DO5" s="16">
        <f>AVERAGE(DN2:DN6)</f>
        <v>3.1995574619186948</v>
      </c>
      <c r="DP5" s="18">
        <v>44531</v>
      </c>
      <c r="DQ5" s="16">
        <v>1362</v>
      </c>
      <c r="DR5" s="16">
        <v>1433</v>
      </c>
      <c r="DS5" s="16">
        <v>1178</v>
      </c>
      <c r="DT5" s="16">
        <v>1284</v>
      </c>
      <c r="DU5" s="16">
        <v>1284</v>
      </c>
      <c r="DV5" s="16">
        <v>545700</v>
      </c>
      <c r="DW5" s="16">
        <v>-78</v>
      </c>
      <c r="DX5" s="16">
        <f>DW5/DQ5*100</f>
        <v>-5.7268722466960353</v>
      </c>
      <c r="DY5" s="16">
        <f>AVERAGE(DX2:DX6)</f>
        <v>-3.8886562842356334</v>
      </c>
    </row>
    <row r="6" spans="1:129">
      <c r="A6" s="17">
        <v>43252</v>
      </c>
      <c r="B6" s="16">
        <v>2572</v>
      </c>
      <c r="C6" s="16">
        <v>2683</v>
      </c>
      <c r="D6" s="16">
        <v>2550</v>
      </c>
      <c r="E6" s="16">
        <v>2656</v>
      </c>
      <c r="F6" s="16">
        <v>2656</v>
      </c>
      <c r="G6" s="16">
        <v>195900</v>
      </c>
      <c r="H6" s="16">
        <f t="shared" si="0"/>
        <v>84</v>
      </c>
      <c r="S6" s="16">
        <f>MEDIAN(R2:R5)</f>
        <v>-4.5808974715877175</v>
      </c>
      <c r="T6" s="18">
        <v>44593</v>
      </c>
      <c r="U6" s="16">
        <v>1078</v>
      </c>
      <c r="V6" s="16">
        <v>1134</v>
      </c>
      <c r="W6" s="16">
        <v>998</v>
      </c>
      <c r="X6" s="16">
        <v>1042</v>
      </c>
      <c r="Y6" s="16">
        <v>1042</v>
      </c>
      <c r="Z6" s="16">
        <v>520200</v>
      </c>
      <c r="AA6" s="16">
        <v>-36</v>
      </c>
      <c r="AB6" s="16">
        <f>AA6/U6*100</f>
        <v>-3.339517625231911</v>
      </c>
      <c r="AC6" s="16">
        <f>MEDIAN(AB2:AB6)</f>
        <v>-4.3617021276595747</v>
      </c>
      <c r="AD6" s="18">
        <v>44621</v>
      </c>
      <c r="AE6" s="16">
        <v>1042</v>
      </c>
      <c r="AF6" s="16">
        <v>1171</v>
      </c>
      <c r="AG6" s="16">
        <v>982</v>
      </c>
      <c r="AH6" s="16">
        <v>1140</v>
      </c>
      <c r="AI6" s="16">
        <v>1140</v>
      </c>
      <c r="AJ6" s="16">
        <v>1070000</v>
      </c>
      <c r="AK6" s="16">
        <v>98</v>
      </c>
      <c r="AL6" s="16">
        <f>AK6/AE6*100</f>
        <v>9.4049904030710181</v>
      </c>
      <c r="AM6" s="16">
        <f>MEDIAN(AL2:AL6)</f>
        <v>7.7447637603507067</v>
      </c>
      <c r="AN6" s="18">
        <v>44652</v>
      </c>
      <c r="AO6" s="16">
        <v>1125</v>
      </c>
      <c r="AP6" s="16">
        <v>1150</v>
      </c>
      <c r="AQ6" s="16">
        <v>1032</v>
      </c>
      <c r="AR6" s="16">
        <v>1126</v>
      </c>
      <c r="AS6" s="16">
        <v>1126</v>
      </c>
      <c r="AT6" s="16">
        <v>476100</v>
      </c>
      <c r="AU6" s="16">
        <v>1</v>
      </c>
      <c r="AV6" s="16">
        <f>AU6/AO6*100</f>
        <v>8.8888888888888892E-2</v>
      </c>
      <c r="AW6" s="16">
        <f>MEDIAN(AV2:AV6)</f>
        <v>8.8888888888888892E-2</v>
      </c>
      <c r="AX6" s="18">
        <v>44683</v>
      </c>
      <c r="AY6" s="16">
        <v>1123</v>
      </c>
      <c r="AZ6" s="16">
        <v>1201</v>
      </c>
      <c r="BA6" s="16">
        <v>1071</v>
      </c>
      <c r="BB6" s="16">
        <v>1157</v>
      </c>
      <c r="BC6" s="16">
        <v>1157</v>
      </c>
      <c r="BD6" s="16">
        <v>370800</v>
      </c>
      <c r="BE6" s="16">
        <v>34</v>
      </c>
      <c r="BF6" s="16">
        <f>BE6/AY6*100</f>
        <v>3.0276046304541406</v>
      </c>
      <c r="BG6" s="16">
        <f>MEDIAN(BF2:BF6)</f>
        <v>-0.88291746641074864</v>
      </c>
      <c r="BH6" s="18">
        <v>44713</v>
      </c>
      <c r="BI6" s="16">
        <v>1163</v>
      </c>
      <c r="BJ6" s="16">
        <v>1468</v>
      </c>
      <c r="BK6" s="16">
        <v>1163</v>
      </c>
      <c r="BL6" s="16">
        <v>1388</v>
      </c>
      <c r="BM6" s="16">
        <v>1388</v>
      </c>
      <c r="BN6" s="16">
        <v>863000</v>
      </c>
      <c r="BO6" s="16">
        <v>225</v>
      </c>
      <c r="BP6" s="16">
        <f>BO6/BI6*100</f>
        <v>19.346517626827168</v>
      </c>
      <c r="BQ6" s="16">
        <f>MEDIAN(BP2:BP6)</f>
        <v>-0.37017451084082498</v>
      </c>
      <c r="BR6" s="18">
        <v>44743</v>
      </c>
      <c r="BS6" s="16">
        <v>1378</v>
      </c>
      <c r="BT6" s="16">
        <v>1412</v>
      </c>
      <c r="BU6" s="16">
        <v>1203</v>
      </c>
      <c r="BV6" s="16">
        <v>1256</v>
      </c>
      <c r="BW6" s="16">
        <v>1256</v>
      </c>
      <c r="BX6" s="16">
        <v>488000</v>
      </c>
      <c r="BY6" s="16">
        <v>-122</v>
      </c>
      <c r="BZ6" s="16">
        <f>BY6/BS6*100</f>
        <v>-8.8534107402031932</v>
      </c>
      <c r="CA6" s="16">
        <f>MEDIAN(BZ2:BZ6)</f>
        <v>-8.3857442348008391</v>
      </c>
      <c r="CB6" s="18">
        <v>44774</v>
      </c>
      <c r="CC6" s="16">
        <v>1264</v>
      </c>
      <c r="CD6" s="16">
        <v>1375</v>
      </c>
      <c r="CE6" s="16">
        <v>1220</v>
      </c>
      <c r="CF6" s="16">
        <v>1354</v>
      </c>
      <c r="CG6" s="16">
        <v>1354</v>
      </c>
      <c r="CH6" s="16">
        <v>264500</v>
      </c>
      <c r="CI6" s="16">
        <v>90</v>
      </c>
      <c r="CJ6" s="16">
        <f>CI6/CC6*100</f>
        <v>7.1202531645569627</v>
      </c>
      <c r="CK6" s="16">
        <f>MEDIAN(CJ2:CJ6)</f>
        <v>6.5676756139348935</v>
      </c>
      <c r="CL6" s="18">
        <v>44805</v>
      </c>
      <c r="CM6" s="16">
        <v>1358</v>
      </c>
      <c r="CN6" s="16">
        <v>1626</v>
      </c>
      <c r="CO6" s="16">
        <v>1333</v>
      </c>
      <c r="CP6" s="16">
        <v>1600</v>
      </c>
      <c r="CQ6" s="16">
        <v>1600</v>
      </c>
      <c r="CR6" s="16">
        <v>1698200</v>
      </c>
      <c r="CS6" s="16">
        <v>242</v>
      </c>
      <c r="CT6" s="16">
        <f>CS6/CM6*100</f>
        <v>17.820324005891017</v>
      </c>
      <c r="CU6" s="16">
        <f>MEDIAN(CT2:CT6)</f>
        <v>6.1622940817571692</v>
      </c>
      <c r="CV6" s="18">
        <v>44837</v>
      </c>
      <c r="CW6" s="16">
        <v>1592</v>
      </c>
      <c r="CX6" s="16">
        <v>1745</v>
      </c>
      <c r="CY6" s="16">
        <v>1565</v>
      </c>
      <c r="CZ6" s="16">
        <v>1712</v>
      </c>
      <c r="DA6" s="16">
        <v>1712</v>
      </c>
      <c r="DB6" s="16">
        <v>566600</v>
      </c>
      <c r="DC6" s="16">
        <v>120</v>
      </c>
      <c r="DD6" s="16">
        <f>DC6/CW6*100</f>
        <v>7.5376884422110546</v>
      </c>
      <c r="DE6" s="16">
        <f>MEDIAN(DD2:DD6)</f>
        <v>-1.6263736263736264</v>
      </c>
      <c r="DF6" s="18">
        <v>44866</v>
      </c>
      <c r="DG6" s="16">
        <v>1710</v>
      </c>
      <c r="DH6" s="16">
        <v>1770</v>
      </c>
      <c r="DI6" s="16">
        <v>1543</v>
      </c>
      <c r="DJ6" s="16">
        <v>1731</v>
      </c>
      <c r="DK6" s="16">
        <v>1731</v>
      </c>
      <c r="DL6" s="16">
        <v>394800</v>
      </c>
      <c r="DM6" s="16">
        <v>21</v>
      </c>
      <c r="DN6" s="16">
        <f>DM6/DG6*100</f>
        <v>1.2280701754385965</v>
      </c>
      <c r="DO6" s="16">
        <f>MEDIAN(DN2:DN6)</f>
        <v>6.0137457044673539</v>
      </c>
      <c r="DP6" s="18">
        <v>44896</v>
      </c>
      <c r="DQ6" s="16">
        <v>1757</v>
      </c>
      <c r="DR6" s="16">
        <v>1870</v>
      </c>
      <c r="DS6" s="16">
        <v>1641</v>
      </c>
      <c r="DT6" s="16">
        <v>1716</v>
      </c>
      <c r="DU6" s="16">
        <v>1716</v>
      </c>
      <c r="DV6" s="16">
        <v>1062200</v>
      </c>
      <c r="DW6" s="16">
        <v>-41</v>
      </c>
      <c r="DX6" s="16">
        <f>DW6/DQ6*100</f>
        <v>-2.333523050654525</v>
      </c>
      <c r="DY6" s="16">
        <f>MEDIAN(DX2:DX6)</f>
        <v>-5.7268722466960353</v>
      </c>
    </row>
    <row r="7" spans="1:129">
      <c r="A7" s="17">
        <v>43282</v>
      </c>
      <c r="B7" s="16">
        <v>2655</v>
      </c>
      <c r="C7" s="16">
        <v>2657</v>
      </c>
      <c r="D7" s="16">
        <v>2269</v>
      </c>
      <c r="E7" s="16">
        <v>2317</v>
      </c>
      <c r="F7" s="16">
        <v>2317</v>
      </c>
      <c r="G7" s="16">
        <v>885100</v>
      </c>
      <c r="H7" s="16">
        <f t="shared" si="0"/>
        <v>-338</v>
      </c>
    </row>
    <row r="8" spans="1:129">
      <c r="A8" s="17">
        <v>43313</v>
      </c>
      <c r="B8" s="16">
        <v>2339</v>
      </c>
      <c r="C8" s="16">
        <v>2343</v>
      </c>
      <c r="D8" s="16">
        <v>2128</v>
      </c>
      <c r="E8" s="16">
        <v>2262</v>
      </c>
      <c r="F8" s="16">
        <v>2262</v>
      </c>
      <c r="G8" s="16">
        <v>222200</v>
      </c>
      <c r="H8" s="16">
        <f t="shared" si="0"/>
        <v>-77</v>
      </c>
    </row>
    <row r="9" spans="1:129">
      <c r="A9" s="17">
        <v>43344</v>
      </c>
      <c r="B9" s="16">
        <v>2262</v>
      </c>
      <c r="C9" s="16">
        <v>2309</v>
      </c>
      <c r="D9" s="16">
        <v>2026</v>
      </c>
      <c r="E9" s="16">
        <v>2275</v>
      </c>
      <c r="F9" s="16">
        <v>2275</v>
      </c>
      <c r="G9" s="16">
        <v>351400</v>
      </c>
      <c r="H9" s="16">
        <f t="shared" si="0"/>
        <v>13</v>
      </c>
    </row>
    <row r="10" spans="1:129">
      <c r="A10" s="17">
        <v>43374</v>
      </c>
      <c r="B10" s="16">
        <v>2275</v>
      </c>
      <c r="C10" s="16">
        <v>2360</v>
      </c>
      <c r="D10" s="16">
        <v>2150</v>
      </c>
      <c r="E10" s="16">
        <v>2238</v>
      </c>
      <c r="F10" s="16">
        <v>2238</v>
      </c>
      <c r="G10" s="16">
        <v>240400</v>
      </c>
      <c r="H10" s="16">
        <f t="shared" si="0"/>
        <v>-37</v>
      </c>
    </row>
    <row r="11" spans="1:129">
      <c r="A11" s="17">
        <v>43405</v>
      </c>
      <c r="B11" s="16">
        <v>2250</v>
      </c>
      <c r="C11" s="16">
        <v>2449</v>
      </c>
      <c r="D11" s="16">
        <v>2232</v>
      </c>
      <c r="E11" s="16">
        <v>2395</v>
      </c>
      <c r="F11" s="16">
        <v>2395</v>
      </c>
      <c r="G11" s="16">
        <v>168300</v>
      </c>
      <c r="H11" s="16">
        <f t="shared" si="0"/>
        <v>145</v>
      </c>
    </row>
    <row r="12" spans="1:129">
      <c r="A12" s="17">
        <v>43435</v>
      </c>
      <c r="B12" s="16">
        <v>2395</v>
      </c>
      <c r="C12" s="16">
        <v>2396</v>
      </c>
      <c r="D12" s="16">
        <v>1945</v>
      </c>
      <c r="E12" s="16">
        <v>2170</v>
      </c>
      <c r="F12" s="16">
        <v>2170</v>
      </c>
      <c r="G12" s="16">
        <v>235500</v>
      </c>
      <c r="H12" s="16">
        <f t="shared" si="0"/>
        <v>-225</v>
      </c>
    </row>
    <row r="13" spans="1:129">
      <c r="A13" s="17">
        <v>43466</v>
      </c>
      <c r="B13" s="16">
        <v>2084</v>
      </c>
      <c r="C13" s="16">
        <v>2211</v>
      </c>
      <c r="D13" s="16">
        <v>2006</v>
      </c>
      <c r="E13" s="16">
        <v>2067</v>
      </c>
      <c r="F13" s="16">
        <v>2067</v>
      </c>
      <c r="G13" s="16">
        <v>1022900</v>
      </c>
      <c r="H13" s="16">
        <f t="shared" si="0"/>
        <v>-17</v>
      </c>
    </row>
    <row r="14" spans="1:129">
      <c r="A14" s="17">
        <v>43497</v>
      </c>
      <c r="B14" s="16">
        <v>2050</v>
      </c>
      <c r="C14" s="16">
        <v>2118</v>
      </c>
      <c r="D14" s="16">
        <v>1982</v>
      </c>
      <c r="E14" s="16">
        <v>2060</v>
      </c>
      <c r="F14" s="16">
        <v>2060</v>
      </c>
      <c r="G14" s="16">
        <v>199000</v>
      </c>
      <c r="H14" s="16">
        <f t="shared" si="0"/>
        <v>10</v>
      </c>
    </row>
    <row r="15" spans="1:129">
      <c r="A15" s="17">
        <v>43525</v>
      </c>
      <c r="B15" s="16">
        <v>2053</v>
      </c>
      <c r="C15" s="16">
        <v>2264</v>
      </c>
      <c r="D15" s="16">
        <v>2002</v>
      </c>
      <c r="E15" s="16">
        <v>2212</v>
      </c>
      <c r="F15" s="16">
        <v>2212</v>
      </c>
      <c r="G15" s="16">
        <v>231800</v>
      </c>
      <c r="H15" s="16">
        <f t="shared" si="0"/>
        <v>159</v>
      </c>
    </row>
    <row r="16" spans="1:129">
      <c r="A16" s="17">
        <v>43556</v>
      </c>
      <c r="B16" s="16">
        <v>2249</v>
      </c>
      <c r="C16" s="16">
        <v>2272</v>
      </c>
      <c r="D16" s="16">
        <v>2085</v>
      </c>
      <c r="E16" s="16">
        <v>2193</v>
      </c>
      <c r="F16" s="16">
        <v>2193</v>
      </c>
      <c r="G16" s="16">
        <v>127500</v>
      </c>
      <c r="H16" s="16">
        <f t="shared" si="0"/>
        <v>-56</v>
      </c>
    </row>
    <row r="17" spans="1:8">
      <c r="A17" s="17">
        <v>43586</v>
      </c>
      <c r="B17" s="16">
        <v>2193</v>
      </c>
      <c r="C17" s="16">
        <v>2270</v>
      </c>
      <c r="D17" s="16">
        <v>2076</v>
      </c>
      <c r="E17" s="16">
        <v>2148</v>
      </c>
      <c r="F17" s="16">
        <v>2148</v>
      </c>
      <c r="G17" s="16">
        <v>118300</v>
      </c>
      <c r="H17" s="16">
        <f t="shared" si="0"/>
        <v>-45</v>
      </c>
    </row>
    <row r="18" spans="1:8">
      <c r="A18" s="17">
        <v>43617</v>
      </c>
      <c r="B18" s="16">
        <v>2098</v>
      </c>
      <c r="C18" s="16">
        <v>2203</v>
      </c>
      <c r="D18" s="16">
        <v>1986</v>
      </c>
      <c r="E18" s="16">
        <v>1986</v>
      </c>
      <c r="F18" s="16">
        <v>1986</v>
      </c>
      <c r="G18" s="16">
        <v>124700</v>
      </c>
      <c r="H18" s="16">
        <f t="shared" si="0"/>
        <v>-112</v>
      </c>
    </row>
    <row r="19" spans="1:8">
      <c r="A19" s="17">
        <v>43647</v>
      </c>
      <c r="B19" s="16">
        <v>2018</v>
      </c>
      <c r="C19" s="16">
        <v>2140</v>
      </c>
      <c r="D19" s="16">
        <v>1931</v>
      </c>
      <c r="E19" s="16">
        <v>1969</v>
      </c>
      <c r="F19" s="16">
        <v>1969</v>
      </c>
      <c r="G19" s="16">
        <v>280300</v>
      </c>
      <c r="H19" s="16">
        <f t="shared" si="0"/>
        <v>-49</v>
      </c>
    </row>
    <row r="20" spans="1:8">
      <c r="A20" s="17">
        <v>43678</v>
      </c>
      <c r="B20" s="16">
        <v>1969</v>
      </c>
      <c r="C20" s="16">
        <v>1971</v>
      </c>
      <c r="D20" s="16">
        <v>1746</v>
      </c>
      <c r="E20" s="16">
        <v>1815</v>
      </c>
      <c r="F20" s="16">
        <v>1815</v>
      </c>
      <c r="G20" s="16">
        <v>169200</v>
      </c>
      <c r="H20" s="16">
        <f t="shared" si="0"/>
        <v>-154</v>
      </c>
    </row>
    <row r="21" spans="1:8">
      <c r="A21" s="17">
        <v>43709</v>
      </c>
      <c r="B21" s="16">
        <v>1813</v>
      </c>
      <c r="C21" s="16">
        <v>1940</v>
      </c>
      <c r="D21" s="16">
        <v>1656</v>
      </c>
      <c r="E21" s="16">
        <v>1858</v>
      </c>
      <c r="F21" s="16">
        <v>1858</v>
      </c>
      <c r="G21" s="16">
        <v>333600</v>
      </c>
      <c r="H21" s="16">
        <f t="shared" si="0"/>
        <v>45</v>
      </c>
    </row>
    <row r="22" spans="1:8">
      <c r="A22" s="17">
        <v>43739</v>
      </c>
      <c r="B22" s="16">
        <v>1738</v>
      </c>
      <c r="C22" s="16">
        <v>1791</v>
      </c>
      <c r="D22" s="16">
        <v>1646</v>
      </c>
      <c r="E22" s="16">
        <v>1751</v>
      </c>
      <c r="F22" s="16">
        <v>1751</v>
      </c>
      <c r="G22" s="16">
        <v>592700</v>
      </c>
      <c r="H22" s="16">
        <f t="shared" si="0"/>
        <v>13</v>
      </c>
    </row>
    <row r="23" spans="1:8">
      <c r="A23" s="17">
        <v>43770</v>
      </c>
      <c r="B23" s="16">
        <v>1746</v>
      </c>
      <c r="C23" s="16">
        <v>1864</v>
      </c>
      <c r="D23" s="16">
        <v>1734</v>
      </c>
      <c r="E23" s="16">
        <v>1851</v>
      </c>
      <c r="F23" s="16">
        <v>1851</v>
      </c>
      <c r="G23" s="16">
        <v>195200</v>
      </c>
      <c r="H23" s="16">
        <f t="shared" si="0"/>
        <v>105</v>
      </c>
    </row>
    <row r="24" spans="1:8">
      <c r="A24" s="17">
        <v>43800</v>
      </c>
      <c r="B24" s="16">
        <v>1860</v>
      </c>
      <c r="C24" s="16">
        <v>2018</v>
      </c>
      <c r="D24" s="16">
        <v>1837</v>
      </c>
      <c r="E24" s="16">
        <v>1997</v>
      </c>
      <c r="F24" s="16">
        <v>1997</v>
      </c>
      <c r="G24" s="16">
        <v>345200</v>
      </c>
      <c r="H24" s="16">
        <f t="shared" si="0"/>
        <v>137</v>
      </c>
    </row>
    <row r="25" spans="1:8">
      <c r="A25" s="17">
        <v>43831</v>
      </c>
      <c r="B25" s="16">
        <v>1965</v>
      </c>
      <c r="C25" s="16">
        <v>1987</v>
      </c>
      <c r="D25" s="16">
        <v>1771</v>
      </c>
      <c r="E25" s="16">
        <v>1801</v>
      </c>
      <c r="F25" s="16">
        <v>1801</v>
      </c>
      <c r="G25" s="16">
        <v>982900</v>
      </c>
      <c r="H25" s="16">
        <f t="shared" si="0"/>
        <v>-164</v>
      </c>
    </row>
    <row r="26" spans="1:8">
      <c r="A26" s="17">
        <v>43862</v>
      </c>
      <c r="B26" s="16">
        <v>1761</v>
      </c>
      <c r="C26" s="16">
        <v>1870</v>
      </c>
      <c r="D26" s="16">
        <v>1566</v>
      </c>
      <c r="E26" s="16">
        <v>1572</v>
      </c>
      <c r="F26" s="16">
        <v>1572</v>
      </c>
      <c r="G26" s="16">
        <v>269600</v>
      </c>
      <c r="H26" s="16">
        <f t="shared" si="0"/>
        <v>-189</v>
      </c>
    </row>
    <row r="27" spans="1:8">
      <c r="A27" s="17">
        <v>43891</v>
      </c>
      <c r="B27" s="16">
        <v>1533</v>
      </c>
      <c r="C27" s="16">
        <v>1750</v>
      </c>
      <c r="D27" s="16">
        <v>1073</v>
      </c>
      <c r="E27" s="16">
        <v>1681</v>
      </c>
      <c r="F27" s="16">
        <v>1681</v>
      </c>
      <c r="G27" s="16">
        <v>560200</v>
      </c>
      <c r="H27" s="16">
        <f t="shared" si="0"/>
        <v>148</v>
      </c>
    </row>
    <row r="28" spans="1:8">
      <c r="A28" s="17">
        <v>43922</v>
      </c>
      <c r="B28" s="16">
        <v>1614</v>
      </c>
      <c r="C28" s="16">
        <v>1780</v>
      </c>
      <c r="D28" s="16">
        <v>1472</v>
      </c>
      <c r="E28" s="16">
        <v>1748</v>
      </c>
      <c r="F28" s="16">
        <v>1748</v>
      </c>
      <c r="G28" s="16">
        <v>243500</v>
      </c>
      <c r="H28" s="16">
        <f t="shared" si="0"/>
        <v>134</v>
      </c>
    </row>
    <row r="29" spans="1:8">
      <c r="A29" s="17">
        <v>43952</v>
      </c>
      <c r="B29" s="16">
        <v>1726</v>
      </c>
      <c r="C29" s="16">
        <v>1940</v>
      </c>
      <c r="D29" s="16">
        <v>1700</v>
      </c>
      <c r="E29" s="16">
        <v>1894</v>
      </c>
      <c r="F29" s="16">
        <v>1894</v>
      </c>
      <c r="G29" s="16">
        <v>128300</v>
      </c>
      <c r="H29" s="16">
        <f t="shared" si="0"/>
        <v>168</v>
      </c>
    </row>
    <row r="30" spans="1:8">
      <c r="A30" s="17">
        <v>43983</v>
      </c>
      <c r="B30" s="16">
        <v>1891</v>
      </c>
      <c r="C30" s="16">
        <v>1946</v>
      </c>
      <c r="D30" s="16">
        <v>1620</v>
      </c>
      <c r="E30" s="16">
        <v>1884</v>
      </c>
      <c r="F30" s="16">
        <v>1884</v>
      </c>
      <c r="G30" s="16">
        <v>243900</v>
      </c>
      <c r="H30" s="16">
        <f t="shared" si="0"/>
        <v>-7</v>
      </c>
    </row>
    <row r="31" spans="1:8">
      <c r="A31" s="17">
        <v>44013</v>
      </c>
      <c r="B31" s="16">
        <v>1908</v>
      </c>
      <c r="C31" s="16">
        <v>1918</v>
      </c>
      <c r="D31" s="16">
        <v>1748</v>
      </c>
      <c r="E31" s="16">
        <v>1748</v>
      </c>
      <c r="F31" s="16">
        <v>1748</v>
      </c>
      <c r="G31" s="16">
        <v>203300</v>
      </c>
      <c r="H31" s="16">
        <f t="shared" si="0"/>
        <v>-160</v>
      </c>
    </row>
    <row r="32" spans="1:8">
      <c r="A32" s="17">
        <v>44044</v>
      </c>
      <c r="B32" s="16">
        <v>1751</v>
      </c>
      <c r="C32" s="16">
        <v>1919</v>
      </c>
      <c r="D32" s="16">
        <v>1751</v>
      </c>
      <c r="E32" s="16">
        <v>1866</v>
      </c>
      <c r="F32" s="16">
        <v>1866</v>
      </c>
      <c r="G32" s="16">
        <v>110400</v>
      </c>
      <c r="H32" s="16">
        <f t="shared" si="0"/>
        <v>115</v>
      </c>
    </row>
    <row r="33" spans="1:8">
      <c r="A33" s="17">
        <v>44075</v>
      </c>
      <c r="B33" s="16">
        <v>1875</v>
      </c>
      <c r="C33" s="16">
        <v>2126</v>
      </c>
      <c r="D33" s="16">
        <v>1760</v>
      </c>
      <c r="E33" s="16">
        <v>2101</v>
      </c>
      <c r="F33" s="16">
        <v>2101</v>
      </c>
      <c r="G33" s="16">
        <v>225300</v>
      </c>
      <c r="H33" s="16">
        <f t="shared" si="0"/>
        <v>226</v>
      </c>
    </row>
    <row r="34" spans="1:8">
      <c r="A34" s="17">
        <v>44105</v>
      </c>
      <c r="B34" s="16">
        <v>2118</v>
      </c>
      <c r="C34" s="16">
        <v>2118</v>
      </c>
      <c r="D34" s="16">
        <v>1757</v>
      </c>
      <c r="E34" s="16">
        <v>1788</v>
      </c>
      <c r="F34" s="16">
        <v>1788</v>
      </c>
      <c r="G34" s="16">
        <v>155000</v>
      </c>
      <c r="H34" s="16">
        <f t="shared" ref="H34:H60" si="1">E34-B34</f>
        <v>-330</v>
      </c>
    </row>
    <row r="35" spans="1:8">
      <c r="A35" s="17">
        <v>44136</v>
      </c>
      <c r="B35" s="16">
        <v>1795</v>
      </c>
      <c r="C35" s="16">
        <v>2099</v>
      </c>
      <c r="D35" s="16">
        <v>1781</v>
      </c>
      <c r="E35" s="16">
        <v>2034</v>
      </c>
      <c r="F35" s="16">
        <v>2034</v>
      </c>
      <c r="G35" s="16">
        <v>208300</v>
      </c>
      <c r="H35" s="16">
        <f t="shared" si="1"/>
        <v>239</v>
      </c>
    </row>
    <row r="36" spans="1:8">
      <c r="A36" s="17">
        <v>44166</v>
      </c>
      <c r="B36" s="16">
        <v>2074</v>
      </c>
      <c r="C36" s="16">
        <v>2103</v>
      </c>
      <c r="D36" s="16">
        <v>1854</v>
      </c>
      <c r="E36" s="16">
        <v>1880</v>
      </c>
      <c r="F36" s="16">
        <v>1880</v>
      </c>
      <c r="G36" s="16">
        <v>334400</v>
      </c>
      <c r="H36" s="16">
        <f t="shared" si="1"/>
        <v>-194</v>
      </c>
    </row>
    <row r="37" spans="1:8">
      <c r="A37" s="17">
        <v>44200</v>
      </c>
      <c r="B37" s="16">
        <v>1870</v>
      </c>
      <c r="C37" s="16">
        <v>1930</v>
      </c>
      <c r="D37" s="16">
        <v>1784</v>
      </c>
      <c r="E37" s="16">
        <v>1889</v>
      </c>
      <c r="F37" s="16">
        <v>1889</v>
      </c>
      <c r="G37" s="16">
        <v>1188300</v>
      </c>
      <c r="H37" s="16">
        <f t="shared" si="1"/>
        <v>19</v>
      </c>
    </row>
    <row r="38" spans="1:8">
      <c r="A38" s="17">
        <v>44228</v>
      </c>
      <c r="B38" s="16">
        <v>1880</v>
      </c>
      <c r="C38" s="16">
        <v>1934</v>
      </c>
      <c r="D38" s="16">
        <v>1786</v>
      </c>
      <c r="E38" s="16">
        <v>1798</v>
      </c>
      <c r="F38" s="16">
        <v>1798</v>
      </c>
      <c r="G38" s="16">
        <v>443300</v>
      </c>
      <c r="H38" s="16">
        <f t="shared" si="1"/>
        <v>-82</v>
      </c>
    </row>
    <row r="39" spans="1:8">
      <c r="A39" s="17">
        <v>44256</v>
      </c>
      <c r="B39" s="16">
        <v>1798</v>
      </c>
      <c r="C39" s="16">
        <v>1980</v>
      </c>
      <c r="D39" s="16">
        <v>1742</v>
      </c>
      <c r="E39" s="16">
        <v>1887</v>
      </c>
      <c r="F39" s="16">
        <v>1887</v>
      </c>
      <c r="G39" s="16">
        <v>531800</v>
      </c>
      <c r="H39" s="16">
        <f t="shared" si="1"/>
        <v>89</v>
      </c>
    </row>
    <row r="40" spans="1:8">
      <c r="A40" s="17">
        <v>44287</v>
      </c>
      <c r="B40" s="16">
        <v>1887</v>
      </c>
      <c r="C40" s="16">
        <v>1909</v>
      </c>
      <c r="D40" s="16">
        <v>1722</v>
      </c>
      <c r="E40" s="16">
        <v>1722</v>
      </c>
      <c r="F40" s="16">
        <v>1722</v>
      </c>
      <c r="G40" s="16">
        <v>329600</v>
      </c>
      <c r="H40" s="16">
        <f t="shared" si="1"/>
        <v>-165</v>
      </c>
    </row>
    <row r="41" spans="1:8">
      <c r="A41" s="17">
        <v>44322</v>
      </c>
      <c r="B41" s="16">
        <v>1722</v>
      </c>
      <c r="C41" s="16">
        <v>1771</v>
      </c>
      <c r="D41" s="16">
        <v>1650</v>
      </c>
      <c r="E41" s="16">
        <v>1681</v>
      </c>
      <c r="F41" s="16">
        <v>1681</v>
      </c>
      <c r="G41" s="16">
        <v>218000</v>
      </c>
      <c r="H41" s="16">
        <f t="shared" si="1"/>
        <v>-41</v>
      </c>
    </row>
    <row r="42" spans="1:8">
      <c r="A42" s="17">
        <v>44348</v>
      </c>
      <c r="B42" s="16">
        <v>1694</v>
      </c>
      <c r="C42" s="16">
        <v>1719</v>
      </c>
      <c r="D42" s="16">
        <v>1593</v>
      </c>
      <c r="E42" s="16">
        <v>1596</v>
      </c>
      <c r="F42" s="16">
        <v>1596</v>
      </c>
      <c r="G42" s="16">
        <v>259500</v>
      </c>
      <c r="H42" s="16">
        <f t="shared" si="1"/>
        <v>-98</v>
      </c>
    </row>
    <row r="43" spans="1:8">
      <c r="A43" s="17">
        <v>44378</v>
      </c>
      <c r="B43" s="16">
        <v>1596</v>
      </c>
      <c r="C43" s="16">
        <v>1643</v>
      </c>
      <c r="D43" s="16">
        <v>1506</v>
      </c>
      <c r="E43" s="16">
        <v>1516</v>
      </c>
      <c r="F43" s="16">
        <v>1516</v>
      </c>
      <c r="G43" s="16">
        <v>289700</v>
      </c>
      <c r="H43" s="16">
        <f t="shared" si="1"/>
        <v>-80</v>
      </c>
    </row>
    <row r="44" spans="1:8">
      <c r="A44" s="17">
        <v>44410</v>
      </c>
      <c r="B44" s="16">
        <v>1506</v>
      </c>
      <c r="C44" s="16">
        <v>1647</v>
      </c>
      <c r="D44" s="16">
        <v>1498</v>
      </c>
      <c r="E44" s="16">
        <v>1631</v>
      </c>
      <c r="F44" s="16">
        <v>1631</v>
      </c>
      <c r="G44" s="16">
        <v>148200</v>
      </c>
      <c r="H44" s="16">
        <f t="shared" si="1"/>
        <v>125</v>
      </c>
    </row>
    <row r="45" spans="1:8">
      <c r="A45" s="17">
        <v>44440</v>
      </c>
      <c r="B45" s="16">
        <v>1639</v>
      </c>
      <c r="C45" s="16">
        <v>1776</v>
      </c>
      <c r="D45" s="16">
        <v>1607</v>
      </c>
      <c r="E45" s="16">
        <v>1740</v>
      </c>
      <c r="F45" s="16">
        <v>1740</v>
      </c>
      <c r="G45" s="16">
        <v>229600</v>
      </c>
      <c r="H45" s="16">
        <f t="shared" si="1"/>
        <v>101</v>
      </c>
    </row>
    <row r="46" spans="1:8">
      <c r="A46" s="17">
        <v>44470</v>
      </c>
      <c r="B46" s="16">
        <v>1720</v>
      </c>
      <c r="C46" s="16">
        <v>1720</v>
      </c>
      <c r="D46" s="16">
        <v>1518</v>
      </c>
      <c r="E46" s="16">
        <v>1529</v>
      </c>
      <c r="F46" s="16">
        <v>1529</v>
      </c>
      <c r="G46" s="16">
        <v>157800</v>
      </c>
      <c r="H46" s="16">
        <f t="shared" si="1"/>
        <v>-191</v>
      </c>
    </row>
    <row r="47" spans="1:8">
      <c r="A47" s="17">
        <v>44501</v>
      </c>
      <c r="B47" s="16">
        <v>1545</v>
      </c>
      <c r="C47" s="16">
        <v>1582</v>
      </c>
      <c r="D47" s="16">
        <v>1374</v>
      </c>
      <c r="E47" s="16">
        <v>1375</v>
      </c>
      <c r="F47" s="16">
        <v>1375</v>
      </c>
      <c r="G47" s="16">
        <v>182700</v>
      </c>
      <c r="H47" s="16">
        <f t="shared" si="1"/>
        <v>-170</v>
      </c>
    </row>
    <row r="48" spans="1:8">
      <c r="A48" s="17">
        <v>44531</v>
      </c>
      <c r="B48" s="16">
        <v>1362</v>
      </c>
      <c r="C48" s="16">
        <v>1433</v>
      </c>
      <c r="D48" s="16">
        <v>1178</v>
      </c>
      <c r="E48" s="16">
        <v>1284</v>
      </c>
      <c r="F48" s="16">
        <v>1284</v>
      </c>
      <c r="G48" s="16">
        <v>545700</v>
      </c>
      <c r="H48" s="16">
        <f t="shared" si="1"/>
        <v>-78</v>
      </c>
    </row>
    <row r="49" spans="1:8">
      <c r="A49" s="17">
        <v>44565</v>
      </c>
      <c r="B49" s="16">
        <v>1285</v>
      </c>
      <c r="C49" s="16">
        <v>1288</v>
      </c>
      <c r="D49" s="16">
        <v>973</v>
      </c>
      <c r="E49" s="16">
        <v>1080</v>
      </c>
      <c r="F49" s="16">
        <v>1080</v>
      </c>
      <c r="G49" s="16">
        <v>1397600</v>
      </c>
      <c r="H49" s="16">
        <f t="shared" si="1"/>
        <v>-205</v>
      </c>
    </row>
    <row r="50" spans="1:8">
      <c r="A50" s="17">
        <v>44593</v>
      </c>
      <c r="B50" s="16">
        <v>1078</v>
      </c>
      <c r="C50" s="16">
        <v>1134</v>
      </c>
      <c r="D50" s="16">
        <v>998</v>
      </c>
      <c r="E50" s="16">
        <v>1042</v>
      </c>
      <c r="F50" s="16">
        <v>1042</v>
      </c>
      <c r="G50" s="16">
        <v>520200</v>
      </c>
      <c r="H50" s="16">
        <f t="shared" si="1"/>
        <v>-36</v>
      </c>
    </row>
    <row r="51" spans="1:8">
      <c r="A51" s="17">
        <v>44621</v>
      </c>
      <c r="B51" s="16">
        <v>1042</v>
      </c>
      <c r="C51" s="16">
        <v>1171</v>
      </c>
      <c r="D51" s="16">
        <v>982</v>
      </c>
      <c r="E51" s="16">
        <v>1140</v>
      </c>
      <c r="F51" s="16">
        <v>1140</v>
      </c>
      <c r="G51" s="16">
        <v>1070000</v>
      </c>
      <c r="H51" s="16">
        <f t="shared" si="1"/>
        <v>98</v>
      </c>
    </row>
    <row r="52" spans="1:8">
      <c r="A52" s="17">
        <v>44652</v>
      </c>
      <c r="B52" s="16">
        <v>1125</v>
      </c>
      <c r="C52" s="16">
        <v>1150</v>
      </c>
      <c r="D52" s="16">
        <v>1032</v>
      </c>
      <c r="E52" s="16">
        <v>1126</v>
      </c>
      <c r="F52" s="16">
        <v>1126</v>
      </c>
      <c r="G52" s="16">
        <v>476100</v>
      </c>
      <c r="H52" s="16">
        <f t="shared" si="1"/>
        <v>1</v>
      </c>
    </row>
    <row r="53" spans="1:8">
      <c r="A53" s="17">
        <v>44683</v>
      </c>
      <c r="B53" s="16">
        <v>1123</v>
      </c>
      <c r="C53" s="16">
        <v>1201</v>
      </c>
      <c r="D53" s="16">
        <v>1071</v>
      </c>
      <c r="E53" s="16">
        <v>1157</v>
      </c>
      <c r="F53" s="16">
        <v>1157</v>
      </c>
      <c r="G53" s="16">
        <v>370800</v>
      </c>
      <c r="H53" s="16">
        <f t="shared" si="1"/>
        <v>34</v>
      </c>
    </row>
    <row r="54" spans="1:8">
      <c r="A54" s="17">
        <v>44713</v>
      </c>
      <c r="B54" s="16">
        <v>1163</v>
      </c>
      <c r="C54" s="16">
        <v>1468</v>
      </c>
      <c r="D54" s="16">
        <v>1163</v>
      </c>
      <c r="E54" s="16">
        <v>1388</v>
      </c>
      <c r="F54" s="16">
        <v>1388</v>
      </c>
      <c r="G54" s="16">
        <v>863000</v>
      </c>
      <c r="H54" s="16">
        <f t="shared" si="1"/>
        <v>225</v>
      </c>
    </row>
    <row r="55" spans="1:8">
      <c r="A55" s="17">
        <v>44743</v>
      </c>
      <c r="B55" s="16">
        <v>1378</v>
      </c>
      <c r="C55" s="16">
        <v>1412</v>
      </c>
      <c r="D55" s="16">
        <v>1203</v>
      </c>
      <c r="E55" s="16">
        <v>1256</v>
      </c>
      <c r="F55" s="16">
        <v>1256</v>
      </c>
      <c r="G55" s="16">
        <v>488000</v>
      </c>
      <c r="H55" s="16">
        <f t="shared" si="1"/>
        <v>-122</v>
      </c>
    </row>
    <row r="56" spans="1:8">
      <c r="A56" s="17">
        <v>44774</v>
      </c>
      <c r="B56" s="16">
        <v>1264</v>
      </c>
      <c r="C56" s="16">
        <v>1375</v>
      </c>
      <c r="D56" s="16">
        <v>1220</v>
      </c>
      <c r="E56" s="16">
        <v>1354</v>
      </c>
      <c r="F56" s="16">
        <v>1354</v>
      </c>
      <c r="G56" s="16">
        <v>264500</v>
      </c>
      <c r="H56" s="16">
        <f t="shared" si="1"/>
        <v>90</v>
      </c>
    </row>
    <row r="57" spans="1:8">
      <c r="A57" s="17">
        <v>44805</v>
      </c>
      <c r="B57" s="16">
        <v>1358</v>
      </c>
      <c r="C57" s="16">
        <v>1626</v>
      </c>
      <c r="D57" s="16">
        <v>1333</v>
      </c>
      <c r="E57" s="16">
        <v>1600</v>
      </c>
      <c r="F57" s="16">
        <v>1600</v>
      </c>
      <c r="G57" s="16">
        <v>1698200</v>
      </c>
      <c r="H57" s="16">
        <f t="shared" si="1"/>
        <v>242</v>
      </c>
    </row>
    <row r="58" spans="1:8">
      <c r="A58" s="17">
        <v>44837</v>
      </c>
      <c r="B58" s="16">
        <v>1592</v>
      </c>
      <c r="C58" s="16">
        <v>1745</v>
      </c>
      <c r="D58" s="16">
        <v>1565</v>
      </c>
      <c r="E58" s="16">
        <v>1712</v>
      </c>
      <c r="F58" s="16">
        <v>1712</v>
      </c>
      <c r="G58" s="16">
        <v>566600</v>
      </c>
      <c r="H58" s="16">
        <f t="shared" si="1"/>
        <v>120</v>
      </c>
    </row>
    <row r="59" spans="1:8">
      <c r="A59" s="17">
        <v>44866</v>
      </c>
      <c r="B59" s="16">
        <v>1710</v>
      </c>
      <c r="C59" s="16">
        <v>1770</v>
      </c>
      <c r="D59" s="16">
        <v>1543</v>
      </c>
      <c r="E59" s="16">
        <v>1731</v>
      </c>
      <c r="F59" s="16">
        <v>1731</v>
      </c>
      <c r="G59" s="16">
        <v>394800</v>
      </c>
      <c r="H59" s="16">
        <f t="shared" si="1"/>
        <v>21</v>
      </c>
    </row>
    <row r="60" spans="1:8">
      <c r="A60" s="17">
        <v>44896</v>
      </c>
      <c r="B60" s="16">
        <v>1757</v>
      </c>
      <c r="C60" s="16">
        <v>1870</v>
      </c>
      <c r="D60" s="16">
        <v>1641</v>
      </c>
      <c r="E60" s="16">
        <v>1716</v>
      </c>
      <c r="F60" s="16">
        <v>1716</v>
      </c>
      <c r="G60" s="16">
        <v>1062200</v>
      </c>
      <c r="H60" s="16">
        <f t="shared" si="1"/>
        <v>-41</v>
      </c>
    </row>
  </sheetData>
  <phoneticPr fontId="32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6DDB-B472-47F3-9DD3-7CE3353690B7}">
  <sheetPr codeName="Sheet30"/>
  <dimension ref="A1:DY60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43132</v>
      </c>
      <c r="B2" s="16">
        <v>1955</v>
      </c>
      <c r="C2" s="16">
        <v>1981</v>
      </c>
      <c r="D2" s="16">
        <v>1725</v>
      </c>
      <c r="E2" s="16">
        <v>1915</v>
      </c>
      <c r="F2" s="16">
        <v>1915</v>
      </c>
      <c r="G2" s="16">
        <v>1608600</v>
      </c>
      <c r="H2" s="16">
        <f t="shared" ref="H2:H33" si="0">E2-B2</f>
        <v>-40</v>
      </c>
      <c r="J2" s="18" cm="1">
        <f t="array" ref="J2:Q5">_xlfn._xlws.FILTER(A2:H60,MONTH(A2:A60)=1,"")</f>
        <v>43466</v>
      </c>
      <c r="K2" s="16">
        <v>1513</v>
      </c>
      <c r="L2" s="16">
        <v>1598</v>
      </c>
      <c r="M2" s="16">
        <v>1463</v>
      </c>
      <c r="N2" s="16">
        <v>1487</v>
      </c>
      <c r="O2" s="16">
        <v>1487</v>
      </c>
      <c r="P2" s="16">
        <v>2243100</v>
      </c>
      <c r="Q2" s="16">
        <v>-26</v>
      </c>
      <c r="R2" s="16">
        <f>Q2/K2*100</f>
        <v>-1.7184401850627893</v>
      </c>
      <c r="S2" s="16">
        <f>COUNT(Q2:Q5)</f>
        <v>4</v>
      </c>
      <c r="T2" s="18" cm="1">
        <f t="array" ref="T2:AA6">_xlfn._xlws.FILTER(A2:H60,MONTH(A2:A60)=2,"")</f>
        <v>43132</v>
      </c>
      <c r="U2" s="16">
        <v>1955</v>
      </c>
      <c r="V2" s="16">
        <v>1981</v>
      </c>
      <c r="W2" s="16">
        <v>1725</v>
      </c>
      <c r="X2" s="16">
        <v>1915</v>
      </c>
      <c r="Y2" s="16">
        <v>1915</v>
      </c>
      <c r="Z2" s="16">
        <v>1608600</v>
      </c>
      <c r="AA2" s="16">
        <v>-40</v>
      </c>
      <c r="AB2" s="16">
        <f>AA2/U2*100</f>
        <v>-2.0460358056265986</v>
      </c>
      <c r="AC2" s="16">
        <f>COUNT(AA2:AA6)</f>
        <v>5</v>
      </c>
      <c r="AD2" s="18" cm="1">
        <f t="array" ref="AD2:AK6">_xlfn._xlws.FILTER(A2:H60,MONTH(A2:A60)=3,"")</f>
        <v>43160</v>
      </c>
      <c r="AE2" s="16">
        <v>1930</v>
      </c>
      <c r="AF2" s="16">
        <v>1930</v>
      </c>
      <c r="AG2" s="16">
        <v>1636</v>
      </c>
      <c r="AH2" s="16">
        <v>1732</v>
      </c>
      <c r="AI2" s="16">
        <v>1732</v>
      </c>
      <c r="AJ2" s="16">
        <v>2520700</v>
      </c>
      <c r="AK2" s="16">
        <v>-198</v>
      </c>
      <c r="AL2" s="16">
        <f>AK2/AE2*100</f>
        <v>-10.259067357512954</v>
      </c>
      <c r="AM2" s="16">
        <f>COUNT(AK2:AK6)</f>
        <v>5</v>
      </c>
      <c r="AN2" s="18" cm="1">
        <f t="array" ref="AN2:AU6">_xlfn._xlws.FILTER(A2:H60,MONTH(A2:A60)=4,"")</f>
        <v>43191</v>
      </c>
      <c r="AO2" s="16">
        <v>1718</v>
      </c>
      <c r="AP2" s="16">
        <v>1838</v>
      </c>
      <c r="AQ2" s="16">
        <v>1651</v>
      </c>
      <c r="AR2" s="16">
        <v>1813</v>
      </c>
      <c r="AS2" s="16">
        <v>1813</v>
      </c>
      <c r="AT2" s="16">
        <v>1155000</v>
      </c>
      <c r="AU2" s="16">
        <v>95</v>
      </c>
      <c r="AV2" s="16">
        <f>AU2/AO2*100</f>
        <v>5.5296856810244464</v>
      </c>
      <c r="AW2" s="16">
        <f>COUNT(AU2:AU6)</f>
        <v>5</v>
      </c>
      <c r="AX2" s="18" cm="1">
        <f t="array" ref="AX2:BE6">_xlfn._xlws.FILTER(A2:H60,MONTH(A2:A60)=5,"")</f>
        <v>43221</v>
      </c>
      <c r="AY2" s="16">
        <v>1830</v>
      </c>
      <c r="AZ2" s="16">
        <v>1960</v>
      </c>
      <c r="BA2" s="16">
        <v>1770</v>
      </c>
      <c r="BB2" s="16">
        <v>1802</v>
      </c>
      <c r="BC2" s="16">
        <v>1802</v>
      </c>
      <c r="BD2" s="16">
        <v>1292400</v>
      </c>
      <c r="BE2" s="16">
        <v>-28</v>
      </c>
      <c r="BF2" s="16">
        <f>BE2/AY2*100</f>
        <v>-1.5300546448087431</v>
      </c>
      <c r="BG2" s="16">
        <f>COUNT(BE2:BE6)</f>
        <v>5</v>
      </c>
      <c r="BH2" s="18" cm="1">
        <f t="array" ref="BH2:BO6">_xlfn._xlws.FILTER(A2:H60,MONTH(A2:A60)=6,"")</f>
        <v>43252</v>
      </c>
      <c r="BI2" s="16">
        <v>1793</v>
      </c>
      <c r="BJ2" s="16">
        <v>1875</v>
      </c>
      <c r="BK2" s="16">
        <v>1711</v>
      </c>
      <c r="BL2" s="16">
        <v>1791</v>
      </c>
      <c r="BM2" s="16">
        <v>1791</v>
      </c>
      <c r="BN2" s="16">
        <v>944500</v>
      </c>
      <c r="BO2" s="16">
        <v>-2</v>
      </c>
      <c r="BP2" s="16">
        <f>BO2/BI2*100</f>
        <v>-0.11154489682097045</v>
      </c>
      <c r="BQ2" s="16">
        <f>COUNT(BO2:BO6)</f>
        <v>5</v>
      </c>
      <c r="BR2" s="18" cm="1">
        <f t="array" ref="BR2:BY6">_xlfn._xlws.FILTER(A2:H60,MONTH(A2:A60)=7,"")</f>
        <v>43282</v>
      </c>
      <c r="BS2" s="16">
        <v>1793</v>
      </c>
      <c r="BT2" s="16">
        <v>1847</v>
      </c>
      <c r="BU2" s="16">
        <v>1676</v>
      </c>
      <c r="BV2" s="16">
        <v>1797</v>
      </c>
      <c r="BW2" s="16">
        <v>1797</v>
      </c>
      <c r="BX2" s="16">
        <v>1032700</v>
      </c>
      <c r="BY2" s="16">
        <v>4</v>
      </c>
      <c r="BZ2" s="16">
        <f>BY2/BS2*100</f>
        <v>0.2230897936419409</v>
      </c>
      <c r="CA2" s="16">
        <f>COUNT(BY2:BY6)</f>
        <v>5</v>
      </c>
      <c r="CB2" s="18" cm="1">
        <f t="array" ref="CB2:CI6">_xlfn._xlws.FILTER(A2:H60,MONTH(A2:A60)=8,"")</f>
        <v>43313</v>
      </c>
      <c r="CC2" s="16">
        <v>1804</v>
      </c>
      <c r="CD2" s="16">
        <v>1871</v>
      </c>
      <c r="CE2" s="16">
        <v>1662</v>
      </c>
      <c r="CF2" s="16">
        <v>1780</v>
      </c>
      <c r="CG2" s="16">
        <v>1780</v>
      </c>
      <c r="CH2" s="16">
        <v>1131300</v>
      </c>
      <c r="CI2" s="16">
        <v>-24</v>
      </c>
      <c r="CJ2" s="16">
        <f>CI2/CC2*100</f>
        <v>-1.3303769401330376</v>
      </c>
      <c r="CK2" s="16">
        <f>COUNT(CI2:CI6)</f>
        <v>5</v>
      </c>
      <c r="CL2" s="18" cm="1">
        <f t="array" ref="CL2:CS6">_xlfn._xlws.FILTER(A2:H60,MONTH(A2:A60)=9,"")</f>
        <v>43344</v>
      </c>
      <c r="CM2" s="16">
        <v>1777</v>
      </c>
      <c r="CN2" s="16">
        <v>1796</v>
      </c>
      <c r="CO2" s="16">
        <v>1692</v>
      </c>
      <c r="CP2" s="16">
        <v>1756</v>
      </c>
      <c r="CQ2" s="16">
        <v>1756</v>
      </c>
      <c r="CR2" s="16">
        <v>924100</v>
      </c>
      <c r="CS2" s="16">
        <v>-21</v>
      </c>
      <c r="CT2" s="16">
        <f>CS2/CM2*100</f>
        <v>-1.1817670230725943</v>
      </c>
      <c r="CU2" s="16">
        <f>COUNT(CS2:CS6)</f>
        <v>5</v>
      </c>
      <c r="CV2" s="18" cm="1">
        <f t="array" ref="CV2:DC6">_xlfn._xlws.FILTER(A2:H60,MONTH(A2:A60)=10,"")</f>
        <v>43374</v>
      </c>
      <c r="CW2" s="16">
        <v>1758</v>
      </c>
      <c r="CX2" s="16">
        <v>1807</v>
      </c>
      <c r="CY2" s="16">
        <v>1526</v>
      </c>
      <c r="CZ2" s="16">
        <v>1620</v>
      </c>
      <c r="DA2" s="16">
        <v>1620</v>
      </c>
      <c r="DB2" s="16">
        <v>1249400</v>
      </c>
      <c r="DC2" s="16">
        <v>-138</v>
      </c>
      <c r="DD2" s="16">
        <f>DC2/CW2*100</f>
        <v>-7.8498293515358366</v>
      </c>
      <c r="DE2" s="16">
        <f>COUNT(DC2:DC6)</f>
        <v>5</v>
      </c>
      <c r="DF2" s="18" cm="1">
        <f t="array" ref="DF2:DM6">_xlfn._xlws.FILTER(A2:H60,MONTH(A2:A60)=11,"")</f>
        <v>43405</v>
      </c>
      <c r="DG2" s="16">
        <v>1621</v>
      </c>
      <c r="DH2" s="16">
        <v>1815</v>
      </c>
      <c r="DI2" s="16">
        <v>1621</v>
      </c>
      <c r="DJ2" s="16">
        <v>1798</v>
      </c>
      <c r="DK2" s="16">
        <v>1798</v>
      </c>
      <c r="DL2" s="16">
        <v>684700</v>
      </c>
      <c r="DM2" s="16">
        <v>177</v>
      </c>
      <c r="DN2" s="16">
        <f>DM2/DG2*100</f>
        <v>10.919185687847008</v>
      </c>
      <c r="DO2" s="16">
        <f>COUNT(DM2:DM6)</f>
        <v>5</v>
      </c>
      <c r="DP2" s="18" cm="1">
        <f t="array" ref="DP2:DW6">_xlfn._xlws.FILTER(A2:H60,MONTH(A2:A60)=12,"")</f>
        <v>43435</v>
      </c>
      <c r="DQ2" s="16">
        <v>1798</v>
      </c>
      <c r="DR2" s="16">
        <v>1827</v>
      </c>
      <c r="DS2" s="16">
        <v>1360</v>
      </c>
      <c r="DT2" s="16">
        <v>1542</v>
      </c>
      <c r="DU2" s="16">
        <v>1542</v>
      </c>
      <c r="DV2" s="16">
        <v>804500</v>
      </c>
      <c r="DW2" s="16">
        <v>-256</v>
      </c>
      <c r="DX2" s="16">
        <f>DW2/DQ2*100</f>
        <v>-14.238042269187986</v>
      </c>
      <c r="DY2" s="16">
        <f>COUNT(DW2:DW6)</f>
        <v>5</v>
      </c>
    </row>
    <row r="3" spans="1:129">
      <c r="A3" s="17">
        <v>43160</v>
      </c>
      <c r="B3" s="16">
        <v>1930</v>
      </c>
      <c r="C3" s="16">
        <v>1930</v>
      </c>
      <c r="D3" s="16">
        <v>1636</v>
      </c>
      <c r="E3" s="16">
        <v>1732</v>
      </c>
      <c r="F3" s="16">
        <v>1732</v>
      </c>
      <c r="G3" s="16">
        <v>2520700</v>
      </c>
      <c r="H3" s="16">
        <f t="shared" si="0"/>
        <v>-198</v>
      </c>
      <c r="J3" s="18">
        <v>43831</v>
      </c>
      <c r="K3" s="16">
        <v>2014</v>
      </c>
      <c r="L3" s="16">
        <v>2125</v>
      </c>
      <c r="M3" s="16">
        <v>1856</v>
      </c>
      <c r="N3" s="16">
        <v>1865</v>
      </c>
      <c r="O3" s="16">
        <v>1865</v>
      </c>
      <c r="P3" s="16">
        <v>4817600</v>
      </c>
      <c r="Q3" s="16">
        <v>-149</v>
      </c>
      <c r="R3" s="16">
        <f>Q3/K3*100</f>
        <v>-7.3982125124131075</v>
      </c>
      <c r="S3" s="16">
        <f>COUNTIF(Q2:Q5,"&gt;0")</f>
        <v>0</v>
      </c>
      <c r="T3" s="18">
        <v>43497</v>
      </c>
      <c r="U3" s="16">
        <v>1481</v>
      </c>
      <c r="V3" s="16">
        <v>1583</v>
      </c>
      <c r="W3" s="16">
        <v>1445</v>
      </c>
      <c r="X3" s="16">
        <v>1559</v>
      </c>
      <c r="Y3" s="16">
        <v>1559</v>
      </c>
      <c r="Z3" s="16">
        <v>822400</v>
      </c>
      <c r="AA3" s="16">
        <v>78</v>
      </c>
      <c r="AB3" s="16">
        <f>AA3/U3*100</f>
        <v>5.2667116812964219</v>
      </c>
      <c r="AC3" s="16">
        <f>COUNTIF(AA2:AA6,"&gt;0")</f>
        <v>2</v>
      </c>
      <c r="AD3" s="18">
        <v>43525</v>
      </c>
      <c r="AE3" s="16">
        <v>1563</v>
      </c>
      <c r="AF3" s="16">
        <v>1717</v>
      </c>
      <c r="AG3" s="16">
        <v>1537</v>
      </c>
      <c r="AH3" s="16">
        <v>1618</v>
      </c>
      <c r="AI3" s="16">
        <v>1618</v>
      </c>
      <c r="AJ3" s="16">
        <v>1439200</v>
      </c>
      <c r="AK3" s="16">
        <v>55</v>
      </c>
      <c r="AL3" s="16">
        <f>AK3/AE3*100</f>
        <v>3.5188739603326935</v>
      </c>
      <c r="AM3" s="16">
        <f>COUNTIF(AK2:AK6,"&gt;0")</f>
        <v>2</v>
      </c>
      <c r="AN3" s="18">
        <v>43556</v>
      </c>
      <c r="AO3" s="16">
        <v>1631</v>
      </c>
      <c r="AP3" s="16">
        <v>1755</v>
      </c>
      <c r="AQ3" s="16">
        <v>1631</v>
      </c>
      <c r="AR3" s="16">
        <v>1710</v>
      </c>
      <c r="AS3" s="16">
        <v>1710</v>
      </c>
      <c r="AT3" s="16">
        <v>733900</v>
      </c>
      <c r="AU3" s="16">
        <v>79</v>
      </c>
      <c r="AV3" s="16">
        <f>AU3/AO3*100</f>
        <v>4.8436541998773759</v>
      </c>
      <c r="AW3" s="16">
        <f>COUNTIF(AU2:AU6,"&gt;0")</f>
        <v>5</v>
      </c>
      <c r="AX3" s="18">
        <v>43586</v>
      </c>
      <c r="AY3" s="16">
        <v>1710</v>
      </c>
      <c r="AZ3" s="16">
        <v>1727</v>
      </c>
      <c r="BA3" s="16">
        <v>1536</v>
      </c>
      <c r="BB3" s="16">
        <v>1669</v>
      </c>
      <c r="BC3" s="16">
        <v>1669</v>
      </c>
      <c r="BD3" s="16">
        <v>733800</v>
      </c>
      <c r="BE3" s="16">
        <v>-41</v>
      </c>
      <c r="BF3" s="16">
        <f>BE3/AY3*100</f>
        <v>-2.39766081871345</v>
      </c>
      <c r="BG3" s="16">
        <f>COUNTIF(BE2:BE6,"&gt;0")</f>
        <v>2</v>
      </c>
      <c r="BH3" s="18">
        <v>43617</v>
      </c>
      <c r="BI3" s="16">
        <v>1659</v>
      </c>
      <c r="BJ3" s="16">
        <v>1777</v>
      </c>
      <c r="BK3" s="16">
        <v>1630</v>
      </c>
      <c r="BL3" s="16">
        <v>1766</v>
      </c>
      <c r="BM3" s="16">
        <v>1766</v>
      </c>
      <c r="BN3" s="16">
        <v>821200</v>
      </c>
      <c r="BO3" s="16">
        <v>107</v>
      </c>
      <c r="BP3" s="16">
        <f>BO3/BI3*100</f>
        <v>6.4496684749849305</v>
      </c>
      <c r="BQ3" s="16">
        <f>COUNTIF(BO2:BO6,"&gt;0")</f>
        <v>3</v>
      </c>
      <c r="BR3" s="18">
        <v>43647</v>
      </c>
      <c r="BS3" s="16">
        <v>1790</v>
      </c>
      <c r="BT3" s="16">
        <v>1903</v>
      </c>
      <c r="BU3" s="16">
        <v>1785</v>
      </c>
      <c r="BV3" s="16">
        <v>1810</v>
      </c>
      <c r="BW3" s="16">
        <v>1810</v>
      </c>
      <c r="BX3" s="16">
        <v>1379000</v>
      </c>
      <c r="BY3" s="16">
        <v>20</v>
      </c>
      <c r="BZ3" s="16">
        <f>BY3/BS3*100</f>
        <v>1.1173184357541899</v>
      </c>
      <c r="CA3" s="16">
        <f>COUNTIF(BY2:BY6,"&gt;0")</f>
        <v>2</v>
      </c>
      <c r="CB3" s="18">
        <v>43678</v>
      </c>
      <c r="CC3" s="16">
        <v>1803</v>
      </c>
      <c r="CD3" s="16">
        <v>1819</v>
      </c>
      <c r="CE3" s="16">
        <v>1681</v>
      </c>
      <c r="CF3" s="16">
        <v>1752</v>
      </c>
      <c r="CG3" s="16">
        <v>1752</v>
      </c>
      <c r="CH3" s="16">
        <v>1278300</v>
      </c>
      <c r="CI3" s="16">
        <v>-51</v>
      </c>
      <c r="CJ3" s="16">
        <f>CI3/CC3*100</f>
        <v>-2.828618968386023</v>
      </c>
      <c r="CK3" s="16">
        <f>COUNTIF(CI2:CI6,"&gt;0")</f>
        <v>2</v>
      </c>
      <c r="CL3" s="18">
        <v>43709</v>
      </c>
      <c r="CM3" s="16">
        <v>1738</v>
      </c>
      <c r="CN3" s="16">
        <v>1929</v>
      </c>
      <c r="CO3" s="16">
        <v>1721</v>
      </c>
      <c r="CP3" s="16">
        <v>1849</v>
      </c>
      <c r="CQ3" s="16">
        <v>1849</v>
      </c>
      <c r="CR3" s="16">
        <v>979100</v>
      </c>
      <c r="CS3" s="16">
        <v>111</v>
      </c>
      <c r="CT3" s="16">
        <f>CS3/CM3*100</f>
        <v>6.3866513233601845</v>
      </c>
      <c r="CU3" s="16">
        <f>COUNTIF(CS2:CS6,"&gt;0")</f>
        <v>2</v>
      </c>
      <c r="CV3" s="18">
        <v>43739</v>
      </c>
      <c r="CW3" s="16">
        <v>1843</v>
      </c>
      <c r="CX3" s="16">
        <v>1974</v>
      </c>
      <c r="CY3" s="16">
        <v>1795</v>
      </c>
      <c r="CZ3" s="16">
        <v>1928</v>
      </c>
      <c r="DA3" s="16">
        <v>1928</v>
      </c>
      <c r="DB3" s="16">
        <v>669500</v>
      </c>
      <c r="DC3" s="16">
        <v>85</v>
      </c>
      <c r="DD3" s="16">
        <f>DC3/CW3*100</f>
        <v>4.6120455778621814</v>
      </c>
      <c r="DE3" s="16">
        <f>COUNTIF(DC2:DC6,"&gt;0")</f>
        <v>3</v>
      </c>
      <c r="DF3" s="18">
        <v>43770</v>
      </c>
      <c r="DG3" s="16">
        <v>1928</v>
      </c>
      <c r="DH3" s="16">
        <v>2074</v>
      </c>
      <c r="DI3" s="16">
        <v>1896</v>
      </c>
      <c r="DJ3" s="16">
        <v>2032</v>
      </c>
      <c r="DK3" s="16">
        <v>2032</v>
      </c>
      <c r="DL3" s="16">
        <v>1387600</v>
      </c>
      <c r="DM3" s="16">
        <v>104</v>
      </c>
      <c r="DN3" s="16">
        <f>DM3/DG3*100</f>
        <v>5.394190871369295</v>
      </c>
      <c r="DO3" s="16">
        <f>COUNTIF(DM2:DM6,"&gt;0")</f>
        <v>3</v>
      </c>
      <c r="DP3" s="18">
        <v>43800</v>
      </c>
      <c r="DQ3" s="16">
        <v>2030</v>
      </c>
      <c r="DR3" s="16">
        <v>2074</v>
      </c>
      <c r="DS3" s="16">
        <v>1990</v>
      </c>
      <c r="DT3" s="16">
        <v>2029</v>
      </c>
      <c r="DU3" s="16">
        <v>2029</v>
      </c>
      <c r="DV3" s="16">
        <v>1823500</v>
      </c>
      <c r="DW3" s="16">
        <v>-1</v>
      </c>
      <c r="DX3" s="16">
        <f>DW3/DQ3*100</f>
        <v>-4.926108374384236E-2</v>
      </c>
      <c r="DY3" s="16">
        <f>COUNTIF(DW2:DW6,"&gt;0")</f>
        <v>2</v>
      </c>
    </row>
    <row r="4" spans="1:129">
      <c r="A4" s="17">
        <v>43191</v>
      </c>
      <c r="B4" s="16">
        <v>1718</v>
      </c>
      <c r="C4" s="16">
        <v>1838</v>
      </c>
      <c r="D4" s="16">
        <v>1651</v>
      </c>
      <c r="E4" s="16">
        <v>1813</v>
      </c>
      <c r="F4" s="16">
        <v>1813</v>
      </c>
      <c r="G4" s="16">
        <v>1155000</v>
      </c>
      <c r="H4" s="16">
        <f t="shared" si="0"/>
        <v>95</v>
      </c>
      <c r="J4" s="18">
        <v>44200</v>
      </c>
      <c r="K4" s="16">
        <v>3215</v>
      </c>
      <c r="L4" s="16">
        <v>3700</v>
      </c>
      <c r="M4" s="16">
        <v>2930</v>
      </c>
      <c r="N4" s="16">
        <v>2930</v>
      </c>
      <c r="O4" s="16">
        <v>2930</v>
      </c>
      <c r="P4" s="16">
        <v>7468000</v>
      </c>
      <c r="Q4" s="16">
        <v>-285</v>
      </c>
      <c r="R4" s="16">
        <f>Q4/K4*100</f>
        <v>-8.8646967340590983</v>
      </c>
      <c r="S4" s="19">
        <f>S3/S2*100</f>
        <v>0</v>
      </c>
      <c r="T4" s="18">
        <v>43862</v>
      </c>
      <c r="U4" s="16">
        <v>1802</v>
      </c>
      <c r="V4" s="16">
        <v>1966</v>
      </c>
      <c r="W4" s="16">
        <v>1763</v>
      </c>
      <c r="X4" s="16">
        <v>1766</v>
      </c>
      <c r="Y4" s="16">
        <v>1766</v>
      </c>
      <c r="Z4" s="16">
        <v>2561100</v>
      </c>
      <c r="AA4" s="16">
        <v>-36</v>
      </c>
      <c r="AB4" s="16">
        <f>AA4/U4*100</f>
        <v>-1.9977802441731412</v>
      </c>
      <c r="AC4" s="19">
        <f>AC3/AC2*100</f>
        <v>40</v>
      </c>
      <c r="AD4" s="18">
        <v>43891</v>
      </c>
      <c r="AE4" s="16">
        <v>1736</v>
      </c>
      <c r="AF4" s="16">
        <v>2078</v>
      </c>
      <c r="AG4" s="16">
        <v>1600</v>
      </c>
      <c r="AH4" s="16">
        <v>2059</v>
      </c>
      <c r="AI4" s="16">
        <v>2059</v>
      </c>
      <c r="AJ4" s="16">
        <v>8356600</v>
      </c>
      <c r="AK4" s="16">
        <v>323</v>
      </c>
      <c r="AL4" s="16">
        <f>AK4/AE4*100</f>
        <v>18.605990783410139</v>
      </c>
      <c r="AM4" s="19">
        <f>AM3/AM2*100</f>
        <v>40</v>
      </c>
      <c r="AN4" s="18">
        <v>43922</v>
      </c>
      <c r="AO4" s="16">
        <v>2058</v>
      </c>
      <c r="AP4" s="16">
        <v>2499</v>
      </c>
      <c r="AQ4" s="16">
        <v>1974</v>
      </c>
      <c r="AR4" s="16">
        <v>2434</v>
      </c>
      <c r="AS4" s="16">
        <v>2434</v>
      </c>
      <c r="AT4" s="16">
        <v>3963200</v>
      </c>
      <c r="AU4" s="16">
        <v>376</v>
      </c>
      <c r="AV4" s="16">
        <f>AU4/AO4*100</f>
        <v>18.270165208940721</v>
      </c>
      <c r="AW4" s="19">
        <f>AW3/AW2*100</f>
        <v>100</v>
      </c>
      <c r="AX4" s="18">
        <v>43952</v>
      </c>
      <c r="AY4" s="16">
        <v>2406</v>
      </c>
      <c r="AZ4" s="16">
        <v>2772</v>
      </c>
      <c r="BA4" s="16">
        <v>2380</v>
      </c>
      <c r="BB4" s="16">
        <v>2672</v>
      </c>
      <c r="BC4" s="16">
        <v>2672</v>
      </c>
      <c r="BD4" s="16">
        <v>2362400</v>
      </c>
      <c r="BE4" s="16">
        <v>266</v>
      </c>
      <c r="BF4" s="16">
        <f>BE4/AY4*100</f>
        <v>11.055694098088113</v>
      </c>
      <c r="BG4" s="19">
        <f>BG3/BG2*100</f>
        <v>40</v>
      </c>
      <c r="BH4" s="18">
        <v>43983</v>
      </c>
      <c r="BI4" s="16">
        <v>2699</v>
      </c>
      <c r="BJ4" s="16">
        <v>2947</v>
      </c>
      <c r="BK4" s="16">
        <v>2663</v>
      </c>
      <c r="BL4" s="16">
        <v>2922</v>
      </c>
      <c r="BM4" s="16">
        <v>2922</v>
      </c>
      <c r="BN4" s="16">
        <v>2146500</v>
      </c>
      <c r="BO4" s="16">
        <v>223</v>
      </c>
      <c r="BP4" s="16">
        <f>BO4/BI4*100</f>
        <v>8.2623193775472394</v>
      </c>
      <c r="BQ4" s="19">
        <f>BQ3/BQ2*100</f>
        <v>60</v>
      </c>
      <c r="BR4" s="18">
        <v>44013</v>
      </c>
      <c r="BS4" s="16">
        <v>2972</v>
      </c>
      <c r="BT4" s="16">
        <v>3270</v>
      </c>
      <c r="BU4" s="16">
        <v>2896</v>
      </c>
      <c r="BV4" s="16">
        <v>2930</v>
      </c>
      <c r="BW4" s="16">
        <v>2930</v>
      </c>
      <c r="BX4" s="16">
        <v>2458700</v>
      </c>
      <c r="BY4" s="16">
        <v>-42</v>
      </c>
      <c r="BZ4" s="16">
        <f>BY4/BS4*100</f>
        <v>-1.4131897711978465</v>
      </c>
      <c r="CA4" s="19">
        <f>CA3/CA2*100</f>
        <v>40</v>
      </c>
      <c r="CB4" s="18">
        <v>44044</v>
      </c>
      <c r="CC4" s="16">
        <v>2939</v>
      </c>
      <c r="CD4" s="16">
        <v>3070</v>
      </c>
      <c r="CE4" s="16">
        <v>2846</v>
      </c>
      <c r="CF4" s="16">
        <v>2993</v>
      </c>
      <c r="CG4" s="16">
        <v>2993</v>
      </c>
      <c r="CH4" s="16">
        <v>1112800</v>
      </c>
      <c r="CI4" s="16">
        <v>54</v>
      </c>
      <c r="CJ4" s="16">
        <f>CI4/CC4*100</f>
        <v>1.8373596461381421</v>
      </c>
      <c r="CK4" s="19">
        <f>CK3/CK2*100</f>
        <v>40</v>
      </c>
      <c r="CL4" s="18">
        <v>44075</v>
      </c>
      <c r="CM4" s="16">
        <v>2976</v>
      </c>
      <c r="CN4" s="16">
        <v>2990</v>
      </c>
      <c r="CO4" s="16">
        <v>2631</v>
      </c>
      <c r="CP4" s="16">
        <v>2921</v>
      </c>
      <c r="CQ4" s="16">
        <v>2921</v>
      </c>
      <c r="CR4" s="16">
        <v>4193400</v>
      </c>
      <c r="CS4" s="16">
        <v>-55</v>
      </c>
      <c r="CT4" s="16">
        <f>CS4/CM4*100</f>
        <v>-1.8481182795698925</v>
      </c>
      <c r="CU4" s="19">
        <f>CU3/CU2*100</f>
        <v>40</v>
      </c>
      <c r="CV4" s="18">
        <v>44105</v>
      </c>
      <c r="CW4" s="16">
        <v>2924</v>
      </c>
      <c r="CX4" s="16">
        <v>3030</v>
      </c>
      <c r="CY4" s="16">
        <v>2792</v>
      </c>
      <c r="CZ4" s="16">
        <v>2882</v>
      </c>
      <c r="DA4" s="16">
        <v>2882</v>
      </c>
      <c r="DB4" s="16">
        <v>2389700</v>
      </c>
      <c r="DC4" s="16">
        <v>-42</v>
      </c>
      <c r="DD4" s="16">
        <f>DC4/CW4*100</f>
        <v>-1.4363885088919288</v>
      </c>
      <c r="DE4" s="19">
        <f>DE3/DE2*100</f>
        <v>60</v>
      </c>
      <c r="DF4" s="18">
        <v>44136</v>
      </c>
      <c r="DG4" s="16">
        <v>2907</v>
      </c>
      <c r="DH4" s="16">
        <v>3080</v>
      </c>
      <c r="DI4" s="16">
        <v>2752</v>
      </c>
      <c r="DJ4" s="16">
        <v>2752</v>
      </c>
      <c r="DK4" s="16">
        <v>2752</v>
      </c>
      <c r="DL4" s="16">
        <v>2222800</v>
      </c>
      <c r="DM4" s="16">
        <v>-155</v>
      </c>
      <c r="DN4" s="16">
        <f>DM4/DG4*100</f>
        <v>-5.3319573443412454</v>
      </c>
      <c r="DO4" s="19">
        <f>DO3/DO2*100</f>
        <v>60</v>
      </c>
      <c r="DP4" s="18">
        <v>44166</v>
      </c>
      <c r="DQ4" s="16">
        <v>2760</v>
      </c>
      <c r="DR4" s="16">
        <v>3195</v>
      </c>
      <c r="DS4" s="16">
        <v>2661</v>
      </c>
      <c r="DT4" s="16">
        <v>3180</v>
      </c>
      <c r="DU4" s="16">
        <v>3180</v>
      </c>
      <c r="DV4" s="16">
        <v>4080000</v>
      </c>
      <c r="DW4" s="16">
        <v>420</v>
      </c>
      <c r="DX4" s="16">
        <f>DW4/DQ4*100</f>
        <v>15.217391304347828</v>
      </c>
      <c r="DY4" s="19">
        <f>DY3/DY2*100</f>
        <v>40</v>
      </c>
    </row>
    <row r="5" spans="1:129">
      <c r="A5" s="17">
        <v>43221</v>
      </c>
      <c r="B5" s="16">
        <v>1830</v>
      </c>
      <c r="C5" s="16">
        <v>1960</v>
      </c>
      <c r="D5" s="16">
        <v>1770</v>
      </c>
      <c r="E5" s="16">
        <v>1802</v>
      </c>
      <c r="F5" s="16">
        <v>1802</v>
      </c>
      <c r="G5" s="16">
        <v>1292400</v>
      </c>
      <c r="H5" s="16">
        <f t="shared" si="0"/>
        <v>-28</v>
      </c>
      <c r="J5" s="18">
        <v>44565</v>
      </c>
      <c r="K5" s="16">
        <v>2414</v>
      </c>
      <c r="L5" s="16">
        <v>2443</v>
      </c>
      <c r="M5" s="16">
        <v>2157</v>
      </c>
      <c r="N5" s="16">
        <v>2162</v>
      </c>
      <c r="O5" s="16">
        <v>2162</v>
      </c>
      <c r="P5" s="16">
        <v>6667500</v>
      </c>
      <c r="Q5" s="16">
        <v>-252</v>
      </c>
      <c r="R5" s="16">
        <f>Q5/K5*100</f>
        <v>-10.439105219552609</v>
      </c>
      <c r="S5" s="16">
        <f>AVERAGE(R2:R5)</f>
        <v>-7.1051136627719007</v>
      </c>
      <c r="T5" s="18">
        <v>44228</v>
      </c>
      <c r="U5" s="16">
        <v>2880</v>
      </c>
      <c r="V5" s="16">
        <v>2975</v>
      </c>
      <c r="W5" s="16">
        <v>2680</v>
      </c>
      <c r="X5" s="16">
        <v>2703</v>
      </c>
      <c r="Y5" s="16">
        <v>2703</v>
      </c>
      <c r="Z5" s="16">
        <v>3416200</v>
      </c>
      <c r="AA5" s="16">
        <v>-177</v>
      </c>
      <c r="AB5" s="16">
        <f>AA5/U5*100</f>
        <v>-6.145833333333333</v>
      </c>
      <c r="AC5" s="16">
        <f>AVERAGE(AB2:AB6)</f>
        <v>-0.81799799848857047</v>
      </c>
      <c r="AD5" s="18">
        <v>44256</v>
      </c>
      <c r="AE5" s="16">
        <v>2714</v>
      </c>
      <c r="AF5" s="16">
        <v>2822</v>
      </c>
      <c r="AG5" s="16">
        <v>2593</v>
      </c>
      <c r="AH5" s="16">
        <v>2670</v>
      </c>
      <c r="AI5" s="16">
        <v>2670</v>
      </c>
      <c r="AJ5" s="16">
        <v>6359500</v>
      </c>
      <c r="AK5" s="16">
        <v>-44</v>
      </c>
      <c r="AL5" s="16">
        <f>AK5/AE5*100</f>
        <v>-1.6212232866617537</v>
      </c>
      <c r="AM5" s="16">
        <f>AVERAGE(AL2:AL6)</f>
        <v>0.35149784574388326</v>
      </c>
      <c r="AN5" s="18">
        <v>44287</v>
      </c>
      <c r="AO5" s="16">
        <v>2681</v>
      </c>
      <c r="AP5" s="16">
        <v>2760</v>
      </c>
      <c r="AQ5" s="16">
        <v>2666</v>
      </c>
      <c r="AR5" s="16">
        <v>2702</v>
      </c>
      <c r="AS5" s="16">
        <v>2702</v>
      </c>
      <c r="AT5" s="16">
        <v>2088300</v>
      </c>
      <c r="AU5" s="16">
        <v>21</v>
      </c>
      <c r="AV5" s="16">
        <f>AU5/AO5*100</f>
        <v>0.7832898172323759</v>
      </c>
      <c r="AW5" s="16">
        <f>AVERAGE(AV2:AV6)</f>
        <v>6.5621266581826605</v>
      </c>
      <c r="AX5" s="18">
        <v>44322</v>
      </c>
      <c r="AY5" s="16">
        <v>2705</v>
      </c>
      <c r="AZ5" s="16">
        <v>2743</v>
      </c>
      <c r="BA5" s="16">
        <v>2552</v>
      </c>
      <c r="BB5" s="16">
        <v>2670</v>
      </c>
      <c r="BC5" s="16">
        <v>2670</v>
      </c>
      <c r="BD5" s="16">
        <v>1889800</v>
      </c>
      <c r="BE5" s="16">
        <v>-35</v>
      </c>
      <c r="BF5" s="16">
        <f>BE5/AY5*100</f>
        <v>-1.2939001848428837</v>
      </c>
      <c r="BG5" s="16">
        <f>AVERAGE(BF2:BF6)</f>
        <v>1.7924266381362002</v>
      </c>
      <c r="BH5" s="18">
        <v>44348</v>
      </c>
      <c r="BI5" s="16">
        <v>2613</v>
      </c>
      <c r="BJ5" s="16">
        <v>2641</v>
      </c>
      <c r="BK5" s="16">
        <v>2475</v>
      </c>
      <c r="BL5" s="16">
        <v>2598</v>
      </c>
      <c r="BM5" s="16">
        <v>2598</v>
      </c>
      <c r="BN5" s="16">
        <v>3382100</v>
      </c>
      <c r="BO5" s="16">
        <v>-15</v>
      </c>
      <c r="BP5" s="16">
        <f>BO5/BI5*100</f>
        <v>-0.57405281285878307</v>
      </c>
      <c r="BQ5" s="16">
        <f>AVERAGE(BP2:BP6)</f>
        <v>3.0858210149958225</v>
      </c>
      <c r="BR5" s="18">
        <v>44378</v>
      </c>
      <c r="BS5" s="16">
        <v>2618</v>
      </c>
      <c r="BT5" s="16">
        <v>2692</v>
      </c>
      <c r="BU5" s="16">
        <v>2363</v>
      </c>
      <c r="BV5" s="16">
        <v>2411</v>
      </c>
      <c r="BW5" s="16">
        <v>2411</v>
      </c>
      <c r="BX5" s="16">
        <v>3949900</v>
      </c>
      <c r="BY5" s="16">
        <v>-207</v>
      </c>
      <c r="BZ5" s="16">
        <f>BY5/BS5*100</f>
        <v>-7.9067990832696724</v>
      </c>
      <c r="CA5" s="16">
        <f>AVERAGE(BZ2:BZ6)</f>
        <v>-1.7026776908505767</v>
      </c>
      <c r="CB5" s="18">
        <v>44410</v>
      </c>
      <c r="CC5" s="16">
        <v>2420</v>
      </c>
      <c r="CD5" s="16">
        <v>2428</v>
      </c>
      <c r="CE5" s="16">
        <v>2156</v>
      </c>
      <c r="CF5" s="16">
        <v>2294</v>
      </c>
      <c r="CG5" s="16">
        <v>2294</v>
      </c>
      <c r="CH5" s="16">
        <v>3269000</v>
      </c>
      <c r="CI5" s="16">
        <v>-126</v>
      </c>
      <c r="CJ5" s="16">
        <f>CI5/CC5*100</f>
        <v>-5.2066115702479339</v>
      </c>
      <c r="CK5" s="16">
        <f>AVERAGE(CJ2:CJ6)</f>
        <v>-1.1210341819103857</v>
      </c>
      <c r="CL5" s="18">
        <v>44440</v>
      </c>
      <c r="CM5" s="16">
        <v>2294</v>
      </c>
      <c r="CN5" s="16">
        <v>2472</v>
      </c>
      <c r="CO5" s="16">
        <v>2236</v>
      </c>
      <c r="CP5" s="16">
        <v>2344</v>
      </c>
      <c r="CQ5" s="16">
        <v>2344</v>
      </c>
      <c r="CR5" s="16">
        <v>2965900</v>
      </c>
      <c r="CS5" s="16">
        <v>50</v>
      </c>
      <c r="CT5" s="16">
        <f>CS5/CM5*100</f>
        <v>2.1795989537925022</v>
      </c>
      <c r="CU5" s="16">
        <f>AVERAGE(CT2:CT6)</f>
        <v>-1.2593936717646268</v>
      </c>
      <c r="CV5" s="18">
        <v>44470</v>
      </c>
      <c r="CW5" s="16">
        <v>2344</v>
      </c>
      <c r="CX5" s="16">
        <v>2378</v>
      </c>
      <c r="CY5" s="16">
        <v>2245</v>
      </c>
      <c r="CZ5" s="16">
        <v>2370</v>
      </c>
      <c r="DA5" s="16">
        <v>2370</v>
      </c>
      <c r="DB5" s="16">
        <v>2832000</v>
      </c>
      <c r="DC5" s="16">
        <v>26</v>
      </c>
      <c r="DD5" s="16">
        <f>DC5/CW5*100</f>
        <v>1.1092150170648465</v>
      </c>
      <c r="DE5" s="16">
        <f>AVERAGE(DD2:DD6)</f>
        <v>1.24873103493813</v>
      </c>
      <c r="DF5" s="18">
        <v>44501</v>
      </c>
      <c r="DG5" s="16">
        <v>2380</v>
      </c>
      <c r="DH5" s="16">
        <v>2434</v>
      </c>
      <c r="DI5" s="16">
        <v>2221</v>
      </c>
      <c r="DJ5" s="16">
        <v>2249</v>
      </c>
      <c r="DK5" s="16">
        <v>2249</v>
      </c>
      <c r="DL5" s="16">
        <v>3460900</v>
      </c>
      <c r="DM5" s="16">
        <v>-131</v>
      </c>
      <c r="DN5" s="16">
        <f>DM5/DG5*100</f>
        <v>-5.5042016806722689</v>
      </c>
      <c r="DO5" s="16">
        <f>AVERAGE(DN2:DN6)</f>
        <v>1.5217157991415582</v>
      </c>
      <c r="DP5" s="18">
        <v>44531</v>
      </c>
      <c r="DQ5" s="16">
        <v>2251</v>
      </c>
      <c r="DR5" s="16">
        <v>2410</v>
      </c>
      <c r="DS5" s="16">
        <v>2165</v>
      </c>
      <c r="DT5" s="16">
        <v>2398</v>
      </c>
      <c r="DU5" s="16">
        <v>2398</v>
      </c>
      <c r="DV5" s="16">
        <v>3553400</v>
      </c>
      <c r="DW5" s="16">
        <v>147</v>
      </c>
      <c r="DX5" s="16">
        <f>DW5/DQ5*100</f>
        <v>6.5304309195912928</v>
      </c>
      <c r="DY5" s="16">
        <f>AVERAGE(DX2:DX6)</f>
        <v>1.2391526780800421</v>
      </c>
    </row>
    <row r="6" spans="1:129">
      <c r="A6" s="17">
        <v>43252</v>
      </c>
      <c r="B6" s="16">
        <v>1793</v>
      </c>
      <c r="C6" s="16">
        <v>1875</v>
      </c>
      <c r="D6" s="16">
        <v>1711</v>
      </c>
      <c r="E6" s="16">
        <v>1791</v>
      </c>
      <c r="F6" s="16">
        <v>1791</v>
      </c>
      <c r="G6" s="16">
        <v>944500</v>
      </c>
      <c r="H6" s="16">
        <f t="shared" si="0"/>
        <v>-2</v>
      </c>
      <c r="S6" s="16">
        <f>MEDIAN(R2:R5)</f>
        <v>-8.1314546232361025</v>
      </c>
      <c r="T6" s="18">
        <v>44593</v>
      </c>
      <c r="U6" s="16">
        <v>2161</v>
      </c>
      <c r="V6" s="16">
        <v>2195</v>
      </c>
      <c r="W6" s="16">
        <v>2019</v>
      </c>
      <c r="X6" s="16">
        <v>2179</v>
      </c>
      <c r="Y6" s="16">
        <v>2179</v>
      </c>
      <c r="Z6" s="16">
        <v>4078500</v>
      </c>
      <c r="AA6" s="16">
        <v>18</v>
      </c>
      <c r="AB6" s="16">
        <f>AA6/U6*100</f>
        <v>0.83294770939379914</v>
      </c>
      <c r="AC6" s="16">
        <f>MEDIAN(AB2:AB6)</f>
        <v>-1.9977802441731412</v>
      </c>
      <c r="AD6" s="18">
        <v>44621</v>
      </c>
      <c r="AE6" s="16">
        <v>2168</v>
      </c>
      <c r="AF6" s="16">
        <v>2196</v>
      </c>
      <c r="AG6" s="16">
        <v>1760</v>
      </c>
      <c r="AH6" s="16">
        <v>1984</v>
      </c>
      <c r="AI6" s="16">
        <v>1984</v>
      </c>
      <c r="AJ6" s="16">
        <v>5092900</v>
      </c>
      <c r="AK6" s="16">
        <v>-184</v>
      </c>
      <c r="AL6" s="16">
        <f>AK6/AE6*100</f>
        <v>-8.4870848708487081</v>
      </c>
      <c r="AM6" s="16">
        <f>MEDIAN(AL2:AL6)</f>
        <v>-1.6212232866617537</v>
      </c>
      <c r="AN6" s="18">
        <v>44652</v>
      </c>
      <c r="AO6" s="16">
        <v>1980</v>
      </c>
      <c r="AP6" s="16">
        <v>2048</v>
      </c>
      <c r="AQ6" s="16">
        <v>1919</v>
      </c>
      <c r="AR6" s="16">
        <v>2047</v>
      </c>
      <c r="AS6" s="16">
        <v>2047</v>
      </c>
      <c r="AT6" s="16">
        <v>1946700</v>
      </c>
      <c r="AU6" s="16">
        <v>67</v>
      </c>
      <c r="AV6" s="16">
        <f>AU6/AO6*100</f>
        <v>3.3838383838383841</v>
      </c>
      <c r="AW6" s="16">
        <f>MEDIAN(AV2:AV6)</f>
        <v>4.8436541998773759</v>
      </c>
      <c r="AX6" s="18">
        <v>44683</v>
      </c>
      <c r="AY6" s="16">
        <v>2046</v>
      </c>
      <c r="AZ6" s="16">
        <v>2141</v>
      </c>
      <c r="BA6" s="16">
        <v>2026</v>
      </c>
      <c r="BB6" s="16">
        <v>2110</v>
      </c>
      <c r="BC6" s="16">
        <v>2110</v>
      </c>
      <c r="BD6" s="16">
        <v>1574700</v>
      </c>
      <c r="BE6" s="16">
        <v>64</v>
      </c>
      <c r="BF6" s="16">
        <f>BE6/AY6*100</f>
        <v>3.1280547409579667</v>
      </c>
      <c r="BG6" s="16">
        <f>MEDIAN(BF2:BF6)</f>
        <v>-1.2939001848428837</v>
      </c>
      <c r="BH6" s="18">
        <v>44713</v>
      </c>
      <c r="BI6" s="16">
        <v>2210</v>
      </c>
      <c r="BJ6" s="16">
        <v>2356</v>
      </c>
      <c r="BK6" s="16">
        <v>2154</v>
      </c>
      <c r="BL6" s="16">
        <v>2241</v>
      </c>
      <c r="BM6" s="16">
        <v>2241</v>
      </c>
      <c r="BN6" s="16">
        <v>3199400</v>
      </c>
      <c r="BO6" s="16">
        <v>31</v>
      </c>
      <c r="BP6" s="16">
        <f>BO6/BI6*100</f>
        <v>1.402714932126697</v>
      </c>
      <c r="BQ6" s="16">
        <f>MEDIAN(BP2:BP6)</f>
        <v>1.402714932126697</v>
      </c>
      <c r="BR6" s="18">
        <v>44743</v>
      </c>
      <c r="BS6" s="16">
        <v>2248</v>
      </c>
      <c r="BT6" s="16">
        <v>2349</v>
      </c>
      <c r="BU6" s="16">
        <v>2207</v>
      </c>
      <c r="BV6" s="16">
        <v>2236</v>
      </c>
      <c r="BW6" s="16">
        <v>2236</v>
      </c>
      <c r="BX6" s="16">
        <v>3104500</v>
      </c>
      <c r="BY6" s="16">
        <v>-12</v>
      </c>
      <c r="BZ6" s="16">
        <f>BY6/BS6*100</f>
        <v>-0.53380782918149472</v>
      </c>
      <c r="CA6" s="16">
        <f>MEDIAN(BZ2:BZ6)</f>
        <v>-0.53380782918149472</v>
      </c>
      <c r="CB6" s="18">
        <v>44774</v>
      </c>
      <c r="CC6" s="16">
        <v>2236</v>
      </c>
      <c r="CD6" s="16">
        <v>2358</v>
      </c>
      <c r="CE6" s="16">
        <v>2216</v>
      </c>
      <c r="CF6" s="16">
        <v>2279</v>
      </c>
      <c r="CG6" s="16">
        <v>2279</v>
      </c>
      <c r="CH6" s="16">
        <v>3078900</v>
      </c>
      <c r="CI6" s="16">
        <v>43</v>
      </c>
      <c r="CJ6" s="16">
        <f>CI6/CC6*100</f>
        <v>1.9230769230769231</v>
      </c>
      <c r="CK6" s="16">
        <f>MEDIAN(CJ2:CJ6)</f>
        <v>-1.3303769401330376</v>
      </c>
      <c r="CL6" s="18">
        <v>44805</v>
      </c>
      <c r="CM6" s="16">
        <v>2400</v>
      </c>
      <c r="CN6" s="16">
        <v>2598</v>
      </c>
      <c r="CO6" s="16">
        <v>2103</v>
      </c>
      <c r="CP6" s="16">
        <v>2116</v>
      </c>
      <c r="CQ6" s="16">
        <v>2116</v>
      </c>
      <c r="CR6" s="16">
        <v>6952600</v>
      </c>
      <c r="CS6" s="16">
        <v>-284</v>
      </c>
      <c r="CT6" s="16">
        <f>CS6/CM6*100</f>
        <v>-11.833333333333334</v>
      </c>
      <c r="CU6" s="16">
        <f>MEDIAN(CT2:CT6)</f>
        <v>-1.1817670230725943</v>
      </c>
      <c r="CV6" s="18">
        <v>44837</v>
      </c>
      <c r="CW6" s="16">
        <v>2090</v>
      </c>
      <c r="CX6" s="16">
        <v>2295</v>
      </c>
      <c r="CY6" s="16">
        <v>2059</v>
      </c>
      <c r="CZ6" s="16">
        <v>2295</v>
      </c>
      <c r="DA6" s="16">
        <v>2295</v>
      </c>
      <c r="DB6" s="16">
        <v>2448500</v>
      </c>
      <c r="DC6" s="16">
        <v>205</v>
      </c>
      <c r="DD6" s="16">
        <f>DC6/CW6*100</f>
        <v>9.8086124401913874</v>
      </c>
      <c r="DE6" s="16">
        <f>MEDIAN(DD2:DD6)</f>
        <v>1.1092150170648465</v>
      </c>
      <c r="DF6" s="18">
        <v>44866</v>
      </c>
      <c r="DG6" s="16">
        <v>2299</v>
      </c>
      <c r="DH6" s="16">
        <v>2434</v>
      </c>
      <c r="DI6" s="16">
        <v>2225</v>
      </c>
      <c r="DJ6" s="16">
        <v>2348</v>
      </c>
      <c r="DK6" s="16">
        <v>2348</v>
      </c>
      <c r="DL6" s="16">
        <v>4464100</v>
      </c>
      <c r="DM6" s="16">
        <v>49</v>
      </c>
      <c r="DN6" s="16">
        <f>DM6/DG6*100</f>
        <v>2.1313614615050023</v>
      </c>
      <c r="DO6" s="16">
        <f>MEDIAN(DN2:DN6)</f>
        <v>2.1313614615050023</v>
      </c>
      <c r="DP6" s="18">
        <v>44896</v>
      </c>
      <c r="DQ6" s="16">
        <v>2372</v>
      </c>
      <c r="DR6" s="16">
        <v>2408</v>
      </c>
      <c r="DS6" s="16">
        <v>2234</v>
      </c>
      <c r="DT6" s="16">
        <v>2342</v>
      </c>
      <c r="DU6" s="16">
        <v>2342</v>
      </c>
      <c r="DV6" s="16">
        <v>3469900</v>
      </c>
      <c r="DW6" s="16">
        <v>-30</v>
      </c>
      <c r="DX6" s="16">
        <f>DW6/DQ6*100</f>
        <v>-1.2647554806070826</v>
      </c>
      <c r="DY6" s="16">
        <f>MEDIAN(DX2:DX6)</f>
        <v>-4.926108374384236E-2</v>
      </c>
    </row>
    <row r="7" spans="1:129">
      <c r="A7" s="17">
        <v>43282</v>
      </c>
      <c r="B7" s="16">
        <v>1793</v>
      </c>
      <c r="C7" s="16">
        <v>1847</v>
      </c>
      <c r="D7" s="16">
        <v>1676</v>
      </c>
      <c r="E7" s="16">
        <v>1797</v>
      </c>
      <c r="F7" s="16">
        <v>1797</v>
      </c>
      <c r="G7" s="16">
        <v>1032700</v>
      </c>
      <c r="H7" s="16">
        <f t="shared" si="0"/>
        <v>4</v>
      </c>
    </row>
    <row r="8" spans="1:129">
      <c r="A8" s="17">
        <v>43313</v>
      </c>
      <c r="B8" s="16">
        <v>1804</v>
      </c>
      <c r="C8" s="16">
        <v>1871</v>
      </c>
      <c r="D8" s="16">
        <v>1662</v>
      </c>
      <c r="E8" s="16">
        <v>1780</v>
      </c>
      <c r="F8" s="16">
        <v>1780</v>
      </c>
      <c r="G8" s="16">
        <v>1131300</v>
      </c>
      <c r="H8" s="16">
        <f t="shared" si="0"/>
        <v>-24</v>
      </c>
    </row>
    <row r="9" spans="1:129">
      <c r="A9" s="17">
        <v>43344</v>
      </c>
      <c r="B9" s="16">
        <v>1777</v>
      </c>
      <c r="C9" s="16">
        <v>1796</v>
      </c>
      <c r="D9" s="16">
        <v>1692</v>
      </c>
      <c r="E9" s="16">
        <v>1756</v>
      </c>
      <c r="F9" s="16">
        <v>1756</v>
      </c>
      <c r="G9" s="16">
        <v>924100</v>
      </c>
      <c r="H9" s="16">
        <f t="shared" si="0"/>
        <v>-21</v>
      </c>
    </row>
    <row r="10" spans="1:129">
      <c r="A10" s="17">
        <v>43374</v>
      </c>
      <c r="B10" s="16">
        <v>1758</v>
      </c>
      <c r="C10" s="16">
        <v>1807</v>
      </c>
      <c r="D10" s="16">
        <v>1526</v>
      </c>
      <c r="E10" s="16">
        <v>1620</v>
      </c>
      <c r="F10" s="16">
        <v>1620</v>
      </c>
      <c r="G10" s="16">
        <v>1249400</v>
      </c>
      <c r="H10" s="16">
        <f t="shared" si="0"/>
        <v>-138</v>
      </c>
    </row>
    <row r="11" spans="1:129">
      <c r="A11" s="17">
        <v>43405</v>
      </c>
      <c r="B11" s="16">
        <v>1621</v>
      </c>
      <c r="C11" s="16">
        <v>1815</v>
      </c>
      <c r="D11" s="16">
        <v>1621</v>
      </c>
      <c r="E11" s="16">
        <v>1798</v>
      </c>
      <c r="F11" s="16">
        <v>1798</v>
      </c>
      <c r="G11" s="16">
        <v>684700</v>
      </c>
      <c r="H11" s="16">
        <f t="shared" si="0"/>
        <v>177</v>
      </c>
    </row>
    <row r="12" spans="1:129">
      <c r="A12" s="17">
        <v>43435</v>
      </c>
      <c r="B12" s="16">
        <v>1798</v>
      </c>
      <c r="C12" s="16">
        <v>1827</v>
      </c>
      <c r="D12" s="16">
        <v>1360</v>
      </c>
      <c r="E12" s="16">
        <v>1542</v>
      </c>
      <c r="F12" s="16">
        <v>1542</v>
      </c>
      <c r="G12" s="16">
        <v>804500</v>
      </c>
      <c r="H12" s="16">
        <f t="shared" si="0"/>
        <v>-256</v>
      </c>
    </row>
    <row r="13" spans="1:129">
      <c r="A13" s="17">
        <v>43466</v>
      </c>
      <c r="B13" s="16">
        <v>1513</v>
      </c>
      <c r="C13" s="16">
        <v>1598</v>
      </c>
      <c r="D13" s="16">
        <v>1463</v>
      </c>
      <c r="E13" s="16">
        <v>1487</v>
      </c>
      <c r="F13" s="16">
        <v>1487</v>
      </c>
      <c r="G13" s="16">
        <v>2243100</v>
      </c>
      <c r="H13" s="16">
        <f t="shared" si="0"/>
        <v>-26</v>
      </c>
    </row>
    <row r="14" spans="1:129">
      <c r="A14" s="17">
        <v>43497</v>
      </c>
      <c r="B14" s="16">
        <v>1481</v>
      </c>
      <c r="C14" s="16">
        <v>1583</v>
      </c>
      <c r="D14" s="16">
        <v>1445</v>
      </c>
      <c r="E14" s="16">
        <v>1559</v>
      </c>
      <c r="F14" s="16">
        <v>1559</v>
      </c>
      <c r="G14" s="16">
        <v>822400</v>
      </c>
      <c r="H14" s="16">
        <f t="shared" si="0"/>
        <v>78</v>
      </c>
    </row>
    <row r="15" spans="1:129">
      <c r="A15" s="17">
        <v>43525</v>
      </c>
      <c r="B15" s="16">
        <v>1563</v>
      </c>
      <c r="C15" s="16">
        <v>1717</v>
      </c>
      <c r="D15" s="16">
        <v>1537</v>
      </c>
      <c r="E15" s="16">
        <v>1618</v>
      </c>
      <c r="F15" s="16">
        <v>1618</v>
      </c>
      <c r="G15" s="16">
        <v>1439200</v>
      </c>
      <c r="H15" s="16">
        <f t="shared" si="0"/>
        <v>55</v>
      </c>
    </row>
    <row r="16" spans="1:129">
      <c r="A16" s="17">
        <v>43556</v>
      </c>
      <c r="B16" s="16">
        <v>1631</v>
      </c>
      <c r="C16" s="16">
        <v>1755</v>
      </c>
      <c r="D16" s="16">
        <v>1631</v>
      </c>
      <c r="E16" s="16">
        <v>1710</v>
      </c>
      <c r="F16" s="16">
        <v>1710</v>
      </c>
      <c r="G16" s="16">
        <v>733900</v>
      </c>
      <c r="H16" s="16">
        <f t="shared" si="0"/>
        <v>79</v>
      </c>
    </row>
    <row r="17" spans="1:8">
      <c r="A17" s="17">
        <v>43586</v>
      </c>
      <c r="B17" s="16">
        <v>1710</v>
      </c>
      <c r="C17" s="16">
        <v>1727</v>
      </c>
      <c r="D17" s="16">
        <v>1536</v>
      </c>
      <c r="E17" s="16">
        <v>1669</v>
      </c>
      <c r="F17" s="16">
        <v>1669</v>
      </c>
      <c r="G17" s="16">
        <v>733800</v>
      </c>
      <c r="H17" s="16">
        <f t="shared" si="0"/>
        <v>-41</v>
      </c>
    </row>
    <row r="18" spans="1:8">
      <c r="A18" s="17">
        <v>43617</v>
      </c>
      <c r="B18" s="16">
        <v>1659</v>
      </c>
      <c r="C18" s="16">
        <v>1777</v>
      </c>
      <c r="D18" s="16">
        <v>1630</v>
      </c>
      <c r="E18" s="16">
        <v>1766</v>
      </c>
      <c r="F18" s="16">
        <v>1766</v>
      </c>
      <c r="G18" s="16">
        <v>821200</v>
      </c>
      <c r="H18" s="16">
        <f t="shared" si="0"/>
        <v>107</v>
      </c>
    </row>
    <row r="19" spans="1:8">
      <c r="A19" s="17">
        <v>43647</v>
      </c>
      <c r="B19" s="16">
        <v>1790</v>
      </c>
      <c r="C19" s="16">
        <v>1903</v>
      </c>
      <c r="D19" s="16">
        <v>1785</v>
      </c>
      <c r="E19" s="16">
        <v>1810</v>
      </c>
      <c r="F19" s="16">
        <v>1810</v>
      </c>
      <c r="G19" s="16">
        <v>1379000</v>
      </c>
      <c r="H19" s="16">
        <f t="shared" si="0"/>
        <v>20</v>
      </c>
    </row>
    <row r="20" spans="1:8">
      <c r="A20" s="17">
        <v>43678</v>
      </c>
      <c r="B20" s="16">
        <v>1803</v>
      </c>
      <c r="C20" s="16">
        <v>1819</v>
      </c>
      <c r="D20" s="16">
        <v>1681</v>
      </c>
      <c r="E20" s="16">
        <v>1752</v>
      </c>
      <c r="F20" s="16">
        <v>1752</v>
      </c>
      <c r="G20" s="16">
        <v>1278300</v>
      </c>
      <c r="H20" s="16">
        <f t="shared" si="0"/>
        <v>-51</v>
      </c>
    </row>
    <row r="21" spans="1:8">
      <c r="A21" s="17">
        <v>43709</v>
      </c>
      <c r="B21" s="16">
        <v>1738</v>
      </c>
      <c r="C21" s="16">
        <v>1929</v>
      </c>
      <c r="D21" s="16">
        <v>1721</v>
      </c>
      <c r="E21" s="16">
        <v>1849</v>
      </c>
      <c r="F21" s="16">
        <v>1849</v>
      </c>
      <c r="G21" s="16">
        <v>979100</v>
      </c>
      <c r="H21" s="16">
        <f t="shared" si="0"/>
        <v>111</v>
      </c>
    </row>
    <row r="22" spans="1:8">
      <c r="A22" s="17">
        <v>43739</v>
      </c>
      <c r="B22" s="16">
        <v>1843</v>
      </c>
      <c r="C22" s="16">
        <v>1974</v>
      </c>
      <c r="D22" s="16">
        <v>1795</v>
      </c>
      <c r="E22" s="16">
        <v>1928</v>
      </c>
      <c r="F22" s="16">
        <v>1928</v>
      </c>
      <c r="G22" s="16">
        <v>669500</v>
      </c>
      <c r="H22" s="16">
        <f t="shared" si="0"/>
        <v>85</v>
      </c>
    </row>
    <row r="23" spans="1:8">
      <c r="A23" s="17">
        <v>43770</v>
      </c>
      <c r="B23" s="16">
        <v>1928</v>
      </c>
      <c r="C23" s="16">
        <v>2074</v>
      </c>
      <c r="D23" s="16">
        <v>1896</v>
      </c>
      <c r="E23" s="16">
        <v>2032</v>
      </c>
      <c r="F23" s="16">
        <v>2032</v>
      </c>
      <c r="G23" s="16">
        <v>1387600</v>
      </c>
      <c r="H23" s="16">
        <f t="shared" si="0"/>
        <v>104</v>
      </c>
    </row>
    <row r="24" spans="1:8">
      <c r="A24" s="17">
        <v>43800</v>
      </c>
      <c r="B24" s="16">
        <v>2030</v>
      </c>
      <c r="C24" s="16">
        <v>2074</v>
      </c>
      <c r="D24" s="16">
        <v>1990</v>
      </c>
      <c r="E24" s="16">
        <v>2029</v>
      </c>
      <c r="F24" s="16">
        <v>2029</v>
      </c>
      <c r="G24" s="16">
        <v>1823500</v>
      </c>
      <c r="H24" s="16">
        <f t="shared" si="0"/>
        <v>-1</v>
      </c>
    </row>
    <row r="25" spans="1:8">
      <c r="A25" s="17">
        <v>43831</v>
      </c>
      <c r="B25" s="16">
        <v>2014</v>
      </c>
      <c r="C25" s="16">
        <v>2125</v>
      </c>
      <c r="D25" s="16">
        <v>1856</v>
      </c>
      <c r="E25" s="16">
        <v>1865</v>
      </c>
      <c r="F25" s="16">
        <v>1865</v>
      </c>
      <c r="G25" s="16">
        <v>4817600</v>
      </c>
      <c r="H25" s="16">
        <f t="shared" si="0"/>
        <v>-149</v>
      </c>
    </row>
    <row r="26" spans="1:8">
      <c r="A26" s="17">
        <v>43862</v>
      </c>
      <c r="B26" s="16">
        <v>1802</v>
      </c>
      <c r="C26" s="16">
        <v>1966</v>
      </c>
      <c r="D26" s="16">
        <v>1763</v>
      </c>
      <c r="E26" s="16">
        <v>1766</v>
      </c>
      <c r="F26" s="16">
        <v>1766</v>
      </c>
      <c r="G26" s="16">
        <v>2561100</v>
      </c>
      <c r="H26" s="16">
        <f t="shared" si="0"/>
        <v>-36</v>
      </c>
    </row>
    <row r="27" spans="1:8">
      <c r="A27" s="17">
        <v>43891</v>
      </c>
      <c r="B27" s="16">
        <v>1736</v>
      </c>
      <c r="C27" s="16">
        <v>2078</v>
      </c>
      <c r="D27" s="16">
        <v>1600</v>
      </c>
      <c r="E27" s="16">
        <v>2059</v>
      </c>
      <c r="F27" s="16">
        <v>2059</v>
      </c>
      <c r="G27" s="16">
        <v>8356600</v>
      </c>
      <c r="H27" s="16">
        <f t="shared" si="0"/>
        <v>323</v>
      </c>
    </row>
    <row r="28" spans="1:8">
      <c r="A28" s="17">
        <v>43922</v>
      </c>
      <c r="B28" s="16">
        <v>2058</v>
      </c>
      <c r="C28" s="16">
        <v>2499</v>
      </c>
      <c r="D28" s="16">
        <v>1974</v>
      </c>
      <c r="E28" s="16">
        <v>2434</v>
      </c>
      <c r="F28" s="16">
        <v>2434</v>
      </c>
      <c r="G28" s="16">
        <v>3963200</v>
      </c>
      <c r="H28" s="16">
        <f t="shared" si="0"/>
        <v>376</v>
      </c>
    </row>
    <row r="29" spans="1:8">
      <c r="A29" s="17">
        <v>43952</v>
      </c>
      <c r="B29" s="16">
        <v>2406</v>
      </c>
      <c r="C29" s="16">
        <v>2772</v>
      </c>
      <c r="D29" s="16">
        <v>2380</v>
      </c>
      <c r="E29" s="16">
        <v>2672</v>
      </c>
      <c r="F29" s="16">
        <v>2672</v>
      </c>
      <c r="G29" s="16">
        <v>2362400</v>
      </c>
      <c r="H29" s="16">
        <f t="shared" si="0"/>
        <v>266</v>
      </c>
    </row>
    <row r="30" spans="1:8">
      <c r="A30" s="17">
        <v>43983</v>
      </c>
      <c r="B30" s="16">
        <v>2699</v>
      </c>
      <c r="C30" s="16">
        <v>2947</v>
      </c>
      <c r="D30" s="16">
        <v>2663</v>
      </c>
      <c r="E30" s="16">
        <v>2922</v>
      </c>
      <c r="F30" s="16">
        <v>2922</v>
      </c>
      <c r="G30" s="16">
        <v>2146500</v>
      </c>
      <c r="H30" s="16">
        <f t="shared" si="0"/>
        <v>223</v>
      </c>
    </row>
    <row r="31" spans="1:8">
      <c r="A31" s="17">
        <v>44013</v>
      </c>
      <c r="B31" s="16">
        <v>2972</v>
      </c>
      <c r="C31" s="16">
        <v>3270</v>
      </c>
      <c r="D31" s="16">
        <v>2896</v>
      </c>
      <c r="E31" s="16">
        <v>2930</v>
      </c>
      <c r="F31" s="16">
        <v>2930</v>
      </c>
      <c r="G31" s="16">
        <v>2458700</v>
      </c>
      <c r="H31" s="16">
        <f t="shared" si="0"/>
        <v>-42</v>
      </c>
    </row>
    <row r="32" spans="1:8">
      <c r="A32" s="17">
        <v>44044</v>
      </c>
      <c r="B32" s="16">
        <v>2939</v>
      </c>
      <c r="C32" s="16">
        <v>3070</v>
      </c>
      <c r="D32" s="16">
        <v>2846</v>
      </c>
      <c r="E32" s="16">
        <v>2993</v>
      </c>
      <c r="F32" s="16">
        <v>2993</v>
      </c>
      <c r="G32" s="16">
        <v>1112800</v>
      </c>
      <c r="H32" s="16">
        <f t="shared" si="0"/>
        <v>54</v>
      </c>
    </row>
    <row r="33" spans="1:8">
      <c r="A33" s="17">
        <v>44075</v>
      </c>
      <c r="B33" s="16">
        <v>2976</v>
      </c>
      <c r="C33" s="16">
        <v>2990</v>
      </c>
      <c r="D33" s="16">
        <v>2631</v>
      </c>
      <c r="E33" s="16">
        <v>2921</v>
      </c>
      <c r="F33" s="16">
        <v>2921</v>
      </c>
      <c r="G33" s="16">
        <v>4193400</v>
      </c>
      <c r="H33" s="16">
        <f t="shared" si="0"/>
        <v>-55</v>
      </c>
    </row>
    <row r="34" spans="1:8">
      <c r="A34" s="17">
        <v>44105</v>
      </c>
      <c r="B34" s="16">
        <v>2924</v>
      </c>
      <c r="C34" s="16">
        <v>3030</v>
      </c>
      <c r="D34" s="16">
        <v>2792</v>
      </c>
      <c r="E34" s="16">
        <v>2882</v>
      </c>
      <c r="F34" s="16">
        <v>2882</v>
      </c>
      <c r="G34" s="16">
        <v>2389700</v>
      </c>
      <c r="H34" s="16">
        <f t="shared" ref="H34:H60" si="1">E34-B34</f>
        <v>-42</v>
      </c>
    </row>
    <row r="35" spans="1:8">
      <c r="A35" s="17">
        <v>44136</v>
      </c>
      <c r="B35" s="16">
        <v>2907</v>
      </c>
      <c r="C35" s="16">
        <v>3080</v>
      </c>
      <c r="D35" s="16">
        <v>2752</v>
      </c>
      <c r="E35" s="16">
        <v>2752</v>
      </c>
      <c r="F35" s="16">
        <v>2752</v>
      </c>
      <c r="G35" s="16">
        <v>2222800</v>
      </c>
      <c r="H35" s="16">
        <f t="shared" si="1"/>
        <v>-155</v>
      </c>
    </row>
    <row r="36" spans="1:8">
      <c r="A36" s="17">
        <v>44166</v>
      </c>
      <c r="B36" s="16">
        <v>2760</v>
      </c>
      <c r="C36" s="16">
        <v>3195</v>
      </c>
      <c r="D36" s="16">
        <v>2661</v>
      </c>
      <c r="E36" s="16">
        <v>3180</v>
      </c>
      <c r="F36" s="16">
        <v>3180</v>
      </c>
      <c r="G36" s="16">
        <v>4080000</v>
      </c>
      <c r="H36" s="16">
        <f t="shared" si="1"/>
        <v>420</v>
      </c>
    </row>
    <row r="37" spans="1:8">
      <c r="A37" s="17">
        <v>44200</v>
      </c>
      <c r="B37" s="16">
        <v>3215</v>
      </c>
      <c r="C37" s="16">
        <v>3700</v>
      </c>
      <c r="D37" s="16">
        <v>2930</v>
      </c>
      <c r="E37" s="16">
        <v>2930</v>
      </c>
      <c r="F37" s="16">
        <v>2930</v>
      </c>
      <c r="G37" s="16">
        <v>7468000</v>
      </c>
      <c r="H37" s="16">
        <f t="shared" si="1"/>
        <v>-285</v>
      </c>
    </row>
    <row r="38" spans="1:8">
      <c r="A38" s="17">
        <v>44228</v>
      </c>
      <c r="B38" s="16">
        <v>2880</v>
      </c>
      <c r="C38" s="16">
        <v>2975</v>
      </c>
      <c r="D38" s="16">
        <v>2680</v>
      </c>
      <c r="E38" s="16">
        <v>2703</v>
      </c>
      <c r="F38" s="16">
        <v>2703</v>
      </c>
      <c r="G38" s="16">
        <v>3416200</v>
      </c>
      <c r="H38" s="16">
        <f t="shared" si="1"/>
        <v>-177</v>
      </c>
    </row>
    <row r="39" spans="1:8">
      <c r="A39" s="17">
        <v>44256</v>
      </c>
      <c r="B39" s="16">
        <v>2714</v>
      </c>
      <c r="C39" s="16">
        <v>2822</v>
      </c>
      <c r="D39" s="16">
        <v>2593</v>
      </c>
      <c r="E39" s="16">
        <v>2670</v>
      </c>
      <c r="F39" s="16">
        <v>2670</v>
      </c>
      <c r="G39" s="16">
        <v>6359500</v>
      </c>
      <c r="H39" s="16">
        <f t="shared" si="1"/>
        <v>-44</v>
      </c>
    </row>
    <row r="40" spans="1:8">
      <c r="A40" s="17">
        <v>44287</v>
      </c>
      <c r="B40" s="16">
        <v>2681</v>
      </c>
      <c r="C40" s="16">
        <v>2760</v>
      </c>
      <c r="D40" s="16">
        <v>2666</v>
      </c>
      <c r="E40" s="16">
        <v>2702</v>
      </c>
      <c r="F40" s="16">
        <v>2702</v>
      </c>
      <c r="G40" s="16">
        <v>2088300</v>
      </c>
      <c r="H40" s="16">
        <f t="shared" si="1"/>
        <v>21</v>
      </c>
    </row>
    <row r="41" spans="1:8">
      <c r="A41" s="17">
        <v>44322</v>
      </c>
      <c r="B41" s="16">
        <v>2705</v>
      </c>
      <c r="C41" s="16">
        <v>2743</v>
      </c>
      <c r="D41" s="16">
        <v>2552</v>
      </c>
      <c r="E41" s="16">
        <v>2670</v>
      </c>
      <c r="F41" s="16">
        <v>2670</v>
      </c>
      <c r="G41" s="16">
        <v>1889800</v>
      </c>
      <c r="H41" s="16">
        <f t="shared" si="1"/>
        <v>-35</v>
      </c>
    </row>
    <row r="42" spans="1:8">
      <c r="A42" s="17">
        <v>44348</v>
      </c>
      <c r="B42" s="16">
        <v>2613</v>
      </c>
      <c r="C42" s="16">
        <v>2641</v>
      </c>
      <c r="D42" s="16">
        <v>2475</v>
      </c>
      <c r="E42" s="16">
        <v>2598</v>
      </c>
      <c r="F42" s="16">
        <v>2598</v>
      </c>
      <c r="G42" s="16">
        <v>3382100</v>
      </c>
      <c r="H42" s="16">
        <f t="shared" si="1"/>
        <v>-15</v>
      </c>
    </row>
    <row r="43" spans="1:8">
      <c r="A43" s="17">
        <v>44378</v>
      </c>
      <c r="B43" s="16">
        <v>2618</v>
      </c>
      <c r="C43" s="16">
        <v>2692</v>
      </c>
      <c r="D43" s="16">
        <v>2363</v>
      </c>
      <c r="E43" s="16">
        <v>2411</v>
      </c>
      <c r="F43" s="16">
        <v>2411</v>
      </c>
      <c r="G43" s="16">
        <v>3949900</v>
      </c>
      <c r="H43" s="16">
        <f t="shared" si="1"/>
        <v>-207</v>
      </c>
    </row>
    <row r="44" spans="1:8">
      <c r="A44" s="17">
        <v>44410</v>
      </c>
      <c r="B44" s="16">
        <v>2420</v>
      </c>
      <c r="C44" s="16">
        <v>2428</v>
      </c>
      <c r="D44" s="16">
        <v>2156</v>
      </c>
      <c r="E44" s="16">
        <v>2294</v>
      </c>
      <c r="F44" s="16">
        <v>2294</v>
      </c>
      <c r="G44" s="16">
        <v>3269000</v>
      </c>
      <c r="H44" s="16">
        <f t="shared" si="1"/>
        <v>-126</v>
      </c>
    </row>
    <row r="45" spans="1:8">
      <c r="A45" s="17">
        <v>44440</v>
      </c>
      <c r="B45" s="16">
        <v>2294</v>
      </c>
      <c r="C45" s="16">
        <v>2472</v>
      </c>
      <c r="D45" s="16">
        <v>2236</v>
      </c>
      <c r="E45" s="16">
        <v>2344</v>
      </c>
      <c r="F45" s="16">
        <v>2344</v>
      </c>
      <c r="G45" s="16">
        <v>2965900</v>
      </c>
      <c r="H45" s="16">
        <f t="shared" si="1"/>
        <v>50</v>
      </c>
    </row>
    <row r="46" spans="1:8">
      <c r="A46" s="17">
        <v>44470</v>
      </c>
      <c r="B46" s="16">
        <v>2344</v>
      </c>
      <c r="C46" s="16">
        <v>2378</v>
      </c>
      <c r="D46" s="16">
        <v>2245</v>
      </c>
      <c r="E46" s="16">
        <v>2370</v>
      </c>
      <c r="F46" s="16">
        <v>2370</v>
      </c>
      <c r="G46" s="16">
        <v>2832000</v>
      </c>
      <c r="H46" s="16">
        <f t="shared" si="1"/>
        <v>26</v>
      </c>
    </row>
    <row r="47" spans="1:8">
      <c r="A47" s="17">
        <v>44501</v>
      </c>
      <c r="B47" s="16">
        <v>2380</v>
      </c>
      <c r="C47" s="16">
        <v>2434</v>
      </c>
      <c r="D47" s="16">
        <v>2221</v>
      </c>
      <c r="E47" s="16">
        <v>2249</v>
      </c>
      <c r="F47" s="16">
        <v>2249</v>
      </c>
      <c r="G47" s="16">
        <v>3460900</v>
      </c>
      <c r="H47" s="16">
        <f t="shared" si="1"/>
        <v>-131</v>
      </c>
    </row>
    <row r="48" spans="1:8">
      <c r="A48" s="17">
        <v>44531</v>
      </c>
      <c r="B48" s="16">
        <v>2251</v>
      </c>
      <c r="C48" s="16">
        <v>2410</v>
      </c>
      <c r="D48" s="16">
        <v>2165</v>
      </c>
      <c r="E48" s="16">
        <v>2398</v>
      </c>
      <c r="F48" s="16">
        <v>2398</v>
      </c>
      <c r="G48" s="16">
        <v>3553400</v>
      </c>
      <c r="H48" s="16">
        <f t="shared" si="1"/>
        <v>147</v>
      </c>
    </row>
    <row r="49" spans="1:8">
      <c r="A49" s="17">
        <v>44565</v>
      </c>
      <c r="B49" s="16">
        <v>2414</v>
      </c>
      <c r="C49" s="16">
        <v>2443</v>
      </c>
      <c r="D49" s="16">
        <v>2157</v>
      </c>
      <c r="E49" s="16">
        <v>2162</v>
      </c>
      <c r="F49" s="16">
        <v>2162</v>
      </c>
      <c r="G49" s="16">
        <v>6667500</v>
      </c>
      <c r="H49" s="16">
        <f t="shared" si="1"/>
        <v>-252</v>
      </c>
    </row>
    <row r="50" spans="1:8">
      <c r="A50" s="17">
        <v>44593</v>
      </c>
      <c r="B50" s="16">
        <v>2161</v>
      </c>
      <c r="C50" s="16">
        <v>2195</v>
      </c>
      <c r="D50" s="16">
        <v>2019</v>
      </c>
      <c r="E50" s="16">
        <v>2179</v>
      </c>
      <c r="F50" s="16">
        <v>2179</v>
      </c>
      <c r="G50" s="16">
        <v>4078500</v>
      </c>
      <c r="H50" s="16">
        <f t="shared" si="1"/>
        <v>18</v>
      </c>
    </row>
    <row r="51" spans="1:8">
      <c r="A51" s="17">
        <v>44621</v>
      </c>
      <c r="B51" s="16">
        <v>2168</v>
      </c>
      <c r="C51" s="16">
        <v>2196</v>
      </c>
      <c r="D51" s="16">
        <v>1760</v>
      </c>
      <c r="E51" s="16">
        <v>1984</v>
      </c>
      <c r="F51" s="16">
        <v>1984</v>
      </c>
      <c r="G51" s="16">
        <v>5092900</v>
      </c>
      <c r="H51" s="16">
        <f t="shared" si="1"/>
        <v>-184</v>
      </c>
    </row>
    <row r="52" spans="1:8">
      <c r="A52" s="17">
        <v>44652</v>
      </c>
      <c r="B52" s="16">
        <v>1980</v>
      </c>
      <c r="C52" s="16">
        <v>2048</v>
      </c>
      <c r="D52" s="16">
        <v>1919</v>
      </c>
      <c r="E52" s="16">
        <v>2047</v>
      </c>
      <c r="F52" s="16">
        <v>2047</v>
      </c>
      <c r="G52" s="16">
        <v>1946700</v>
      </c>
      <c r="H52" s="16">
        <f t="shared" si="1"/>
        <v>67</v>
      </c>
    </row>
    <row r="53" spans="1:8">
      <c r="A53" s="17">
        <v>44683</v>
      </c>
      <c r="B53" s="16">
        <v>2046</v>
      </c>
      <c r="C53" s="16">
        <v>2141</v>
      </c>
      <c r="D53" s="16">
        <v>2026</v>
      </c>
      <c r="E53" s="16">
        <v>2110</v>
      </c>
      <c r="F53" s="16">
        <v>2110</v>
      </c>
      <c r="G53" s="16">
        <v>1574700</v>
      </c>
      <c r="H53" s="16">
        <f t="shared" si="1"/>
        <v>64</v>
      </c>
    </row>
    <row r="54" spans="1:8">
      <c r="A54" s="17">
        <v>44713</v>
      </c>
      <c r="B54" s="16">
        <v>2210</v>
      </c>
      <c r="C54" s="16">
        <v>2356</v>
      </c>
      <c r="D54" s="16">
        <v>2154</v>
      </c>
      <c r="E54" s="16">
        <v>2241</v>
      </c>
      <c r="F54" s="16">
        <v>2241</v>
      </c>
      <c r="G54" s="16">
        <v>3199400</v>
      </c>
      <c r="H54" s="16">
        <f t="shared" si="1"/>
        <v>31</v>
      </c>
    </row>
    <row r="55" spans="1:8">
      <c r="A55" s="17">
        <v>44743</v>
      </c>
      <c r="B55" s="16">
        <v>2248</v>
      </c>
      <c r="C55" s="16">
        <v>2349</v>
      </c>
      <c r="D55" s="16">
        <v>2207</v>
      </c>
      <c r="E55" s="16">
        <v>2236</v>
      </c>
      <c r="F55" s="16">
        <v>2236</v>
      </c>
      <c r="G55" s="16">
        <v>3104500</v>
      </c>
      <c r="H55" s="16">
        <f t="shared" si="1"/>
        <v>-12</v>
      </c>
    </row>
    <row r="56" spans="1:8">
      <c r="A56" s="17">
        <v>44774</v>
      </c>
      <c r="B56" s="16">
        <v>2236</v>
      </c>
      <c r="C56" s="16">
        <v>2358</v>
      </c>
      <c r="D56" s="16">
        <v>2216</v>
      </c>
      <c r="E56" s="16">
        <v>2279</v>
      </c>
      <c r="F56" s="16">
        <v>2279</v>
      </c>
      <c r="G56" s="16">
        <v>3078900</v>
      </c>
      <c r="H56" s="16">
        <f t="shared" si="1"/>
        <v>43</v>
      </c>
    </row>
    <row r="57" spans="1:8">
      <c r="A57" s="17">
        <v>44805</v>
      </c>
      <c r="B57" s="16">
        <v>2400</v>
      </c>
      <c r="C57" s="16">
        <v>2598</v>
      </c>
      <c r="D57" s="16">
        <v>2103</v>
      </c>
      <c r="E57" s="16">
        <v>2116</v>
      </c>
      <c r="F57" s="16">
        <v>2116</v>
      </c>
      <c r="G57" s="16">
        <v>6952600</v>
      </c>
      <c r="H57" s="16">
        <f t="shared" si="1"/>
        <v>-284</v>
      </c>
    </row>
    <row r="58" spans="1:8">
      <c r="A58" s="17">
        <v>44837</v>
      </c>
      <c r="B58" s="16">
        <v>2090</v>
      </c>
      <c r="C58" s="16">
        <v>2295</v>
      </c>
      <c r="D58" s="16">
        <v>2059</v>
      </c>
      <c r="E58" s="16">
        <v>2295</v>
      </c>
      <c r="F58" s="16">
        <v>2295</v>
      </c>
      <c r="G58" s="16">
        <v>2448500</v>
      </c>
      <c r="H58" s="16">
        <f t="shared" si="1"/>
        <v>205</v>
      </c>
    </row>
    <row r="59" spans="1:8">
      <c r="A59" s="17">
        <v>44866</v>
      </c>
      <c r="B59" s="16">
        <v>2299</v>
      </c>
      <c r="C59" s="16">
        <v>2434</v>
      </c>
      <c r="D59" s="16">
        <v>2225</v>
      </c>
      <c r="E59" s="16">
        <v>2348</v>
      </c>
      <c r="F59" s="16">
        <v>2348</v>
      </c>
      <c r="G59" s="16">
        <v>4464100</v>
      </c>
      <c r="H59" s="16">
        <f t="shared" si="1"/>
        <v>49</v>
      </c>
    </row>
    <row r="60" spans="1:8">
      <c r="A60" s="17">
        <v>44896</v>
      </c>
      <c r="B60" s="16">
        <v>2372</v>
      </c>
      <c r="C60" s="16">
        <v>2408</v>
      </c>
      <c r="D60" s="16">
        <v>2234</v>
      </c>
      <c r="E60" s="16">
        <v>2342</v>
      </c>
      <c r="F60" s="16">
        <v>2342</v>
      </c>
      <c r="G60" s="16">
        <v>3469900</v>
      </c>
      <c r="H60" s="16">
        <f t="shared" si="1"/>
        <v>-30</v>
      </c>
    </row>
  </sheetData>
  <phoneticPr fontId="32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CB568-12E7-4471-B54A-BF878C899B86}">
  <sheetPr codeName="Sheet29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599</v>
      </c>
      <c r="C2" s="16">
        <v>650</v>
      </c>
      <c r="D2" s="16">
        <v>587</v>
      </c>
      <c r="E2" s="16">
        <v>587</v>
      </c>
      <c r="F2" s="16">
        <v>587</v>
      </c>
      <c r="G2" s="16">
        <v>2197700</v>
      </c>
      <c r="H2" s="16">
        <f t="shared" ref="H2:H33" si="0">E2-B2</f>
        <v>-12</v>
      </c>
      <c r="J2" s="18" cm="1">
        <f t="array" ref="J2:Q6">_xlfn._xlws.FILTER(A2:H61,MONTH(A2:A61)=1,"")</f>
        <v>43104</v>
      </c>
      <c r="K2" s="16">
        <v>599</v>
      </c>
      <c r="L2" s="16">
        <v>650</v>
      </c>
      <c r="M2" s="16">
        <v>587</v>
      </c>
      <c r="N2" s="16">
        <v>587</v>
      </c>
      <c r="O2" s="16">
        <v>587</v>
      </c>
      <c r="P2" s="16">
        <v>2197700</v>
      </c>
      <c r="Q2" s="16">
        <v>-12</v>
      </c>
      <c r="R2" s="16">
        <f>Q2/K2*100</f>
        <v>-2.003338898163606</v>
      </c>
      <c r="S2" s="16">
        <f>COUNT(Q2:Q6)</f>
        <v>5</v>
      </c>
      <c r="T2" s="18" cm="1">
        <f t="array" ref="T2:AA6">_xlfn._xlws.FILTER(A2:H61,MONTH(A2:A61)=2,"")</f>
        <v>43132</v>
      </c>
      <c r="U2" s="16">
        <v>587</v>
      </c>
      <c r="V2" s="16">
        <v>594</v>
      </c>
      <c r="W2" s="16">
        <v>527</v>
      </c>
      <c r="X2" s="16">
        <v>550</v>
      </c>
      <c r="Y2" s="16">
        <v>550</v>
      </c>
      <c r="Z2" s="16">
        <v>827500</v>
      </c>
      <c r="AA2" s="16">
        <v>-37</v>
      </c>
      <c r="AB2" s="16">
        <f>AA2/U2*100</f>
        <v>-6.3032367972742751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550</v>
      </c>
      <c r="AF2" s="16">
        <v>586</v>
      </c>
      <c r="AG2" s="16">
        <v>535</v>
      </c>
      <c r="AH2" s="16">
        <v>568</v>
      </c>
      <c r="AI2" s="16">
        <v>568</v>
      </c>
      <c r="AJ2" s="16">
        <v>809700</v>
      </c>
      <c r="AK2" s="16">
        <v>18</v>
      </c>
      <c r="AL2" s="16">
        <f>AK2/AE2*100</f>
        <v>3.2727272727272729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568</v>
      </c>
      <c r="AP2" s="16">
        <v>589</v>
      </c>
      <c r="AQ2" s="16">
        <v>555</v>
      </c>
      <c r="AR2" s="16">
        <v>573</v>
      </c>
      <c r="AS2" s="16">
        <v>573</v>
      </c>
      <c r="AT2" s="16">
        <v>459900</v>
      </c>
      <c r="AU2" s="16">
        <v>5</v>
      </c>
      <c r="AV2" s="16">
        <f>AU2/AO2*100</f>
        <v>0.88028169014084512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568</v>
      </c>
      <c r="AZ2" s="16">
        <v>593</v>
      </c>
      <c r="BA2" s="16">
        <v>562</v>
      </c>
      <c r="BB2" s="16">
        <v>571</v>
      </c>
      <c r="BC2" s="16">
        <v>571</v>
      </c>
      <c r="BD2" s="16">
        <v>366100</v>
      </c>
      <c r="BE2" s="16">
        <v>3</v>
      </c>
      <c r="BF2" s="16">
        <f>BE2/AY2*100</f>
        <v>0.528169014084507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565</v>
      </c>
      <c r="BJ2" s="16">
        <v>577</v>
      </c>
      <c r="BK2" s="16">
        <v>543</v>
      </c>
      <c r="BL2" s="16">
        <v>548</v>
      </c>
      <c r="BM2" s="16">
        <v>548</v>
      </c>
      <c r="BN2" s="16">
        <v>424700</v>
      </c>
      <c r="BO2" s="16">
        <v>-17</v>
      </c>
      <c r="BP2" s="16">
        <f>BO2/BI2*100</f>
        <v>-3.0088495575221237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549</v>
      </c>
      <c r="BT2" s="16">
        <v>554</v>
      </c>
      <c r="BU2" s="16">
        <v>507</v>
      </c>
      <c r="BV2" s="16">
        <v>530</v>
      </c>
      <c r="BW2" s="16">
        <v>530</v>
      </c>
      <c r="BX2" s="16">
        <v>407900</v>
      </c>
      <c r="BY2" s="16">
        <v>-19</v>
      </c>
      <c r="BZ2" s="16">
        <f>BY2/BS2*100</f>
        <v>-3.4608378870673953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534</v>
      </c>
      <c r="CD2" s="16">
        <v>534</v>
      </c>
      <c r="CE2" s="16">
        <v>490</v>
      </c>
      <c r="CF2" s="16">
        <v>505</v>
      </c>
      <c r="CG2" s="16">
        <v>505</v>
      </c>
      <c r="CH2" s="16">
        <v>295900</v>
      </c>
      <c r="CI2" s="16">
        <v>-29</v>
      </c>
      <c r="CJ2" s="16">
        <f>CI2/CC2*100</f>
        <v>-5.4307116104868918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507</v>
      </c>
      <c r="CN2" s="16">
        <v>528</v>
      </c>
      <c r="CO2" s="16">
        <v>500</v>
      </c>
      <c r="CP2" s="16">
        <v>518</v>
      </c>
      <c r="CQ2" s="16">
        <v>518</v>
      </c>
      <c r="CR2" s="16">
        <v>365300</v>
      </c>
      <c r="CS2" s="16">
        <v>11</v>
      </c>
      <c r="CT2" s="16">
        <f>CS2/CM2*100</f>
        <v>2.1696252465483234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521</v>
      </c>
      <c r="CX2" s="16">
        <v>521</v>
      </c>
      <c r="CY2" s="16">
        <v>477</v>
      </c>
      <c r="CZ2" s="16">
        <v>497</v>
      </c>
      <c r="DA2" s="16">
        <v>497</v>
      </c>
      <c r="DB2" s="16">
        <v>362700</v>
      </c>
      <c r="DC2" s="16">
        <v>-24</v>
      </c>
      <c r="DD2" s="16">
        <f>DC2/CW2*100</f>
        <v>-4.6065259117082533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498</v>
      </c>
      <c r="DH2" s="16">
        <v>501</v>
      </c>
      <c r="DI2" s="16">
        <v>479</v>
      </c>
      <c r="DJ2" s="16">
        <v>495</v>
      </c>
      <c r="DK2" s="16">
        <v>495</v>
      </c>
      <c r="DL2" s="16">
        <v>340200</v>
      </c>
      <c r="DM2" s="16">
        <v>-3</v>
      </c>
      <c r="DN2" s="16">
        <f>DM2/DG2*100</f>
        <v>-0.60240963855421692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495</v>
      </c>
      <c r="DR2" s="16">
        <v>570</v>
      </c>
      <c r="DS2" s="16">
        <v>463</v>
      </c>
      <c r="DT2" s="16">
        <v>509</v>
      </c>
      <c r="DU2" s="16">
        <v>509</v>
      </c>
      <c r="DV2" s="16">
        <v>970700</v>
      </c>
      <c r="DW2" s="16">
        <v>14</v>
      </c>
      <c r="DX2" s="16">
        <f>DW2/DQ2*100</f>
        <v>2.8282828282828283</v>
      </c>
      <c r="DY2" s="16">
        <f>COUNT(DW2:DW6)</f>
        <v>5</v>
      </c>
    </row>
    <row r="3" spans="1:129">
      <c r="A3" s="17">
        <v>43132</v>
      </c>
      <c r="B3" s="16">
        <v>587</v>
      </c>
      <c r="C3" s="16">
        <v>594</v>
      </c>
      <c r="D3" s="16">
        <v>527</v>
      </c>
      <c r="E3" s="16">
        <v>550</v>
      </c>
      <c r="F3" s="16">
        <v>550</v>
      </c>
      <c r="G3" s="16">
        <v>827500</v>
      </c>
      <c r="H3" s="16">
        <f t="shared" si="0"/>
        <v>-37</v>
      </c>
      <c r="J3" s="18">
        <v>43469</v>
      </c>
      <c r="K3" s="16">
        <v>498</v>
      </c>
      <c r="L3" s="16">
        <v>535</v>
      </c>
      <c r="M3" s="16">
        <v>495</v>
      </c>
      <c r="N3" s="16">
        <v>511</v>
      </c>
      <c r="O3" s="16">
        <v>511</v>
      </c>
      <c r="P3" s="16">
        <v>672600</v>
      </c>
      <c r="Q3" s="16">
        <v>13</v>
      </c>
      <c r="R3" s="16">
        <f>Q3/K3*100</f>
        <v>2.6104417670682731</v>
      </c>
      <c r="S3" s="16">
        <f>COUNTIF(Q2:Q6,"&gt;0")</f>
        <v>1</v>
      </c>
      <c r="T3" s="18">
        <v>43497</v>
      </c>
      <c r="U3" s="16">
        <v>510</v>
      </c>
      <c r="V3" s="16">
        <v>549</v>
      </c>
      <c r="W3" s="16">
        <v>509</v>
      </c>
      <c r="X3" s="16">
        <v>539</v>
      </c>
      <c r="Y3" s="16">
        <v>539</v>
      </c>
      <c r="Z3" s="16">
        <v>321000</v>
      </c>
      <c r="AA3" s="16">
        <v>29</v>
      </c>
      <c r="AB3" s="16">
        <f>AA3/U3*100</f>
        <v>5.6862745098039218</v>
      </c>
      <c r="AC3" s="16">
        <f>COUNTIF(AA2:AA6,"&gt;0")</f>
        <v>2</v>
      </c>
      <c r="AD3" s="18">
        <v>43525</v>
      </c>
      <c r="AE3" s="16">
        <v>535</v>
      </c>
      <c r="AF3" s="16">
        <v>555</v>
      </c>
      <c r="AG3" s="16">
        <v>502</v>
      </c>
      <c r="AH3" s="16">
        <v>532</v>
      </c>
      <c r="AI3" s="16">
        <v>532</v>
      </c>
      <c r="AJ3" s="16">
        <v>379400</v>
      </c>
      <c r="AK3" s="16">
        <v>-3</v>
      </c>
      <c r="AL3" s="16">
        <f>AK3/AE3*100</f>
        <v>-0.56074766355140182</v>
      </c>
      <c r="AM3" s="16">
        <f>COUNTIF(AK2:AK6,"&gt;0")</f>
        <v>4</v>
      </c>
      <c r="AN3" s="18">
        <v>43556</v>
      </c>
      <c r="AO3" s="16">
        <v>533</v>
      </c>
      <c r="AP3" s="16">
        <v>555</v>
      </c>
      <c r="AQ3" s="16">
        <v>506</v>
      </c>
      <c r="AR3" s="16">
        <v>526</v>
      </c>
      <c r="AS3" s="16">
        <v>526</v>
      </c>
      <c r="AT3" s="16">
        <v>417500</v>
      </c>
      <c r="AU3" s="16">
        <v>-7</v>
      </c>
      <c r="AV3" s="16">
        <f>AU3/AO3*100</f>
        <v>-1.3133208255159476</v>
      </c>
      <c r="AW3" s="16">
        <f>COUNTIF(AU2:AU6,"&gt;0")</f>
        <v>3</v>
      </c>
      <c r="AX3" s="18">
        <v>43592</v>
      </c>
      <c r="AY3" s="16">
        <v>525</v>
      </c>
      <c r="AZ3" s="16">
        <v>527</v>
      </c>
      <c r="BA3" s="16">
        <v>489</v>
      </c>
      <c r="BB3" s="16">
        <v>498</v>
      </c>
      <c r="BC3" s="16">
        <v>498</v>
      </c>
      <c r="BD3" s="16">
        <v>184100</v>
      </c>
      <c r="BE3" s="16">
        <v>-27</v>
      </c>
      <c r="BF3" s="16">
        <f>BE3/AY3*100</f>
        <v>-5.1428571428571423</v>
      </c>
      <c r="BG3" s="16">
        <f>COUNTIF(BE2:BE6,"&gt;0")</f>
        <v>2</v>
      </c>
      <c r="BH3" s="18">
        <v>43619</v>
      </c>
      <c r="BI3" s="16">
        <v>496</v>
      </c>
      <c r="BJ3" s="16">
        <v>514</v>
      </c>
      <c r="BK3" s="16">
        <v>460</v>
      </c>
      <c r="BL3" s="16">
        <v>460</v>
      </c>
      <c r="BM3" s="16">
        <v>460</v>
      </c>
      <c r="BN3" s="16">
        <v>331800</v>
      </c>
      <c r="BO3" s="16">
        <v>-36</v>
      </c>
      <c r="BP3" s="16">
        <f>BO3/BI3*100</f>
        <v>-7.2580645161290329</v>
      </c>
      <c r="BQ3" s="16">
        <f>COUNTIF(BO2:BO6,"&gt;0")</f>
        <v>1</v>
      </c>
      <c r="BR3" s="18">
        <v>43647</v>
      </c>
      <c r="BS3" s="16">
        <v>462</v>
      </c>
      <c r="BT3" s="16">
        <v>477</v>
      </c>
      <c r="BU3" s="16">
        <v>443</v>
      </c>
      <c r="BV3" s="16">
        <v>446</v>
      </c>
      <c r="BW3" s="16">
        <v>446</v>
      </c>
      <c r="BX3" s="16">
        <v>388400</v>
      </c>
      <c r="BY3" s="16">
        <v>-16</v>
      </c>
      <c r="BZ3" s="16">
        <f>BY3/BS3*100</f>
        <v>-3.4632034632034632</v>
      </c>
      <c r="CA3" s="16">
        <f>COUNTIF(BY2:BY6,"&gt;0")</f>
        <v>1</v>
      </c>
      <c r="CB3" s="18">
        <v>43678</v>
      </c>
      <c r="CC3" s="16">
        <v>444</v>
      </c>
      <c r="CD3" s="16">
        <v>446</v>
      </c>
      <c r="CE3" s="16">
        <v>374</v>
      </c>
      <c r="CF3" s="16">
        <v>374</v>
      </c>
      <c r="CG3" s="16">
        <v>374</v>
      </c>
      <c r="CH3" s="16">
        <v>293900</v>
      </c>
      <c r="CI3" s="16">
        <v>-70</v>
      </c>
      <c r="CJ3" s="16">
        <f>CI3/CC3*100</f>
        <v>-15.765765765765765</v>
      </c>
      <c r="CK3" s="16">
        <f>COUNTIF(CI2:CI6,"&gt;0")</f>
        <v>2</v>
      </c>
      <c r="CL3" s="18">
        <v>43710</v>
      </c>
      <c r="CM3" s="16">
        <v>374</v>
      </c>
      <c r="CN3" s="16">
        <v>450</v>
      </c>
      <c r="CO3" s="16">
        <v>335</v>
      </c>
      <c r="CP3" s="16">
        <v>445</v>
      </c>
      <c r="CQ3" s="16">
        <v>445</v>
      </c>
      <c r="CR3" s="16">
        <v>1270900</v>
      </c>
      <c r="CS3" s="16">
        <v>71</v>
      </c>
      <c r="CT3" s="16">
        <f>CS3/CM3*100</f>
        <v>18.983957219251337</v>
      </c>
      <c r="CU3" s="16">
        <f>COUNTIF(CS2:CS6,"&gt;0")</f>
        <v>3</v>
      </c>
      <c r="CV3" s="18">
        <v>43739</v>
      </c>
      <c r="CW3" s="16">
        <v>442</v>
      </c>
      <c r="CX3" s="16">
        <v>503</v>
      </c>
      <c r="CY3" s="16">
        <v>398</v>
      </c>
      <c r="CZ3" s="16">
        <v>481</v>
      </c>
      <c r="DA3" s="16">
        <v>481</v>
      </c>
      <c r="DB3" s="16">
        <v>1622000</v>
      </c>
      <c r="DC3" s="16">
        <v>39</v>
      </c>
      <c r="DD3" s="16">
        <f>DC3/CW3*100</f>
        <v>8.8235294117647065</v>
      </c>
      <c r="DE3" s="16">
        <f>COUNTIF(DC2:DC6,"&gt;0")</f>
        <v>2</v>
      </c>
      <c r="DF3" s="18">
        <v>43770</v>
      </c>
      <c r="DG3" s="16">
        <v>477</v>
      </c>
      <c r="DH3" s="16">
        <v>482</v>
      </c>
      <c r="DI3" s="16">
        <v>427</v>
      </c>
      <c r="DJ3" s="16">
        <v>427</v>
      </c>
      <c r="DK3" s="16">
        <v>427</v>
      </c>
      <c r="DL3" s="16">
        <v>445400</v>
      </c>
      <c r="DM3" s="16">
        <v>-50</v>
      </c>
      <c r="DN3" s="16">
        <f>DM3/DG3*100</f>
        <v>-10.482180293501047</v>
      </c>
      <c r="DO3" s="16">
        <f>COUNTIF(DM2:DM6,"&gt;0")</f>
        <v>1</v>
      </c>
      <c r="DP3" s="18">
        <v>43801</v>
      </c>
      <c r="DQ3" s="16">
        <v>427</v>
      </c>
      <c r="DR3" s="16">
        <v>480</v>
      </c>
      <c r="DS3" s="16">
        <v>427</v>
      </c>
      <c r="DT3" s="16">
        <v>476</v>
      </c>
      <c r="DU3" s="16">
        <v>476</v>
      </c>
      <c r="DV3" s="16">
        <v>395400</v>
      </c>
      <c r="DW3" s="16">
        <v>49</v>
      </c>
      <c r="DX3" s="16">
        <f>DW3/DQ3*100</f>
        <v>11.475409836065573</v>
      </c>
      <c r="DY3" s="16">
        <f>COUNTIF(DW2:DW6,"&gt;0")</f>
        <v>2</v>
      </c>
    </row>
    <row r="4" spans="1:129">
      <c r="A4" s="17">
        <v>43160</v>
      </c>
      <c r="B4" s="16">
        <v>550</v>
      </c>
      <c r="C4" s="16">
        <v>586</v>
      </c>
      <c r="D4" s="16">
        <v>535</v>
      </c>
      <c r="E4" s="16">
        <v>568</v>
      </c>
      <c r="F4" s="16">
        <v>568</v>
      </c>
      <c r="G4" s="16">
        <v>809700</v>
      </c>
      <c r="H4" s="16">
        <f t="shared" si="0"/>
        <v>18</v>
      </c>
      <c r="J4" s="18">
        <v>43836</v>
      </c>
      <c r="K4" s="16">
        <v>475</v>
      </c>
      <c r="L4" s="16">
        <v>475</v>
      </c>
      <c r="M4" s="16">
        <v>412</v>
      </c>
      <c r="N4" s="16">
        <v>439</v>
      </c>
      <c r="O4" s="16">
        <v>439</v>
      </c>
      <c r="P4" s="16">
        <v>684500</v>
      </c>
      <c r="Q4" s="16">
        <v>-36</v>
      </c>
      <c r="R4" s="16">
        <f>Q4/K4*100</f>
        <v>-7.5789473684210531</v>
      </c>
      <c r="S4" s="19">
        <f>S3/S2*100</f>
        <v>20</v>
      </c>
      <c r="T4" s="18">
        <v>43864</v>
      </c>
      <c r="U4" s="16">
        <v>432</v>
      </c>
      <c r="V4" s="16">
        <v>448</v>
      </c>
      <c r="W4" s="16">
        <v>361</v>
      </c>
      <c r="X4" s="16">
        <v>370</v>
      </c>
      <c r="Y4" s="16">
        <v>370</v>
      </c>
      <c r="Z4" s="16">
        <v>459500</v>
      </c>
      <c r="AA4" s="16">
        <v>-62</v>
      </c>
      <c r="AB4" s="16">
        <f>AA4/U4*100</f>
        <v>-14.351851851851851</v>
      </c>
      <c r="AC4" s="19">
        <f>AC3/AC2*100</f>
        <v>40</v>
      </c>
      <c r="AD4" s="18">
        <v>43892</v>
      </c>
      <c r="AE4" s="16">
        <v>364</v>
      </c>
      <c r="AF4" s="16">
        <v>427</v>
      </c>
      <c r="AG4" s="16">
        <v>310</v>
      </c>
      <c r="AH4" s="16">
        <v>427</v>
      </c>
      <c r="AI4" s="16">
        <v>427</v>
      </c>
      <c r="AJ4" s="16">
        <v>588300</v>
      </c>
      <c r="AK4" s="16">
        <v>63</v>
      </c>
      <c r="AL4" s="16">
        <f>AK4/AE4*100</f>
        <v>17.307692307692307</v>
      </c>
      <c r="AM4" s="19">
        <f>AM3/AM2*100</f>
        <v>80</v>
      </c>
      <c r="AN4" s="18">
        <v>43922</v>
      </c>
      <c r="AO4" s="16">
        <v>416</v>
      </c>
      <c r="AP4" s="16">
        <v>439</v>
      </c>
      <c r="AQ4" s="16">
        <v>398</v>
      </c>
      <c r="AR4" s="16">
        <v>420</v>
      </c>
      <c r="AS4" s="16">
        <v>420</v>
      </c>
      <c r="AT4" s="16">
        <v>292200</v>
      </c>
      <c r="AU4" s="16">
        <v>4</v>
      </c>
      <c r="AV4" s="16">
        <f>AU4/AO4*100</f>
        <v>0.96153846153846156</v>
      </c>
      <c r="AW4" s="19">
        <f>AW3/AW2*100</f>
        <v>60</v>
      </c>
      <c r="AX4" s="18">
        <v>43952</v>
      </c>
      <c r="AY4" s="16">
        <v>415</v>
      </c>
      <c r="AZ4" s="16">
        <v>425</v>
      </c>
      <c r="BA4" s="16">
        <v>360</v>
      </c>
      <c r="BB4" s="16">
        <v>360</v>
      </c>
      <c r="BC4" s="16">
        <v>360</v>
      </c>
      <c r="BD4" s="16">
        <v>253600</v>
      </c>
      <c r="BE4" s="16">
        <v>-55</v>
      </c>
      <c r="BF4" s="16">
        <f>BE4/AY4*100</f>
        <v>-13.253012048192772</v>
      </c>
      <c r="BG4" s="19">
        <f>BG3/BG2*100</f>
        <v>40</v>
      </c>
      <c r="BH4" s="18">
        <v>43983</v>
      </c>
      <c r="BI4" s="16">
        <v>361</v>
      </c>
      <c r="BJ4" s="16">
        <v>385</v>
      </c>
      <c r="BK4" s="16">
        <v>344</v>
      </c>
      <c r="BL4" s="16">
        <v>355</v>
      </c>
      <c r="BM4" s="16">
        <v>355</v>
      </c>
      <c r="BN4" s="16">
        <v>407900</v>
      </c>
      <c r="BO4" s="16">
        <v>-6</v>
      </c>
      <c r="BP4" s="16">
        <f>BO4/BI4*100</f>
        <v>-1.662049861495845</v>
      </c>
      <c r="BQ4" s="19">
        <f>BQ3/BQ2*100</f>
        <v>20</v>
      </c>
      <c r="BR4" s="18">
        <v>44013</v>
      </c>
      <c r="BS4" s="16">
        <v>358</v>
      </c>
      <c r="BT4" s="16">
        <v>372</v>
      </c>
      <c r="BU4" s="16">
        <v>333</v>
      </c>
      <c r="BV4" s="16">
        <v>333</v>
      </c>
      <c r="BW4" s="16">
        <v>333</v>
      </c>
      <c r="BX4" s="16">
        <v>252700</v>
      </c>
      <c r="BY4" s="16">
        <v>-25</v>
      </c>
      <c r="BZ4" s="16">
        <f>BY4/BS4*100</f>
        <v>-6.983240223463687</v>
      </c>
      <c r="CA4" s="19">
        <f>CA3/CA2*100</f>
        <v>20</v>
      </c>
      <c r="CB4" s="18">
        <v>44046</v>
      </c>
      <c r="CC4" s="16">
        <v>333</v>
      </c>
      <c r="CD4" s="16">
        <v>364</v>
      </c>
      <c r="CE4" s="16">
        <v>324</v>
      </c>
      <c r="CF4" s="16">
        <v>359</v>
      </c>
      <c r="CG4" s="16">
        <v>359</v>
      </c>
      <c r="CH4" s="16">
        <v>108400</v>
      </c>
      <c r="CI4" s="16">
        <v>26</v>
      </c>
      <c r="CJ4" s="16">
        <f>CI4/CC4*100</f>
        <v>7.8078078078078077</v>
      </c>
      <c r="CK4" s="19">
        <f>CK3/CK2*100</f>
        <v>40</v>
      </c>
      <c r="CL4" s="18">
        <v>44075</v>
      </c>
      <c r="CM4" s="16">
        <v>359</v>
      </c>
      <c r="CN4" s="16">
        <v>404</v>
      </c>
      <c r="CO4" s="16">
        <v>359</v>
      </c>
      <c r="CP4" s="16">
        <v>400</v>
      </c>
      <c r="CQ4" s="16">
        <v>400</v>
      </c>
      <c r="CR4" s="16">
        <v>337500</v>
      </c>
      <c r="CS4" s="16">
        <v>41</v>
      </c>
      <c r="CT4" s="16">
        <f>CS4/CM4*100</f>
        <v>11.420612813370473</v>
      </c>
      <c r="CU4" s="19">
        <f>CU3/CU2*100</f>
        <v>60</v>
      </c>
      <c r="CV4" s="18">
        <v>44106</v>
      </c>
      <c r="CW4" s="16">
        <v>397</v>
      </c>
      <c r="CX4" s="16">
        <v>399</v>
      </c>
      <c r="CY4" s="16">
        <v>372</v>
      </c>
      <c r="CZ4" s="16">
        <v>374</v>
      </c>
      <c r="DA4" s="16">
        <v>374</v>
      </c>
      <c r="DB4" s="16">
        <v>105200</v>
      </c>
      <c r="DC4" s="16">
        <v>-23</v>
      </c>
      <c r="DD4" s="16">
        <f>DC4/CW4*100</f>
        <v>-5.7934508816120909</v>
      </c>
      <c r="DE4" s="19">
        <f>DE3/DE2*100</f>
        <v>40</v>
      </c>
      <c r="DF4" s="18">
        <v>44137</v>
      </c>
      <c r="DG4" s="16">
        <v>369</v>
      </c>
      <c r="DH4" s="16">
        <v>383</v>
      </c>
      <c r="DI4" s="16">
        <v>348</v>
      </c>
      <c r="DJ4" s="16">
        <v>353</v>
      </c>
      <c r="DK4" s="16">
        <v>353</v>
      </c>
      <c r="DL4" s="16">
        <v>245500</v>
      </c>
      <c r="DM4" s="16">
        <v>-16</v>
      </c>
      <c r="DN4" s="16">
        <f>DM4/DG4*100</f>
        <v>-4.3360433604336039</v>
      </c>
      <c r="DO4" s="19">
        <f>DO3/DO2*100</f>
        <v>20</v>
      </c>
      <c r="DP4" s="18">
        <v>44166</v>
      </c>
      <c r="DQ4" s="16">
        <v>355</v>
      </c>
      <c r="DR4" s="16">
        <v>355</v>
      </c>
      <c r="DS4" s="16">
        <v>334</v>
      </c>
      <c r="DT4" s="16">
        <v>337</v>
      </c>
      <c r="DU4" s="16">
        <v>337</v>
      </c>
      <c r="DV4" s="16">
        <v>288900</v>
      </c>
      <c r="DW4" s="16">
        <v>-18</v>
      </c>
      <c r="DX4" s="16">
        <f>DW4/DQ4*100</f>
        <v>-5.070422535211268</v>
      </c>
      <c r="DY4" s="19">
        <f>DY3/DY2*100</f>
        <v>40</v>
      </c>
    </row>
    <row r="5" spans="1:129">
      <c r="A5" s="17">
        <v>43192</v>
      </c>
      <c r="B5" s="16">
        <v>568</v>
      </c>
      <c r="C5" s="16">
        <v>589</v>
      </c>
      <c r="D5" s="16">
        <v>555</v>
      </c>
      <c r="E5" s="16">
        <v>573</v>
      </c>
      <c r="F5" s="16">
        <v>573</v>
      </c>
      <c r="G5" s="16">
        <v>459900</v>
      </c>
      <c r="H5" s="16">
        <f t="shared" si="0"/>
        <v>5</v>
      </c>
      <c r="J5" s="18">
        <v>44200</v>
      </c>
      <c r="K5" s="16">
        <v>337</v>
      </c>
      <c r="L5" s="16">
        <v>343</v>
      </c>
      <c r="M5" s="16">
        <v>304</v>
      </c>
      <c r="N5" s="16">
        <v>323</v>
      </c>
      <c r="O5" s="16">
        <v>323</v>
      </c>
      <c r="P5" s="16">
        <v>1214000</v>
      </c>
      <c r="Q5" s="16">
        <v>-14</v>
      </c>
      <c r="R5" s="16">
        <f>Q5/K5*100</f>
        <v>-4.154302670623145</v>
      </c>
      <c r="S5" s="16">
        <f>AVERAGE(R2:R6)</f>
        <v>-3.0147031182384327</v>
      </c>
      <c r="T5" s="18">
        <v>44228</v>
      </c>
      <c r="U5" s="16">
        <v>323</v>
      </c>
      <c r="V5" s="16">
        <v>336</v>
      </c>
      <c r="W5" s="16">
        <v>319</v>
      </c>
      <c r="X5" s="16">
        <v>325</v>
      </c>
      <c r="Y5" s="16">
        <v>325</v>
      </c>
      <c r="Z5" s="16">
        <v>242300</v>
      </c>
      <c r="AA5" s="16">
        <v>2</v>
      </c>
      <c r="AB5" s="16">
        <f>AA5/U5*100</f>
        <v>0.61919504643962853</v>
      </c>
      <c r="AC5" s="16">
        <f>AVERAGE(AB2:AB6)</f>
        <v>-3.822304770957468</v>
      </c>
      <c r="AD5" s="18">
        <v>44256</v>
      </c>
      <c r="AE5" s="16">
        <v>325</v>
      </c>
      <c r="AF5" s="16">
        <v>399</v>
      </c>
      <c r="AG5" s="16">
        <v>317</v>
      </c>
      <c r="AH5" s="16">
        <v>348</v>
      </c>
      <c r="AI5" s="16">
        <v>348</v>
      </c>
      <c r="AJ5" s="16">
        <v>1425800</v>
      </c>
      <c r="AK5" s="16">
        <v>23</v>
      </c>
      <c r="AL5" s="16">
        <f>AK5/AE5*100</f>
        <v>7.0769230769230766</v>
      </c>
      <c r="AM5" s="16">
        <f>AVERAGE(AL2:AL6)</f>
        <v>5.9866948852830735</v>
      </c>
      <c r="AN5" s="18">
        <v>44287</v>
      </c>
      <c r="AO5" s="16">
        <v>350</v>
      </c>
      <c r="AP5" s="16">
        <v>351</v>
      </c>
      <c r="AQ5" s="16">
        <v>330</v>
      </c>
      <c r="AR5" s="16">
        <v>331</v>
      </c>
      <c r="AS5" s="16">
        <v>331</v>
      </c>
      <c r="AT5" s="16">
        <v>215900</v>
      </c>
      <c r="AU5" s="16">
        <v>-19</v>
      </c>
      <c r="AV5" s="16">
        <f>AU5/AO5*100</f>
        <v>-5.4285714285714288</v>
      </c>
      <c r="AW5" s="16">
        <f>AVERAGE(AV2:AV6)</f>
        <v>-0.58397481652121785</v>
      </c>
      <c r="AX5" s="18">
        <v>44322</v>
      </c>
      <c r="AY5" s="16">
        <v>333</v>
      </c>
      <c r="AZ5" s="16">
        <v>340</v>
      </c>
      <c r="BA5" s="16">
        <v>314</v>
      </c>
      <c r="BB5" s="16">
        <v>326</v>
      </c>
      <c r="BC5" s="16">
        <v>326</v>
      </c>
      <c r="BD5" s="16">
        <v>210500</v>
      </c>
      <c r="BE5" s="16">
        <v>-7</v>
      </c>
      <c r="BF5" s="16">
        <f>BE5/AY5*100</f>
        <v>-2.1021021021021022</v>
      </c>
      <c r="BG5" s="16">
        <f>AVERAGE(BF2:BF6)</f>
        <v>-3.7946249076407441</v>
      </c>
      <c r="BH5" s="18">
        <v>44348</v>
      </c>
      <c r="BI5" s="16">
        <v>328</v>
      </c>
      <c r="BJ5" s="16">
        <v>410</v>
      </c>
      <c r="BK5" s="16">
        <v>324</v>
      </c>
      <c r="BL5" s="16">
        <v>337</v>
      </c>
      <c r="BM5" s="16">
        <v>337</v>
      </c>
      <c r="BN5" s="16">
        <v>4715000</v>
      </c>
      <c r="BO5" s="16">
        <v>9</v>
      </c>
      <c r="BP5" s="16">
        <f>BO5/BI5*100</f>
        <v>2.7439024390243905</v>
      </c>
      <c r="BQ5" s="16">
        <f>AVERAGE(BP2:BP6)</f>
        <v>-2.8238544044876801</v>
      </c>
      <c r="BR5" s="18">
        <v>44378</v>
      </c>
      <c r="BS5" s="16">
        <v>335</v>
      </c>
      <c r="BT5" s="16">
        <v>357</v>
      </c>
      <c r="BU5" s="16">
        <v>330</v>
      </c>
      <c r="BV5" s="16">
        <v>336</v>
      </c>
      <c r="BW5" s="16">
        <v>336</v>
      </c>
      <c r="BX5" s="16">
        <v>434600</v>
      </c>
      <c r="BY5" s="16">
        <v>1</v>
      </c>
      <c r="BZ5" s="16">
        <f>BY5/BS5*100</f>
        <v>0.29850746268656719</v>
      </c>
      <c r="CA5" s="16">
        <f>AVERAGE(BZ2:BZ6)</f>
        <v>-3.7598171059466194</v>
      </c>
      <c r="CB5" s="18">
        <v>44410</v>
      </c>
      <c r="CC5" s="16">
        <v>336</v>
      </c>
      <c r="CD5" s="16">
        <v>346</v>
      </c>
      <c r="CE5" s="16">
        <v>328</v>
      </c>
      <c r="CF5" s="16">
        <v>344</v>
      </c>
      <c r="CG5" s="16">
        <v>344</v>
      </c>
      <c r="CH5" s="16">
        <v>174600</v>
      </c>
      <c r="CI5" s="16">
        <v>8</v>
      </c>
      <c r="CJ5" s="16">
        <f>CI5/CC5*100</f>
        <v>2.3809523809523809</v>
      </c>
      <c r="CK5" s="16">
        <f>AVERAGE(CJ2:CJ6)</f>
        <v>-2.712492342607983</v>
      </c>
      <c r="CL5" s="18">
        <v>44440</v>
      </c>
      <c r="CM5" s="16">
        <v>346</v>
      </c>
      <c r="CN5" s="16">
        <v>363</v>
      </c>
      <c r="CO5" s="16">
        <v>335</v>
      </c>
      <c r="CP5" s="16">
        <v>346</v>
      </c>
      <c r="CQ5" s="16">
        <v>346</v>
      </c>
      <c r="CR5" s="16">
        <v>398200</v>
      </c>
      <c r="CS5" s="16">
        <v>0</v>
      </c>
      <c r="CT5" s="16">
        <f>CS5/CM5*100</f>
        <v>0</v>
      </c>
      <c r="CU5" s="16">
        <f>AVERAGE(CT2:CT6)</f>
        <v>5.5373954468114706</v>
      </c>
      <c r="CV5" s="18">
        <v>44470</v>
      </c>
      <c r="CW5" s="16">
        <v>346</v>
      </c>
      <c r="CX5" s="16">
        <v>347</v>
      </c>
      <c r="CY5" s="16">
        <v>321</v>
      </c>
      <c r="CZ5" s="16">
        <v>324</v>
      </c>
      <c r="DA5" s="16">
        <v>324</v>
      </c>
      <c r="DB5" s="16">
        <v>251800</v>
      </c>
      <c r="DC5" s="16">
        <v>-22</v>
      </c>
      <c r="DD5" s="16">
        <f>DC5/CW5*100</f>
        <v>-6.3583815028901727</v>
      </c>
      <c r="DE5" s="16">
        <f>AVERAGE(DD2:DD6)</f>
        <v>-1.1917088598931147</v>
      </c>
      <c r="DF5" s="18">
        <v>44501</v>
      </c>
      <c r="DG5" s="16">
        <v>325</v>
      </c>
      <c r="DH5" s="16">
        <v>330</v>
      </c>
      <c r="DI5" s="16">
        <v>306</v>
      </c>
      <c r="DJ5" s="16">
        <v>310</v>
      </c>
      <c r="DK5" s="16">
        <v>310</v>
      </c>
      <c r="DL5" s="16">
        <v>237100</v>
      </c>
      <c r="DM5" s="16">
        <v>-15</v>
      </c>
      <c r="DN5" s="16">
        <f>DM5/DG5*100</f>
        <v>-4.6153846153846159</v>
      </c>
      <c r="DO5" s="16">
        <f>AVERAGE(DN2:DN6)</f>
        <v>-3.5384535815746974</v>
      </c>
      <c r="DP5" s="18">
        <v>44531</v>
      </c>
      <c r="DQ5" s="16">
        <v>308</v>
      </c>
      <c r="DR5" s="16">
        <v>320</v>
      </c>
      <c r="DS5" s="16">
        <v>290</v>
      </c>
      <c r="DT5" s="16">
        <v>298</v>
      </c>
      <c r="DU5" s="16">
        <v>298</v>
      </c>
      <c r="DV5" s="16">
        <v>555600</v>
      </c>
      <c r="DW5" s="16">
        <v>-10</v>
      </c>
      <c r="DX5" s="16">
        <f>DW5/DQ5*100</f>
        <v>-3.2467532467532463</v>
      </c>
      <c r="DY5" s="16">
        <f>AVERAGE(DX2:DX6)</f>
        <v>0.81994488591073988</v>
      </c>
    </row>
    <row r="6" spans="1:129">
      <c r="A6" s="17">
        <v>43221</v>
      </c>
      <c r="B6" s="16">
        <v>568</v>
      </c>
      <c r="C6" s="16">
        <v>593</v>
      </c>
      <c r="D6" s="16">
        <v>562</v>
      </c>
      <c r="E6" s="16">
        <v>571</v>
      </c>
      <c r="F6" s="16">
        <v>571</v>
      </c>
      <c r="G6" s="16">
        <v>366100</v>
      </c>
      <c r="H6" s="16">
        <f t="shared" si="0"/>
        <v>3</v>
      </c>
      <c r="J6" s="18">
        <v>44565</v>
      </c>
      <c r="K6" s="16">
        <v>304</v>
      </c>
      <c r="L6" s="16">
        <v>312</v>
      </c>
      <c r="M6" s="16">
        <v>270</v>
      </c>
      <c r="N6" s="16">
        <v>292</v>
      </c>
      <c r="O6" s="16">
        <v>292</v>
      </c>
      <c r="P6" s="16">
        <v>876600</v>
      </c>
      <c r="Q6" s="16">
        <v>-12</v>
      </c>
      <c r="R6" s="16">
        <f>Q6/K6*100</f>
        <v>-3.9473684210526314</v>
      </c>
      <c r="S6" s="16">
        <f>MEDIAN(R2:R6)</f>
        <v>-3.9473684210526314</v>
      </c>
      <c r="T6" s="18">
        <v>44593</v>
      </c>
      <c r="U6" s="16">
        <v>294</v>
      </c>
      <c r="V6" s="16">
        <v>294</v>
      </c>
      <c r="W6" s="16">
        <v>275</v>
      </c>
      <c r="X6" s="16">
        <v>280</v>
      </c>
      <c r="Y6" s="16">
        <v>280</v>
      </c>
      <c r="Z6" s="16">
        <v>165000</v>
      </c>
      <c r="AA6" s="16">
        <v>-14</v>
      </c>
      <c r="AB6" s="16">
        <f>AA6/U6*100</f>
        <v>-4.7619047619047619</v>
      </c>
      <c r="AC6" s="16">
        <f>MEDIAN(AB2:AB6)</f>
        <v>-4.7619047619047619</v>
      </c>
      <c r="AD6" s="18">
        <v>44621</v>
      </c>
      <c r="AE6" s="16">
        <v>282</v>
      </c>
      <c r="AF6" s="16">
        <v>300</v>
      </c>
      <c r="AG6" s="16">
        <v>269</v>
      </c>
      <c r="AH6" s="16">
        <v>290</v>
      </c>
      <c r="AI6" s="16">
        <v>290</v>
      </c>
      <c r="AJ6" s="16">
        <v>335900</v>
      </c>
      <c r="AK6" s="16">
        <v>8</v>
      </c>
      <c r="AL6" s="16">
        <f>AK6/AE6*100</f>
        <v>2.8368794326241136</v>
      </c>
      <c r="AM6" s="16">
        <f>MEDIAN(AL2:AL6)</f>
        <v>3.2727272727272729</v>
      </c>
      <c r="AN6" s="18">
        <v>44652</v>
      </c>
      <c r="AO6" s="16">
        <v>303</v>
      </c>
      <c r="AP6" s="16">
        <v>310</v>
      </c>
      <c r="AQ6" s="16">
        <v>293</v>
      </c>
      <c r="AR6" s="16">
        <v>309</v>
      </c>
      <c r="AS6" s="16">
        <v>309</v>
      </c>
      <c r="AT6" s="16">
        <v>365100</v>
      </c>
      <c r="AU6" s="16">
        <v>6</v>
      </c>
      <c r="AV6" s="16">
        <f>AU6/AO6*100</f>
        <v>1.9801980198019802</v>
      </c>
      <c r="AW6" s="16">
        <f>MEDIAN(AV2:AV6)</f>
        <v>0.88028169014084512</v>
      </c>
      <c r="AX6" s="18">
        <v>44683</v>
      </c>
      <c r="AY6" s="16">
        <v>301</v>
      </c>
      <c r="AZ6" s="16">
        <v>309</v>
      </c>
      <c r="BA6" s="16">
        <v>289</v>
      </c>
      <c r="BB6" s="16">
        <v>304</v>
      </c>
      <c r="BC6" s="16">
        <v>304</v>
      </c>
      <c r="BD6" s="16">
        <v>127100</v>
      </c>
      <c r="BE6" s="16">
        <v>3</v>
      </c>
      <c r="BF6" s="16">
        <f>BE6/AY6*100</f>
        <v>0.99667774086378735</v>
      </c>
      <c r="BG6" s="16">
        <f>MEDIAN(BF2:BF6)</f>
        <v>-2.1021021021021022</v>
      </c>
      <c r="BH6" s="18">
        <v>44713</v>
      </c>
      <c r="BI6" s="16">
        <v>304</v>
      </c>
      <c r="BJ6" s="16">
        <v>320</v>
      </c>
      <c r="BK6" s="16">
        <v>285</v>
      </c>
      <c r="BL6" s="16">
        <v>289</v>
      </c>
      <c r="BM6" s="16">
        <v>289</v>
      </c>
      <c r="BN6" s="16">
        <v>272900</v>
      </c>
      <c r="BO6" s="16">
        <v>-15</v>
      </c>
      <c r="BP6" s="16">
        <f>BO6/BI6*100</f>
        <v>-4.9342105263157894</v>
      </c>
      <c r="BQ6" s="16">
        <f>MEDIAN(BP2:BP6)</f>
        <v>-3.0088495575221237</v>
      </c>
      <c r="BR6" s="18">
        <v>44743</v>
      </c>
      <c r="BS6" s="16">
        <v>289</v>
      </c>
      <c r="BT6" s="16">
        <v>293</v>
      </c>
      <c r="BU6" s="16">
        <v>269</v>
      </c>
      <c r="BV6" s="16">
        <v>274</v>
      </c>
      <c r="BW6" s="16">
        <v>274</v>
      </c>
      <c r="BX6" s="16">
        <v>401500</v>
      </c>
      <c r="BY6" s="16">
        <v>-15</v>
      </c>
      <c r="BZ6" s="16">
        <f>BY6/BS6*100</f>
        <v>-5.1903114186851207</v>
      </c>
      <c r="CA6" s="16">
        <f>MEDIAN(BZ2:BZ6)</f>
        <v>-3.4632034632034632</v>
      </c>
      <c r="CB6" s="18">
        <v>44774</v>
      </c>
      <c r="CC6" s="16">
        <v>274</v>
      </c>
      <c r="CD6" s="16">
        <v>275</v>
      </c>
      <c r="CE6" s="16">
        <v>263</v>
      </c>
      <c r="CF6" s="16">
        <v>267</v>
      </c>
      <c r="CG6" s="16">
        <v>267</v>
      </c>
      <c r="CH6" s="16">
        <v>226900</v>
      </c>
      <c r="CI6" s="16">
        <v>-7</v>
      </c>
      <c r="CJ6" s="16">
        <f>CI6/CC6*100</f>
        <v>-2.5547445255474455</v>
      </c>
      <c r="CK6" s="16">
        <f>MEDIAN(CJ2:CJ6)</f>
        <v>-2.5547445255474455</v>
      </c>
      <c r="CL6" s="18">
        <v>44805</v>
      </c>
      <c r="CM6" s="16">
        <v>266</v>
      </c>
      <c r="CN6" s="16">
        <v>272</v>
      </c>
      <c r="CO6" s="16">
        <v>252</v>
      </c>
      <c r="CP6" s="16">
        <v>253</v>
      </c>
      <c r="CQ6" s="16">
        <v>253</v>
      </c>
      <c r="CR6" s="16">
        <v>338800</v>
      </c>
      <c r="CS6" s="16">
        <v>-13</v>
      </c>
      <c r="CT6" s="16">
        <f>CS6/CM6*100</f>
        <v>-4.8872180451127818</v>
      </c>
      <c r="CU6" s="16">
        <f>MEDIAN(CT2:CT6)</f>
        <v>2.1696252465483234</v>
      </c>
      <c r="CV6" s="18">
        <v>44837</v>
      </c>
      <c r="CW6" s="16">
        <v>253</v>
      </c>
      <c r="CX6" s="16">
        <v>265</v>
      </c>
      <c r="CY6" s="16">
        <v>251</v>
      </c>
      <c r="CZ6" s="16">
        <v>258</v>
      </c>
      <c r="DA6" s="16">
        <v>258</v>
      </c>
      <c r="DB6" s="16">
        <v>494300</v>
      </c>
      <c r="DC6" s="16">
        <v>5</v>
      </c>
      <c r="DD6" s="16">
        <f>DC6/CW6*100</f>
        <v>1.9762845849802373</v>
      </c>
      <c r="DE6" s="16">
        <f>MEDIAN(DD2:DD6)</f>
        <v>-4.6065259117082533</v>
      </c>
      <c r="DF6" s="18">
        <v>44866</v>
      </c>
      <c r="DG6" s="16">
        <v>256</v>
      </c>
      <c r="DH6" s="16">
        <v>265</v>
      </c>
      <c r="DI6" s="16">
        <v>255</v>
      </c>
      <c r="DJ6" s="16">
        <v>262</v>
      </c>
      <c r="DK6" s="16">
        <v>262</v>
      </c>
      <c r="DL6" s="16">
        <v>234000</v>
      </c>
      <c r="DM6" s="16">
        <v>6</v>
      </c>
      <c r="DN6" s="16">
        <f>DM6/DG6*100</f>
        <v>2.34375</v>
      </c>
      <c r="DO6" s="16">
        <f>MEDIAN(DN2:DN6)</f>
        <v>-4.3360433604336039</v>
      </c>
      <c r="DP6" s="18">
        <v>44896</v>
      </c>
      <c r="DQ6" s="16">
        <v>265</v>
      </c>
      <c r="DR6" s="16">
        <v>324</v>
      </c>
      <c r="DS6" s="16">
        <v>255</v>
      </c>
      <c r="DT6" s="16">
        <v>260</v>
      </c>
      <c r="DU6" s="16">
        <v>260</v>
      </c>
      <c r="DV6" s="16">
        <v>1476100</v>
      </c>
      <c r="DW6" s="16">
        <v>-5</v>
      </c>
      <c r="DX6" s="16">
        <f>DW6/DQ6*100</f>
        <v>-1.8867924528301887</v>
      </c>
      <c r="DY6" s="16">
        <f>MEDIAN(DX2:DX6)</f>
        <v>-1.8867924528301887</v>
      </c>
    </row>
    <row r="7" spans="1:129">
      <c r="A7" s="17">
        <v>43252</v>
      </c>
      <c r="B7" s="16">
        <v>565</v>
      </c>
      <c r="C7" s="16">
        <v>577</v>
      </c>
      <c r="D7" s="16">
        <v>543</v>
      </c>
      <c r="E7" s="16">
        <v>548</v>
      </c>
      <c r="F7" s="16">
        <v>548</v>
      </c>
      <c r="G7" s="16">
        <v>424700</v>
      </c>
      <c r="H7" s="16">
        <f t="shared" si="0"/>
        <v>-17</v>
      </c>
    </row>
    <row r="8" spans="1:129">
      <c r="A8" s="17">
        <v>43283</v>
      </c>
      <c r="B8" s="16">
        <v>549</v>
      </c>
      <c r="C8" s="16">
        <v>554</v>
      </c>
      <c r="D8" s="16">
        <v>507</v>
      </c>
      <c r="E8" s="16">
        <v>530</v>
      </c>
      <c r="F8" s="16">
        <v>530</v>
      </c>
      <c r="G8" s="16">
        <v>407900</v>
      </c>
      <c r="H8" s="16">
        <f t="shared" si="0"/>
        <v>-19</v>
      </c>
    </row>
    <row r="9" spans="1:129">
      <c r="A9" s="17">
        <v>43313</v>
      </c>
      <c r="B9" s="16">
        <v>534</v>
      </c>
      <c r="C9" s="16">
        <v>534</v>
      </c>
      <c r="D9" s="16">
        <v>490</v>
      </c>
      <c r="E9" s="16">
        <v>505</v>
      </c>
      <c r="F9" s="16">
        <v>505</v>
      </c>
      <c r="G9" s="16">
        <v>295900</v>
      </c>
      <c r="H9" s="16">
        <f t="shared" si="0"/>
        <v>-29</v>
      </c>
    </row>
    <row r="10" spans="1:129">
      <c r="A10" s="17">
        <v>43346</v>
      </c>
      <c r="B10" s="16">
        <v>507</v>
      </c>
      <c r="C10" s="16">
        <v>528</v>
      </c>
      <c r="D10" s="16">
        <v>500</v>
      </c>
      <c r="E10" s="16">
        <v>518</v>
      </c>
      <c r="F10" s="16">
        <v>518</v>
      </c>
      <c r="G10" s="16">
        <v>365300</v>
      </c>
      <c r="H10" s="16">
        <f t="shared" si="0"/>
        <v>11</v>
      </c>
    </row>
    <row r="11" spans="1:129">
      <c r="A11" s="17">
        <v>43374</v>
      </c>
      <c r="B11" s="16">
        <v>521</v>
      </c>
      <c r="C11" s="16">
        <v>521</v>
      </c>
      <c r="D11" s="16">
        <v>477</v>
      </c>
      <c r="E11" s="16">
        <v>497</v>
      </c>
      <c r="F11" s="16">
        <v>497</v>
      </c>
      <c r="G11" s="16">
        <v>362700</v>
      </c>
      <c r="H11" s="16">
        <f t="shared" si="0"/>
        <v>-24</v>
      </c>
    </row>
    <row r="12" spans="1:129">
      <c r="A12" s="17">
        <v>43405</v>
      </c>
      <c r="B12" s="16">
        <v>498</v>
      </c>
      <c r="C12" s="16">
        <v>501</v>
      </c>
      <c r="D12" s="16">
        <v>479</v>
      </c>
      <c r="E12" s="16">
        <v>495</v>
      </c>
      <c r="F12" s="16">
        <v>495</v>
      </c>
      <c r="G12" s="16">
        <v>340200</v>
      </c>
      <c r="H12" s="16">
        <f t="shared" si="0"/>
        <v>-3</v>
      </c>
    </row>
    <row r="13" spans="1:129">
      <c r="A13" s="17">
        <v>43437</v>
      </c>
      <c r="B13" s="16">
        <v>495</v>
      </c>
      <c r="C13" s="16">
        <v>570</v>
      </c>
      <c r="D13" s="16">
        <v>463</v>
      </c>
      <c r="E13" s="16">
        <v>509</v>
      </c>
      <c r="F13" s="16">
        <v>509</v>
      </c>
      <c r="G13" s="16">
        <v>970700</v>
      </c>
      <c r="H13" s="16">
        <f t="shared" si="0"/>
        <v>14</v>
      </c>
    </row>
    <row r="14" spans="1:129">
      <c r="A14" s="17">
        <v>43469</v>
      </c>
      <c r="B14" s="16">
        <v>498</v>
      </c>
      <c r="C14" s="16">
        <v>535</v>
      </c>
      <c r="D14" s="16">
        <v>495</v>
      </c>
      <c r="E14" s="16">
        <v>511</v>
      </c>
      <c r="F14" s="16">
        <v>511</v>
      </c>
      <c r="G14" s="16">
        <v>672600</v>
      </c>
      <c r="H14" s="16">
        <f t="shared" si="0"/>
        <v>13</v>
      </c>
    </row>
    <row r="15" spans="1:129">
      <c r="A15" s="17">
        <v>43497</v>
      </c>
      <c r="B15" s="16">
        <v>510</v>
      </c>
      <c r="C15" s="16">
        <v>549</v>
      </c>
      <c r="D15" s="16">
        <v>509</v>
      </c>
      <c r="E15" s="16">
        <v>539</v>
      </c>
      <c r="F15" s="16">
        <v>539</v>
      </c>
      <c r="G15" s="16">
        <v>321000</v>
      </c>
      <c r="H15" s="16">
        <f t="shared" si="0"/>
        <v>29</v>
      </c>
    </row>
    <row r="16" spans="1:129">
      <c r="A16" s="17">
        <v>43525</v>
      </c>
      <c r="B16" s="16">
        <v>535</v>
      </c>
      <c r="C16" s="16">
        <v>555</v>
      </c>
      <c r="D16" s="16">
        <v>502</v>
      </c>
      <c r="E16" s="16">
        <v>532</v>
      </c>
      <c r="F16" s="16">
        <v>532</v>
      </c>
      <c r="G16" s="16">
        <v>379400</v>
      </c>
      <c r="H16" s="16">
        <f t="shared" si="0"/>
        <v>-3</v>
      </c>
    </row>
    <row r="17" spans="1:8">
      <c r="A17" s="17">
        <v>43556</v>
      </c>
      <c r="B17" s="16">
        <v>533</v>
      </c>
      <c r="C17" s="16">
        <v>555</v>
      </c>
      <c r="D17" s="16">
        <v>506</v>
      </c>
      <c r="E17" s="16">
        <v>526</v>
      </c>
      <c r="F17" s="16">
        <v>526</v>
      </c>
      <c r="G17" s="16">
        <v>417500</v>
      </c>
      <c r="H17" s="16">
        <f t="shared" si="0"/>
        <v>-7</v>
      </c>
    </row>
    <row r="18" spans="1:8">
      <c r="A18" s="17">
        <v>43592</v>
      </c>
      <c r="B18" s="16">
        <v>525</v>
      </c>
      <c r="C18" s="16">
        <v>527</v>
      </c>
      <c r="D18" s="16">
        <v>489</v>
      </c>
      <c r="E18" s="16">
        <v>498</v>
      </c>
      <c r="F18" s="16">
        <v>498</v>
      </c>
      <c r="G18" s="16">
        <v>184100</v>
      </c>
      <c r="H18" s="16">
        <f t="shared" si="0"/>
        <v>-27</v>
      </c>
    </row>
    <row r="19" spans="1:8">
      <c r="A19" s="17">
        <v>43619</v>
      </c>
      <c r="B19" s="16">
        <v>496</v>
      </c>
      <c r="C19" s="16">
        <v>514</v>
      </c>
      <c r="D19" s="16">
        <v>460</v>
      </c>
      <c r="E19" s="16">
        <v>460</v>
      </c>
      <c r="F19" s="16">
        <v>460</v>
      </c>
      <c r="G19" s="16">
        <v>331800</v>
      </c>
      <c r="H19" s="16">
        <f t="shared" si="0"/>
        <v>-36</v>
      </c>
    </row>
    <row r="20" spans="1:8">
      <c r="A20" s="17">
        <v>43647</v>
      </c>
      <c r="B20" s="16">
        <v>462</v>
      </c>
      <c r="C20" s="16">
        <v>477</v>
      </c>
      <c r="D20" s="16">
        <v>443</v>
      </c>
      <c r="E20" s="16">
        <v>446</v>
      </c>
      <c r="F20" s="16">
        <v>446</v>
      </c>
      <c r="G20" s="16">
        <v>388400</v>
      </c>
      <c r="H20" s="16">
        <f t="shared" si="0"/>
        <v>-16</v>
      </c>
    </row>
    <row r="21" spans="1:8">
      <c r="A21" s="17">
        <v>43678</v>
      </c>
      <c r="B21" s="16">
        <v>444</v>
      </c>
      <c r="C21" s="16">
        <v>446</v>
      </c>
      <c r="D21" s="16">
        <v>374</v>
      </c>
      <c r="E21" s="16">
        <v>374</v>
      </c>
      <c r="F21" s="16">
        <v>374</v>
      </c>
      <c r="G21" s="16">
        <v>293900</v>
      </c>
      <c r="H21" s="16">
        <f t="shared" si="0"/>
        <v>-70</v>
      </c>
    </row>
    <row r="22" spans="1:8">
      <c r="A22" s="17">
        <v>43710</v>
      </c>
      <c r="B22" s="16">
        <v>374</v>
      </c>
      <c r="C22" s="16">
        <v>450</v>
      </c>
      <c r="D22" s="16">
        <v>335</v>
      </c>
      <c r="E22" s="16">
        <v>445</v>
      </c>
      <c r="F22" s="16">
        <v>445</v>
      </c>
      <c r="G22" s="16">
        <v>1270900</v>
      </c>
      <c r="H22" s="16">
        <f t="shared" si="0"/>
        <v>71</v>
      </c>
    </row>
    <row r="23" spans="1:8">
      <c r="A23" s="17">
        <v>43739</v>
      </c>
      <c r="B23" s="16">
        <v>442</v>
      </c>
      <c r="C23" s="16">
        <v>503</v>
      </c>
      <c r="D23" s="16">
        <v>398</v>
      </c>
      <c r="E23" s="16">
        <v>481</v>
      </c>
      <c r="F23" s="16">
        <v>481</v>
      </c>
      <c r="G23" s="16">
        <v>1622000</v>
      </c>
      <c r="H23" s="16">
        <f t="shared" si="0"/>
        <v>39</v>
      </c>
    </row>
    <row r="24" spans="1:8">
      <c r="A24" s="17">
        <v>43770</v>
      </c>
      <c r="B24" s="16">
        <v>477</v>
      </c>
      <c r="C24" s="16">
        <v>482</v>
      </c>
      <c r="D24" s="16">
        <v>427</v>
      </c>
      <c r="E24" s="16">
        <v>427</v>
      </c>
      <c r="F24" s="16">
        <v>427</v>
      </c>
      <c r="G24" s="16">
        <v>445400</v>
      </c>
      <c r="H24" s="16">
        <f t="shared" si="0"/>
        <v>-50</v>
      </c>
    </row>
    <row r="25" spans="1:8">
      <c r="A25" s="17">
        <v>43801</v>
      </c>
      <c r="B25" s="16">
        <v>427</v>
      </c>
      <c r="C25" s="16">
        <v>480</v>
      </c>
      <c r="D25" s="16">
        <v>427</v>
      </c>
      <c r="E25" s="16">
        <v>476</v>
      </c>
      <c r="F25" s="16">
        <v>476</v>
      </c>
      <c r="G25" s="16">
        <v>395400</v>
      </c>
      <c r="H25" s="16">
        <f t="shared" si="0"/>
        <v>49</v>
      </c>
    </row>
    <row r="26" spans="1:8">
      <c r="A26" s="17">
        <v>43836</v>
      </c>
      <c r="B26" s="16">
        <v>475</v>
      </c>
      <c r="C26" s="16">
        <v>475</v>
      </c>
      <c r="D26" s="16">
        <v>412</v>
      </c>
      <c r="E26" s="16">
        <v>439</v>
      </c>
      <c r="F26" s="16">
        <v>439</v>
      </c>
      <c r="G26" s="16">
        <v>684500</v>
      </c>
      <c r="H26" s="16">
        <f t="shared" si="0"/>
        <v>-36</v>
      </c>
    </row>
    <row r="27" spans="1:8">
      <c r="A27" s="17">
        <v>43864</v>
      </c>
      <c r="B27" s="16">
        <v>432</v>
      </c>
      <c r="C27" s="16">
        <v>448</v>
      </c>
      <c r="D27" s="16">
        <v>361</v>
      </c>
      <c r="E27" s="16">
        <v>370</v>
      </c>
      <c r="F27" s="16">
        <v>370</v>
      </c>
      <c r="G27" s="16">
        <v>459500</v>
      </c>
      <c r="H27" s="16">
        <f t="shared" si="0"/>
        <v>-62</v>
      </c>
    </row>
    <row r="28" spans="1:8">
      <c r="A28" s="17">
        <v>43892</v>
      </c>
      <c r="B28" s="16">
        <v>364</v>
      </c>
      <c r="C28" s="16">
        <v>427</v>
      </c>
      <c r="D28" s="16">
        <v>310</v>
      </c>
      <c r="E28" s="16">
        <v>427</v>
      </c>
      <c r="F28" s="16">
        <v>427</v>
      </c>
      <c r="G28" s="16">
        <v>588300</v>
      </c>
      <c r="H28" s="16">
        <f t="shared" si="0"/>
        <v>63</v>
      </c>
    </row>
    <row r="29" spans="1:8">
      <c r="A29" s="17">
        <v>43922</v>
      </c>
      <c r="B29" s="16">
        <v>416</v>
      </c>
      <c r="C29" s="16">
        <v>439</v>
      </c>
      <c r="D29" s="16">
        <v>398</v>
      </c>
      <c r="E29" s="16">
        <v>420</v>
      </c>
      <c r="F29" s="16">
        <v>420</v>
      </c>
      <c r="G29" s="16">
        <v>292200</v>
      </c>
      <c r="H29" s="16">
        <f t="shared" si="0"/>
        <v>4</v>
      </c>
    </row>
    <row r="30" spans="1:8">
      <c r="A30" s="17">
        <v>43952</v>
      </c>
      <c r="B30" s="16">
        <v>415</v>
      </c>
      <c r="C30" s="16">
        <v>425</v>
      </c>
      <c r="D30" s="16">
        <v>360</v>
      </c>
      <c r="E30" s="16">
        <v>360</v>
      </c>
      <c r="F30" s="16">
        <v>360</v>
      </c>
      <c r="G30" s="16">
        <v>253600</v>
      </c>
      <c r="H30" s="16">
        <f t="shared" si="0"/>
        <v>-55</v>
      </c>
    </row>
    <row r="31" spans="1:8">
      <c r="A31" s="17">
        <v>43983</v>
      </c>
      <c r="B31" s="16">
        <v>361</v>
      </c>
      <c r="C31" s="16">
        <v>385</v>
      </c>
      <c r="D31" s="16">
        <v>344</v>
      </c>
      <c r="E31" s="16">
        <v>355</v>
      </c>
      <c r="F31" s="16">
        <v>355</v>
      </c>
      <c r="G31" s="16">
        <v>407900</v>
      </c>
      <c r="H31" s="16">
        <f t="shared" si="0"/>
        <v>-6</v>
      </c>
    </row>
    <row r="32" spans="1:8">
      <c r="A32" s="17">
        <v>44013</v>
      </c>
      <c r="B32" s="16">
        <v>358</v>
      </c>
      <c r="C32" s="16">
        <v>372</v>
      </c>
      <c r="D32" s="16">
        <v>333</v>
      </c>
      <c r="E32" s="16">
        <v>333</v>
      </c>
      <c r="F32" s="16">
        <v>333</v>
      </c>
      <c r="G32" s="16">
        <v>252700</v>
      </c>
      <c r="H32" s="16">
        <f t="shared" si="0"/>
        <v>-25</v>
      </c>
    </row>
    <row r="33" spans="1:8">
      <c r="A33" s="17">
        <v>44046</v>
      </c>
      <c r="B33" s="16">
        <v>333</v>
      </c>
      <c r="C33" s="16">
        <v>364</v>
      </c>
      <c r="D33" s="16">
        <v>324</v>
      </c>
      <c r="E33" s="16">
        <v>359</v>
      </c>
      <c r="F33" s="16">
        <v>359</v>
      </c>
      <c r="G33" s="16">
        <v>108400</v>
      </c>
      <c r="H33" s="16">
        <f t="shared" si="0"/>
        <v>26</v>
      </c>
    </row>
    <row r="34" spans="1:8">
      <c r="A34" s="17">
        <v>44075</v>
      </c>
      <c r="B34" s="16">
        <v>359</v>
      </c>
      <c r="C34" s="16">
        <v>404</v>
      </c>
      <c r="D34" s="16">
        <v>359</v>
      </c>
      <c r="E34" s="16">
        <v>400</v>
      </c>
      <c r="F34" s="16">
        <v>400</v>
      </c>
      <c r="G34" s="16">
        <v>337500</v>
      </c>
      <c r="H34" s="16">
        <f t="shared" ref="H34:H61" si="1">E34-B34</f>
        <v>41</v>
      </c>
    </row>
    <row r="35" spans="1:8">
      <c r="A35" s="17">
        <v>44106</v>
      </c>
      <c r="B35" s="16">
        <v>397</v>
      </c>
      <c r="C35" s="16">
        <v>399</v>
      </c>
      <c r="D35" s="16">
        <v>372</v>
      </c>
      <c r="E35" s="16">
        <v>374</v>
      </c>
      <c r="F35" s="16">
        <v>374</v>
      </c>
      <c r="G35" s="16">
        <v>105200</v>
      </c>
      <c r="H35" s="16">
        <f t="shared" si="1"/>
        <v>-23</v>
      </c>
    </row>
    <row r="36" spans="1:8">
      <c r="A36" s="17">
        <v>44137</v>
      </c>
      <c r="B36" s="16">
        <v>369</v>
      </c>
      <c r="C36" s="16">
        <v>383</v>
      </c>
      <c r="D36" s="16">
        <v>348</v>
      </c>
      <c r="E36" s="16">
        <v>353</v>
      </c>
      <c r="F36" s="16">
        <v>353</v>
      </c>
      <c r="G36" s="16">
        <v>245500</v>
      </c>
      <c r="H36" s="16">
        <f t="shared" si="1"/>
        <v>-16</v>
      </c>
    </row>
    <row r="37" spans="1:8">
      <c r="A37" s="17">
        <v>44166</v>
      </c>
      <c r="B37" s="16">
        <v>355</v>
      </c>
      <c r="C37" s="16">
        <v>355</v>
      </c>
      <c r="D37" s="16">
        <v>334</v>
      </c>
      <c r="E37" s="16">
        <v>337</v>
      </c>
      <c r="F37" s="16">
        <v>337</v>
      </c>
      <c r="G37" s="16">
        <v>288900</v>
      </c>
      <c r="H37" s="16">
        <f t="shared" si="1"/>
        <v>-18</v>
      </c>
    </row>
    <row r="38" spans="1:8">
      <c r="A38" s="17">
        <v>44200</v>
      </c>
      <c r="B38" s="16">
        <v>337</v>
      </c>
      <c r="C38" s="16">
        <v>343</v>
      </c>
      <c r="D38" s="16">
        <v>304</v>
      </c>
      <c r="E38" s="16">
        <v>323</v>
      </c>
      <c r="F38" s="16">
        <v>323</v>
      </c>
      <c r="G38" s="16">
        <v>1214000</v>
      </c>
      <c r="H38" s="16">
        <f t="shared" si="1"/>
        <v>-14</v>
      </c>
    </row>
    <row r="39" spans="1:8">
      <c r="A39" s="17">
        <v>44228</v>
      </c>
      <c r="B39" s="16">
        <v>323</v>
      </c>
      <c r="C39" s="16">
        <v>336</v>
      </c>
      <c r="D39" s="16">
        <v>319</v>
      </c>
      <c r="E39" s="16">
        <v>325</v>
      </c>
      <c r="F39" s="16">
        <v>325</v>
      </c>
      <c r="G39" s="16">
        <v>242300</v>
      </c>
      <c r="H39" s="16">
        <f t="shared" si="1"/>
        <v>2</v>
      </c>
    </row>
    <row r="40" spans="1:8">
      <c r="A40" s="17">
        <v>44256</v>
      </c>
      <c r="B40" s="16">
        <v>325</v>
      </c>
      <c r="C40" s="16">
        <v>399</v>
      </c>
      <c r="D40" s="16">
        <v>317</v>
      </c>
      <c r="E40" s="16">
        <v>348</v>
      </c>
      <c r="F40" s="16">
        <v>348</v>
      </c>
      <c r="G40" s="16">
        <v>1425800</v>
      </c>
      <c r="H40" s="16">
        <f t="shared" si="1"/>
        <v>23</v>
      </c>
    </row>
    <row r="41" spans="1:8">
      <c r="A41" s="17">
        <v>44287</v>
      </c>
      <c r="B41" s="16">
        <v>350</v>
      </c>
      <c r="C41" s="16">
        <v>351</v>
      </c>
      <c r="D41" s="16">
        <v>330</v>
      </c>
      <c r="E41" s="16">
        <v>331</v>
      </c>
      <c r="F41" s="16">
        <v>331</v>
      </c>
      <c r="G41" s="16">
        <v>215900</v>
      </c>
      <c r="H41" s="16">
        <f t="shared" si="1"/>
        <v>-19</v>
      </c>
    </row>
    <row r="42" spans="1:8">
      <c r="A42" s="17">
        <v>44322</v>
      </c>
      <c r="B42" s="16">
        <v>333</v>
      </c>
      <c r="C42" s="16">
        <v>340</v>
      </c>
      <c r="D42" s="16">
        <v>314</v>
      </c>
      <c r="E42" s="16">
        <v>326</v>
      </c>
      <c r="F42" s="16">
        <v>326</v>
      </c>
      <c r="G42" s="16">
        <v>210500</v>
      </c>
      <c r="H42" s="16">
        <f t="shared" si="1"/>
        <v>-7</v>
      </c>
    </row>
    <row r="43" spans="1:8">
      <c r="A43" s="17">
        <v>44348</v>
      </c>
      <c r="B43" s="16">
        <v>328</v>
      </c>
      <c r="C43" s="16">
        <v>410</v>
      </c>
      <c r="D43" s="16">
        <v>324</v>
      </c>
      <c r="E43" s="16">
        <v>337</v>
      </c>
      <c r="F43" s="16">
        <v>337</v>
      </c>
      <c r="G43" s="16">
        <v>4715000</v>
      </c>
      <c r="H43" s="16">
        <f t="shared" si="1"/>
        <v>9</v>
      </c>
    </row>
    <row r="44" spans="1:8">
      <c r="A44" s="17">
        <v>44378</v>
      </c>
      <c r="B44" s="16">
        <v>335</v>
      </c>
      <c r="C44" s="16">
        <v>357</v>
      </c>
      <c r="D44" s="16">
        <v>330</v>
      </c>
      <c r="E44" s="16">
        <v>336</v>
      </c>
      <c r="F44" s="16">
        <v>336</v>
      </c>
      <c r="G44" s="16">
        <v>434600</v>
      </c>
      <c r="H44" s="16">
        <f t="shared" si="1"/>
        <v>1</v>
      </c>
    </row>
    <row r="45" spans="1:8">
      <c r="A45" s="17">
        <v>44410</v>
      </c>
      <c r="B45" s="16">
        <v>336</v>
      </c>
      <c r="C45" s="16">
        <v>346</v>
      </c>
      <c r="D45" s="16">
        <v>328</v>
      </c>
      <c r="E45" s="16">
        <v>344</v>
      </c>
      <c r="F45" s="16">
        <v>344</v>
      </c>
      <c r="G45" s="16">
        <v>174600</v>
      </c>
      <c r="H45" s="16">
        <f t="shared" si="1"/>
        <v>8</v>
      </c>
    </row>
    <row r="46" spans="1:8">
      <c r="A46" s="17">
        <v>44440</v>
      </c>
      <c r="B46" s="16">
        <v>346</v>
      </c>
      <c r="C46" s="16">
        <v>363</v>
      </c>
      <c r="D46" s="16">
        <v>335</v>
      </c>
      <c r="E46" s="16">
        <v>346</v>
      </c>
      <c r="F46" s="16">
        <v>346</v>
      </c>
      <c r="G46" s="16">
        <v>398200</v>
      </c>
      <c r="H46" s="16">
        <f t="shared" si="1"/>
        <v>0</v>
      </c>
    </row>
    <row r="47" spans="1:8">
      <c r="A47" s="17">
        <v>44470</v>
      </c>
      <c r="B47" s="16">
        <v>346</v>
      </c>
      <c r="C47" s="16">
        <v>347</v>
      </c>
      <c r="D47" s="16">
        <v>321</v>
      </c>
      <c r="E47" s="16">
        <v>324</v>
      </c>
      <c r="F47" s="16">
        <v>324</v>
      </c>
      <c r="G47" s="16">
        <v>251800</v>
      </c>
      <c r="H47" s="16">
        <f t="shared" si="1"/>
        <v>-22</v>
      </c>
    </row>
    <row r="48" spans="1:8">
      <c r="A48" s="17">
        <v>44501</v>
      </c>
      <c r="B48" s="16">
        <v>325</v>
      </c>
      <c r="C48" s="16">
        <v>330</v>
      </c>
      <c r="D48" s="16">
        <v>306</v>
      </c>
      <c r="E48" s="16">
        <v>310</v>
      </c>
      <c r="F48" s="16">
        <v>310</v>
      </c>
      <c r="G48" s="16">
        <v>237100</v>
      </c>
      <c r="H48" s="16">
        <f t="shared" si="1"/>
        <v>-15</v>
      </c>
    </row>
    <row r="49" spans="1:8">
      <c r="A49" s="17">
        <v>44531</v>
      </c>
      <c r="B49" s="16">
        <v>308</v>
      </c>
      <c r="C49" s="16">
        <v>320</v>
      </c>
      <c r="D49" s="16">
        <v>290</v>
      </c>
      <c r="E49" s="16">
        <v>298</v>
      </c>
      <c r="F49" s="16">
        <v>298</v>
      </c>
      <c r="G49" s="16">
        <v>555600</v>
      </c>
      <c r="H49" s="16">
        <f t="shared" si="1"/>
        <v>-10</v>
      </c>
    </row>
    <row r="50" spans="1:8">
      <c r="A50" s="17">
        <v>44565</v>
      </c>
      <c r="B50" s="16">
        <v>304</v>
      </c>
      <c r="C50" s="16">
        <v>312</v>
      </c>
      <c r="D50" s="16">
        <v>270</v>
      </c>
      <c r="E50" s="16">
        <v>292</v>
      </c>
      <c r="F50" s="16">
        <v>292</v>
      </c>
      <c r="G50" s="16">
        <v>876600</v>
      </c>
      <c r="H50" s="16">
        <f t="shared" si="1"/>
        <v>-12</v>
      </c>
    </row>
    <row r="51" spans="1:8">
      <c r="A51" s="17">
        <v>44593</v>
      </c>
      <c r="B51" s="16">
        <v>294</v>
      </c>
      <c r="C51" s="16">
        <v>294</v>
      </c>
      <c r="D51" s="16">
        <v>275</v>
      </c>
      <c r="E51" s="16">
        <v>280</v>
      </c>
      <c r="F51" s="16">
        <v>280</v>
      </c>
      <c r="G51" s="16">
        <v>165000</v>
      </c>
      <c r="H51" s="16">
        <f t="shared" si="1"/>
        <v>-14</v>
      </c>
    </row>
    <row r="52" spans="1:8">
      <c r="A52" s="17">
        <v>44621</v>
      </c>
      <c r="B52" s="16">
        <v>282</v>
      </c>
      <c r="C52" s="16">
        <v>300</v>
      </c>
      <c r="D52" s="16">
        <v>269</v>
      </c>
      <c r="E52" s="16">
        <v>290</v>
      </c>
      <c r="F52" s="16">
        <v>290</v>
      </c>
      <c r="G52" s="16">
        <v>335900</v>
      </c>
      <c r="H52" s="16">
        <f t="shared" si="1"/>
        <v>8</v>
      </c>
    </row>
    <row r="53" spans="1:8">
      <c r="A53" s="17">
        <v>44652</v>
      </c>
      <c r="B53" s="16">
        <v>303</v>
      </c>
      <c r="C53" s="16">
        <v>310</v>
      </c>
      <c r="D53" s="16">
        <v>293</v>
      </c>
      <c r="E53" s="16">
        <v>309</v>
      </c>
      <c r="F53" s="16">
        <v>309</v>
      </c>
      <c r="G53" s="16">
        <v>365100</v>
      </c>
      <c r="H53" s="16">
        <f t="shared" si="1"/>
        <v>6</v>
      </c>
    </row>
    <row r="54" spans="1:8">
      <c r="A54" s="17">
        <v>44683</v>
      </c>
      <c r="B54" s="16">
        <v>301</v>
      </c>
      <c r="C54" s="16">
        <v>309</v>
      </c>
      <c r="D54" s="16">
        <v>289</v>
      </c>
      <c r="E54" s="16">
        <v>304</v>
      </c>
      <c r="F54" s="16">
        <v>304</v>
      </c>
      <c r="G54" s="16">
        <v>127100</v>
      </c>
      <c r="H54" s="16">
        <f t="shared" si="1"/>
        <v>3</v>
      </c>
    </row>
    <row r="55" spans="1:8">
      <c r="A55" s="17">
        <v>44713</v>
      </c>
      <c r="B55" s="16">
        <v>304</v>
      </c>
      <c r="C55" s="16">
        <v>320</v>
      </c>
      <c r="D55" s="16">
        <v>285</v>
      </c>
      <c r="E55" s="16">
        <v>289</v>
      </c>
      <c r="F55" s="16">
        <v>289</v>
      </c>
      <c r="G55" s="16">
        <v>272900</v>
      </c>
      <c r="H55" s="16">
        <f t="shared" si="1"/>
        <v>-15</v>
      </c>
    </row>
    <row r="56" spans="1:8">
      <c r="A56" s="17">
        <v>44743</v>
      </c>
      <c r="B56" s="16">
        <v>289</v>
      </c>
      <c r="C56" s="16">
        <v>293</v>
      </c>
      <c r="D56" s="16">
        <v>269</v>
      </c>
      <c r="E56" s="16">
        <v>274</v>
      </c>
      <c r="F56" s="16">
        <v>274</v>
      </c>
      <c r="G56" s="16">
        <v>401500</v>
      </c>
      <c r="H56" s="16">
        <f t="shared" si="1"/>
        <v>-15</v>
      </c>
    </row>
    <row r="57" spans="1:8">
      <c r="A57" s="17">
        <v>44774</v>
      </c>
      <c r="B57" s="16">
        <v>274</v>
      </c>
      <c r="C57" s="16">
        <v>275</v>
      </c>
      <c r="D57" s="16">
        <v>263</v>
      </c>
      <c r="E57" s="16">
        <v>267</v>
      </c>
      <c r="F57" s="16">
        <v>267</v>
      </c>
      <c r="G57" s="16">
        <v>226900</v>
      </c>
      <c r="H57" s="16">
        <f t="shared" si="1"/>
        <v>-7</v>
      </c>
    </row>
    <row r="58" spans="1:8">
      <c r="A58" s="17">
        <v>44805</v>
      </c>
      <c r="B58" s="16">
        <v>266</v>
      </c>
      <c r="C58" s="16">
        <v>272</v>
      </c>
      <c r="D58" s="16">
        <v>252</v>
      </c>
      <c r="E58" s="16">
        <v>253</v>
      </c>
      <c r="F58" s="16">
        <v>253</v>
      </c>
      <c r="G58" s="16">
        <v>338800</v>
      </c>
      <c r="H58" s="16">
        <f t="shared" si="1"/>
        <v>-13</v>
      </c>
    </row>
    <row r="59" spans="1:8">
      <c r="A59" s="17">
        <v>44837</v>
      </c>
      <c r="B59" s="16">
        <v>253</v>
      </c>
      <c r="C59" s="16">
        <v>265</v>
      </c>
      <c r="D59" s="16">
        <v>251</v>
      </c>
      <c r="E59" s="16">
        <v>258</v>
      </c>
      <c r="F59" s="16">
        <v>258</v>
      </c>
      <c r="G59" s="16">
        <v>494300</v>
      </c>
      <c r="H59" s="16">
        <f t="shared" si="1"/>
        <v>5</v>
      </c>
    </row>
    <row r="60" spans="1:8">
      <c r="A60" s="17">
        <v>44866</v>
      </c>
      <c r="B60" s="16">
        <v>256</v>
      </c>
      <c r="C60" s="16">
        <v>265</v>
      </c>
      <c r="D60" s="16">
        <v>255</v>
      </c>
      <c r="E60" s="16">
        <v>262</v>
      </c>
      <c r="F60" s="16">
        <v>262</v>
      </c>
      <c r="G60" s="16">
        <v>234000</v>
      </c>
      <c r="H60" s="16">
        <f t="shared" si="1"/>
        <v>6</v>
      </c>
    </row>
    <row r="61" spans="1:8">
      <c r="A61" s="17">
        <v>44896</v>
      </c>
      <c r="B61" s="16">
        <v>265</v>
      </c>
      <c r="C61" s="16">
        <v>324</v>
      </c>
      <c r="D61" s="16">
        <v>255</v>
      </c>
      <c r="E61" s="16">
        <v>260</v>
      </c>
      <c r="F61" s="16">
        <v>260</v>
      </c>
      <c r="G61" s="16">
        <v>1476100</v>
      </c>
      <c r="H61" s="16">
        <f t="shared" si="1"/>
        <v>-5</v>
      </c>
    </row>
  </sheetData>
  <phoneticPr fontId="32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D8C93-C992-46B3-8C48-4705D3D8075A}">
  <sheetPr codeName="Sheet28"/>
  <dimension ref="A1:DY39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43770</v>
      </c>
      <c r="B2" s="16">
        <v>4680</v>
      </c>
      <c r="C2" s="16">
        <v>4720</v>
      </c>
      <c r="D2" s="16">
        <v>4165</v>
      </c>
      <c r="E2" s="16">
        <v>4230</v>
      </c>
      <c r="F2" s="16">
        <v>4230</v>
      </c>
      <c r="G2" s="16">
        <v>1142100</v>
      </c>
      <c r="H2" s="16">
        <f t="shared" ref="H2:H39" si="0">E2-B2</f>
        <v>-450</v>
      </c>
      <c r="J2" s="18" cm="1">
        <f t="array" ref="J2:Q4">_xlfn._xlws.FILTER(A2:H39,MONTH(A2:A39)=1,"")</f>
        <v>43836</v>
      </c>
      <c r="K2" s="16">
        <v>3300</v>
      </c>
      <c r="L2" s="16">
        <v>3700</v>
      </c>
      <c r="M2" s="16">
        <v>3195</v>
      </c>
      <c r="N2" s="16">
        <v>3300</v>
      </c>
      <c r="O2" s="16">
        <v>3300</v>
      </c>
      <c r="P2" s="16">
        <v>321300</v>
      </c>
      <c r="Q2" s="16">
        <v>0</v>
      </c>
      <c r="R2" s="16">
        <f>Q2/K2*100</f>
        <v>0</v>
      </c>
      <c r="S2" s="16">
        <f>COUNT(Q2:Q4)</f>
        <v>3</v>
      </c>
      <c r="T2" s="18" cm="1">
        <f t="array" ref="T2:AA4">_xlfn._xlws.FILTER(A2:H39,MONTH(A2:A39)=2,"")</f>
        <v>43864</v>
      </c>
      <c r="U2" s="16">
        <v>3185</v>
      </c>
      <c r="V2" s="16">
        <v>3330</v>
      </c>
      <c r="W2" s="16">
        <v>2301</v>
      </c>
      <c r="X2" s="16">
        <v>2392</v>
      </c>
      <c r="Y2" s="16">
        <v>2392</v>
      </c>
      <c r="Z2" s="16">
        <v>220600</v>
      </c>
      <c r="AA2" s="16">
        <v>-793</v>
      </c>
      <c r="AB2" s="16">
        <f>AA2/U2*100</f>
        <v>-24.897959183673468</v>
      </c>
      <c r="AC2" s="16">
        <f>COUNT(AA2:AA4)</f>
        <v>3</v>
      </c>
      <c r="AD2" s="18" cm="1">
        <f t="array" ref="AD2:AK4">_xlfn._xlws.FILTER(A2:H39,MONTH(A2:A39)=3,"")</f>
        <v>43892</v>
      </c>
      <c r="AE2" s="16">
        <v>2392</v>
      </c>
      <c r="AF2" s="16">
        <v>2652</v>
      </c>
      <c r="AG2" s="16">
        <v>1518</v>
      </c>
      <c r="AH2" s="16">
        <v>2160</v>
      </c>
      <c r="AI2" s="16">
        <v>2160</v>
      </c>
      <c r="AJ2" s="16">
        <v>221100</v>
      </c>
      <c r="AK2" s="16">
        <v>-232</v>
      </c>
      <c r="AL2" s="16">
        <f>AK2/AE2*100</f>
        <v>-9.6989966555183944</v>
      </c>
      <c r="AM2" s="16">
        <f>COUNT(AK2:AK4)</f>
        <v>3</v>
      </c>
      <c r="AN2" s="18" cm="1">
        <f t="array" ref="AN2:AU4">_xlfn._xlws.FILTER(A2:H39,MONTH(A2:A39)=4,"")</f>
        <v>43922</v>
      </c>
      <c r="AO2" s="16">
        <v>2310</v>
      </c>
      <c r="AP2" s="16">
        <v>2330</v>
      </c>
      <c r="AQ2" s="16">
        <v>1912</v>
      </c>
      <c r="AR2" s="16">
        <v>2045</v>
      </c>
      <c r="AS2" s="16">
        <v>2045</v>
      </c>
      <c r="AT2" s="16">
        <v>69600</v>
      </c>
      <c r="AU2" s="16">
        <v>-265</v>
      </c>
      <c r="AV2" s="16">
        <f>AU2/AO2*100</f>
        <v>-11.471861471861471</v>
      </c>
      <c r="AW2" s="16">
        <f>COUNT(AU2:AU4)</f>
        <v>3</v>
      </c>
      <c r="AX2" s="18" cm="1">
        <f t="array" ref="AX2:BE4">_xlfn._xlws.FILTER(A2:H39,MONTH(A2:A39)=5,"")</f>
        <v>43952</v>
      </c>
      <c r="AY2" s="16">
        <v>2045</v>
      </c>
      <c r="AZ2" s="16">
        <v>2500</v>
      </c>
      <c r="BA2" s="16">
        <v>2031</v>
      </c>
      <c r="BB2" s="16">
        <v>2225</v>
      </c>
      <c r="BC2" s="16">
        <v>2225</v>
      </c>
      <c r="BD2" s="16">
        <v>108000</v>
      </c>
      <c r="BE2" s="16">
        <v>180</v>
      </c>
      <c r="BF2" s="16">
        <f>BE2/AY2*100</f>
        <v>8.8019559902200495</v>
      </c>
      <c r="BG2" s="16">
        <f>COUNT(BE2:BE4)</f>
        <v>3</v>
      </c>
      <c r="BH2" s="18" cm="1">
        <f t="array" ref="BH2:BO4">_xlfn._xlws.FILTER(A2:H39,MONTH(A2:A39)=6,"")</f>
        <v>43983</v>
      </c>
      <c r="BI2" s="16">
        <v>2350</v>
      </c>
      <c r="BJ2" s="16">
        <v>2817</v>
      </c>
      <c r="BK2" s="16">
        <v>2150</v>
      </c>
      <c r="BL2" s="16">
        <v>2529</v>
      </c>
      <c r="BM2" s="16">
        <v>2529</v>
      </c>
      <c r="BN2" s="16">
        <v>155100</v>
      </c>
      <c r="BO2" s="16">
        <v>179</v>
      </c>
      <c r="BP2" s="16">
        <f>BO2/BI2*100</f>
        <v>7.6170212765957448</v>
      </c>
      <c r="BQ2" s="16">
        <f>COUNT(BO2:BO4)</f>
        <v>3</v>
      </c>
      <c r="BR2" s="18" cm="1">
        <f t="array" ref="BR2:BY4">_xlfn._xlws.FILTER(A2:H39,MONTH(A2:A39)=7,"")</f>
        <v>44013</v>
      </c>
      <c r="BS2" s="16">
        <v>2585</v>
      </c>
      <c r="BT2" s="16">
        <v>2745</v>
      </c>
      <c r="BU2" s="16">
        <v>2318</v>
      </c>
      <c r="BV2" s="16">
        <v>2341</v>
      </c>
      <c r="BW2" s="16">
        <v>2341</v>
      </c>
      <c r="BX2" s="16">
        <v>85300</v>
      </c>
      <c r="BY2" s="16">
        <v>-244</v>
      </c>
      <c r="BZ2" s="16">
        <f>BY2/BS2*100</f>
        <v>-9.4390715667311422</v>
      </c>
      <c r="CA2" s="16">
        <f>COUNT(BY2:BY4)</f>
        <v>3</v>
      </c>
      <c r="CB2" s="18" cm="1">
        <f t="array" ref="CB2:CI4">_xlfn._xlws.FILTER(A2:H39,MONTH(A2:A39)=8,"")</f>
        <v>44046</v>
      </c>
      <c r="CC2" s="16">
        <v>2491</v>
      </c>
      <c r="CD2" s="16">
        <v>2738</v>
      </c>
      <c r="CE2" s="16">
        <v>2470</v>
      </c>
      <c r="CF2" s="16">
        <v>2712</v>
      </c>
      <c r="CG2" s="16">
        <v>2712</v>
      </c>
      <c r="CH2" s="16">
        <v>54900</v>
      </c>
      <c r="CI2" s="16">
        <v>221</v>
      </c>
      <c r="CJ2" s="16">
        <f>CI2/CC2*100</f>
        <v>8.871938980329185</v>
      </c>
      <c r="CK2" s="16">
        <f>COUNT(CI2:CI4)</f>
        <v>3</v>
      </c>
      <c r="CL2" s="18" cm="1">
        <f t="array" ref="CL2:CS4">_xlfn._xlws.FILTER(A2:H39,MONTH(A2:A39)=9,"")</f>
        <v>44075</v>
      </c>
      <c r="CM2" s="16">
        <v>2718</v>
      </c>
      <c r="CN2" s="16">
        <v>3480</v>
      </c>
      <c r="CO2" s="16">
        <v>2702</v>
      </c>
      <c r="CP2" s="16">
        <v>3370</v>
      </c>
      <c r="CQ2" s="16">
        <v>3370</v>
      </c>
      <c r="CR2" s="16">
        <v>152600</v>
      </c>
      <c r="CS2" s="16">
        <v>652</v>
      </c>
      <c r="CT2" s="16">
        <f>CS2/CM2*100</f>
        <v>23.988226637233261</v>
      </c>
      <c r="CU2" s="16">
        <f>COUNT(CS2:CS4)</f>
        <v>3</v>
      </c>
      <c r="CV2" s="18" cm="1">
        <f t="array" ref="CV2:DC4">_xlfn._xlws.FILTER(A2:H39,MONTH(A2:A39)=10,"")</f>
        <v>44106</v>
      </c>
      <c r="CW2" s="16">
        <v>3440</v>
      </c>
      <c r="CX2" s="16">
        <v>3510</v>
      </c>
      <c r="CY2" s="16">
        <v>2950</v>
      </c>
      <c r="CZ2" s="16">
        <v>3000</v>
      </c>
      <c r="DA2" s="16">
        <v>3000</v>
      </c>
      <c r="DB2" s="16">
        <v>95400</v>
      </c>
      <c r="DC2" s="16">
        <v>-440</v>
      </c>
      <c r="DD2" s="16">
        <f>DC2/CW2*100</f>
        <v>-12.790697674418606</v>
      </c>
      <c r="DE2" s="16">
        <f>COUNT(DC2:DC4)</f>
        <v>3</v>
      </c>
      <c r="DF2" s="18" cm="1">
        <f t="array" ref="DF2:DM5">_xlfn._xlws.FILTER(A2:H39,MONTH(A2:A39)=11,"")</f>
        <v>43770</v>
      </c>
      <c r="DG2" s="16">
        <v>4680</v>
      </c>
      <c r="DH2" s="16">
        <v>4720</v>
      </c>
      <c r="DI2" s="16">
        <v>4165</v>
      </c>
      <c r="DJ2" s="16">
        <v>4230</v>
      </c>
      <c r="DK2" s="16">
        <v>4230</v>
      </c>
      <c r="DL2" s="16">
        <v>1142100</v>
      </c>
      <c r="DM2" s="16">
        <v>-450</v>
      </c>
      <c r="DN2" s="16">
        <f>DM2/DG2*100</f>
        <v>-9.6153846153846168</v>
      </c>
      <c r="DO2" s="16">
        <f>COUNT(DM2:DM5)</f>
        <v>4</v>
      </c>
      <c r="DP2" s="18" cm="1">
        <f t="array" ref="DP2:DW5">_xlfn._xlws.FILTER(A2:H39,MONTH(A2:A39)=12,"")</f>
        <v>43801</v>
      </c>
      <c r="DQ2" s="16">
        <v>4255</v>
      </c>
      <c r="DR2" s="16">
        <v>4590</v>
      </c>
      <c r="DS2" s="16">
        <v>3005</v>
      </c>
      <c r="DT2" s="16">
        <v>3240</v>
      </c>
      <c r="DU2" s="16">
        <v>3240</v>
      </c>
      <c r="DV2" s="16">
        <v>663200</v>
      </c>
      <c r="DW2" s="16">
        <v>-1015</v>
      </c>
      <c r="DX2" s="16">
        <f>DW2/DQ2*100</f>
        <v>-23.854289071680377</v>
      </c>
      <c r="DY2" s="16">
        <f>COUNT(DW2:DW5)</f>
        <v>4</v>
      </c>
    </row>
    <row r="3" spans="1:129">
      <c r="A3" s="17">
        <v>43801</v>
      </c>
      <c r="B3" s="16">
        <v>4255</v>
      </c>
      <c r="C3" s="16">
        <v>4590</v>
      </c>
      <c r="D3" s="16">
        <v>3005</v>
      </c>
      <c r="E3" s="16">
        <v>3240</v>
      </c>
      <c r="F3" s="16">
        <v>3240</v>
      </c>
      <c r="G3" s="16">
        <v>663200</v>
      </c>
      <c r="H3" s="16">
        <f t="shared" si="0"/>
        <v>-1015</v>
      </c>
      <c r="J3" s="18">
        <v>44200</v>
      </c>
      <c r="K3" s="16">
        <v>2880</v>
      </c>
      <c r="L3" s="16">
        <v>2880</v>
      </c>
      <c r="M3" s="16">
        <v>2728</v>
      </c>
      <c r="N3" s="16">
        <v>2758</v>
      </c>
      <c r="O3" s="16">
        <v>2758</v>
      </c>
      <c r="P3" s="16">
        <v>124100</v>
      </c>
      <c r="Q3" s="16">
        <v>-122</v>
      </c>
      <c r="R3" s="16">
        <f>Q3/K3*100</f>
        <v>-4.2361111111111116</v>
      </c>
      <c r="S3" s="16">
        <f>COUNTIF(Q2:Q4,"&gt;0")</f>
        <v>0</v>
      </c>
      <c r="T3" s="18">
        <v>44228</v>
      </c>
      <c r="U3" s="16">
        <v>2750</v>
      </c>
      <c r="V3" s="16">
        <v>2914</v>
      </c>
      <c r="W3" s="16">
        <v>2732</v>
      </c>
      <c r="X3" s="16">
        <v>2778</v>
      </c>
      <c r="Y3" s="16">
        <v>2778</v>
      </c>
      <c r="Z3" s="16">
        <v>103300</v>
      </c>
      <c r="AA3" s="16">
        <v>28</v>
      </c>
      <c r="AB3" s="16">
        <f>AA3/U3*100</f>
        <v>1.0181818181818183</v>
      </c>
      <c r="AC3" s="16">
        <f>COUNTIF(AA2:AA4,"&gt;0")</f>
        <v>2</v>
      </c>
      <c r="AD3" s="18">
        <v>44256</v>
      </c>
      <c r="AE3" s="16">
        <v>2800</v>
      </c>
      <c r="AF3" s="16">
        <v>3985</v>
      </c>
      <c r="AG3" s="16">
        <v>2760</v>
      </c>
      <c r="AH3" s="16">
        <v>3680</v>
      </c>
      <c r="AI3" s="16">
        <v>3680</v>
      </c>
      <c r="AJ3" s="16">
        <v>205000</v>
      </c>
      <c r="AK3" s="16">
        <v>880</v>
      </c>
      <c r="AL3" s="16">
        <f>AK3/AE3*100</f>
        <v>31.428571428571427</v>
      </c>
      <c r="AM3" s="16">
        <f>COUNTIF(AK2:AK4,"&gt;0")</f>
        <v>1</v>
      </c>
      <c r="AN3" s="18">
        <v>44287</v>
      </c>
      <c r="AO3" s="16">
        <v>3680</v>
      </c>
      <c r="AP3" s="16">
        <v>3680</v>
      </c>
      <c r="AQ3" s="16">
        <v>3380</v>
      </c>
      <c r="AR3" s="16">
        <v>3565</v>
      </c>
      <c r="AS3" s="16">
        <v>3565</v>
      </c>
      <c r="AT3" s="16">
        <v>109600</v>
      </c>
      <c r="AU3" s="16">
        <v>-115</v>
      </c>
      <c r="AV3" s="16">
        <f>AU3/AO3*100</f>
        <v>-3.125</v>
      </c>
      <c r="AW3" s="16">
        <f>COUNTIF(AU2:AU4,"&gt;0")</f>
        <v>0</v>
      </c>
      <c r="AX3" s="18">
        <v>44322</v>
      </c>
      <c r="AY3" s="16">
        <v>3550</v>
      </c>
      <c r="AZ3" s="16">
        <v>3645</v>
      </c>
      <c r="BA3" s="16">
        <v>3260</v>
      </c>
      <c r="BB3" s="16">
        <v>3310</v>
      </c>
      <c r="BC3" s="16">
        <v>3310</v>
      </c>
      <c r="BD3" s="16">
        <v>69200</v>
      </c>
      <c r="BE3" s="16">
        <v>-240</v>
      </c>
      <c r="BF3" s="16">
        <f>BE3/AY3*100</f>
        <v>-6.7605633802816891</v>
      </c>
      <c r="BG3" s="16">
        <f>COUNTIF(BE2:BE4,"&gt;0")</f>
        <v>2</v>
      </c>
      <c r="BH3" s="18">
        <v>44348</v>
      </c>
      <c r="BI3" s="16">
        <v>3290</v>
      </c>
      <c r="BJ3" s="16">
        <v>3590</v>
      </c>
      <c r="BK3" s="16">
        <v>2993</v>
      </c>
      <c r="BL3" s="16">
        <v>3105</v>
      </c>
      <c r="BM3" s="16">
        <v>3105</v>
      </c>
      <c r="BN3" s="16">
        <v>112500</v>
      </c>
      <c r="BO3" s="16">
        <v>-185</v>
      </c>
      <c r="BP3" s="16">
        <f>BO3/BI3*100</f>
        <v>-5.6231003039513681</v>
      </c>
      <c r="BQ3" s="16">
        <f>COUNTIF(BO2:BO4,"&gt;0")</f>
        <v>2</v>
      </c>
      <c r="BR3" s="18">
        <v>44378</v>
      </c>
      <c r="BS3" s="16">
        <v>3085</v>
      </c>
      <c r="BT3" s="16">
        <v>3125</v>
      </c>
      <c r="BU3" s="16">
        <v>2840</v>
      </c>
      <c r="BV3" s="16">
        <v>2860</v>
      </c>
      <c r="BW3" s="16">
        <v>2860</v>
      </c>
      <c r="BX3" s="16">
        <v>85700</v>
      </c>
      <c r="BY3" s="16">
        <v>-225</v>
      </c>
      <c r="BZ3" s="16">
        <f>BY3/BS3*100</f>
        <v>-7.2933549432739051</v>
      </c>
      <c r="CA3" s="16">
        <f>COUNTIF(BY2:BY4,"&gt;0")</f>
        <v>1</v>
      </c>
      <c r="CB3" s="18">
        <v>44410</v>
      </c>
      <c r="CC3" s="16">
        <v>2860</v>
      </c>
      <c r="CD3" s="16">
        <v>2965</v>
      </c>
      <c r="CE3" s="16">
        <v>2826</v>
      </c>
      <c r="CF3" s="16">
        <v>2941</v>
      </c>
      <c r="CG3" s="16">
        <v>2941</v>
      </c>
      <c r="CH3" s="16">
        <v>58800</v>
      </c>
      <c r="CI3" s="16">
        <v>81</v>
      </c>
      <c r="CJ3" s="16">
        <f>CI3/CC3*100</f>
        <v>2.8321678321678321</v>
      </c>
      <c r="CK3" s="16">
        <f>COUNTIF(CI2:CI4,"&gt;0")</f>
        <v>2</v>
      </c>
      <c r="CL3" s="18">
        <v>44440</v>
      </c>
      <c r="CM3" s="16">
        <v>2960</v>
      </c>
      <c r="CN3" s="16">
        <v>3665</v>
      </c>
      <c r="CO3" s="16">
        <v>2905</v>
      </c>
      <c r="CP3" s="16">
        <v>3360</v>
      </c>
      <c r="CQ3" s="16">
        <v>3360</v>
      </c>
      <c r="CR3" s="16">
        <v>266100</v>
      </c>
      <c r="CS3" s="16">
        <v>400</v>
      </c>
      <c r="CT3" s="16">
        <f>CS3/CM3*100</f>
        <v>13.513513513513514</v>
      </c>
      <c r="CU3" s="16">
        <f>COUNTIF(CS2:CS4,"&gt;0")</f>
        <v>2</v>
      </c>
      <c r="CV3" s="18">
        <v>44470</v>
      </c>
      <c r="CW3" s="16">
        <v>3415</v>
      </c>
      <c r="CX3" s="16">
        <v>3430</v>
      </c>
      <c r="CY3" s="16">
        <v>3200</v>
      </c>
      <c r="CZ3" s="16">
        <v>3260</v>
      </c>
      <c r="DA3" s="16">
        <v>3260</v>
      </c>
      <c r="DB3" s="16">
        <v>91600</v>
      </c>
      <c r="DC3" s="16">
        <v>-155</v>
      </c>
      <c r="DD3" s="16">
        <f>DC3/CW3*100</f>
        <v>-4.5387994143484631</v>
      </c>
      <c r="DE3" s="16">
        <f>COUNTIF(DC2:DC4,"&gt;0")</f>
        <v>1</v>
      </c>
      <c r="DF3" s="18">
        <v>44137</v>
      </c>
      <c r="DG3" s="16">
        <v>3000</v>
      </c>
      <c r="DH3" s="16">
        <v>3105</v>
      </c>
      <c r="DI3" s="16">
        <v>2901</v>
      </c>
      <c r="DJ3" s="16">
        <v>3000</v>
      </c>
      <c r="DK3" s="16">
        <v>3000</v>
      </c>
      <c r="DL3" s="16">
        <v>121900</v>
      </c>
      <c r="DM3" s="16">
        <v>0</v>
      </c>
      <c r="DN3" s="16">
        <f>DM3/DG3*100</f>
        <v>0</v>
      </c>
      <c r="DO3" s="16">
        <f>COUNTIF(DM2:DM5,"&gt;0")</f>
        <v>1</v>
      </c>
      <c r="DP3" s="18">
        <v>44166</v>
      </c>
      <c r="DQ3" s="16">
        <v>2999</v>
      </c>
      <c r="DR3" s="16">
        <v>3175</v>
      </c>
      <c r="DS3" s="16">
        <v>2712</v>
      </c>
      <c r="DT3" s="16">
        <v>2877</v>
      </c>
      <c r="DU3" s="16">
        <v>2877</v>
      </c>
      <c r="DV3" s="16">
        <v>268300</v>
      </c>
      <c r="DW3" s="16">
        <v>-122</v>
      </c>
      <c r="DX3" s="16">
        <f>DW3/DQ3*100</f>
        <v>-4.0680226742247418</v>
      </c>
      <c r="DY3" s="16">
        <f>COUNTIF(DW2:DW5,"&gt;0")</f>
        <v>2</v>
      </c>
    </row>
    <row r="4" spans="1:129">
      <c r="A4" s="17">
        <v>43836</v>
      </c>
      <c r="B4" s="16">
        <v>3300</v>
      </c>
      <c r="C4" s="16">
        <v>3700</v>
      </c>
      <c r="D4" s="16">
        <v>3195</v>
      </c>
      <c r="E4" s="16">
        <v>3300</v>
      </c>
      <c r="F4" s="16">
        <v>3300</v>
      </c>
      <c r="G4" s="16">
        <v>321300</v>
      </c>
      <c r="H4" s="16">
        <f t="shared" si="0"/>
        <v>0</v>
      </c>
      <c r="J4" s="18">
        <v>44565</v>
      </c>
      <c r="K4" s="16">
        <v>3200</v>
      </c>
      <c r="L4" s="16">
        <v>3210</v>
      </c>
      <c r="M4" s="16">
        <v>2510</v>
      </c>
      <c r="N4" s="16">
        <v>2592</v>
      </c>
      <c r="O4" s="16">
        <v>2592</v>
      </c>
      <c r="P4" s="16">
        <v>201600</v>
      </c>
      <c r="Q4" s="16">
        <v>-608</v>
      </c>
      <c r="R4" s="16">
        <f>Q4/K4*100</f>
        <v>-19</v>
      </c>
      <c r="S4" s="19">
        <f>S3/S2*100</f>
        <v>0</v>
      </c>
      <c r="T4" s="18">
        <v>44593</v>
      </c>
      <c r="U4" s="16">
        <v>2650</v>
      </c>
      <c r="V4" s="16">
        <v>2821</v>
      </c>
      <c r="W4" s="16">
        <v>2600</v>
      </c>
      <c r="X4" s="16">
        <v>2820</v>
      </c>
      <c r="Y4" s="16">
        <v>2820</v>
      </c>
      <c r="Z4" s="16">
        <v>118900</v>
      </c>
      <c r="AA4" s="16">
        <v>170</v>
      </c>
      <c r="AB4" s="16">
        <f>AA4/U4*100</f>
        <v>6.4150943396226419</v>
      </c>
      <c r="AC4" s="19">
        <f>AC3/AC2*100</f>
        <v>66.666666666666657</v>
      </c>
      <c r="AD4" s="18">
        <v>44621</v>
      </c>
      <c r="AE4" s="16">
        <v>2820</v>
      </c>
      <c r="AF4" s="16">
        <v>3095</v>
      </c>
      <c r="AG4" s="16">
        <v>2321</v>
      </c>
      <c r="AH4" s="16">
        <v>2339</v>
      </c>
      <c r="AI4" s="16">
        <v>2339</v>
      </c>
      <c r="AJ4" s="16">
        <v>251200</v>
      </c>
      <c r="AK4" s="16">
        <v>-481</v>
      </c>
      <c r="AL4" s="16">
        <f>AK4/AE4*100</f>
        <v>-17.056737588652481</v>
      </c>
      <c r="AM4" s="19">
        <f>AM3/AM2*100</f>
        <v>33.333333333333329</v>
      </c>
      <c r="AN4" s="18">
        <v>44652</v>
      </c>
      <c r="AO4" s="16">
        <v>2327</v>
      </c>
      <c r="AP4" s="16">
        <v>2374</v>
      </c>
      <c r="AQ4" s="16">
        <v>2241</v>
      </c>
      <c r="AR4" s="16">
        <v>2299</v>
      </c>
      <c r="AS4" s="16">
        <v>2299</v>
      </c>
      <c r="AT4" s="16">
        <v>80800</v>
      </c>
      <c r="AU4" s="16">
        <v>-28</v>
      </c>
      <c r="AV4" s="16">
        <f>AU4/AO4*100</f>
        <v>-1.2032660077352815</v>
      </c>
      <c r="AW4" s="19">
        <f>AW3/AW2*100</f>
        <v>0</v>
      </c>
      <c r="AX4" s="18">
        <v>44683</v>
      </c>
      <c r="AY4" s="16">
        <v>2295</v>
      </c>
      <c r="AZ4" s="16">
        <v>2397</v>
      </c>
      <c r="BA4" s="16">
        <v>2295</v>
      </c>
      <c r="BB4" s="16">
        <v>2385</v>
      </c>
      <c r="BC4" s="16">
        <v>2385</v>
      </c>
      <c r="BD4" s="16">
        <v>42200</v>
      </c>
      <c r="BE4" s="16">
        <v>90</v>
      </c>
      <c r="BF4" s="16">
        <f>BE4/AY4*100</f>
        <v>3.9215686274509802</v>
      </c>
      <c r="BG4" s="19">
        <f>BG3/BG2*100</f>
        <v>66.666666666666657</v>
      </c>
      <c r="BH4" s="18">
        <v>44713</v>
      </c>
      <c r="BI4" s="16">
        <v>2364</v>
      </c>
      <c r="BJ4" s="16">
        <v>2636</v>
      </c>
      <c r="BK4" s="16">
        <v>2292</v>
      </c>
      <c r="BL4" s="16">
        <v>2481</v>
      </c>
      <c r="BM4" s="16">
        <v>2481</v>
      </c>
      <c r="BN4" s="16">
        <v>110000</v>
      </c>
      <c r="BO4" s="16">
        <v>117</v>
      </c>
      <c r="BP4" s="16">
        <f>BO4/BI4*100</f>
        <v>4.9492385786802036</v>
      </c>
      <c r="BQ4" s="19">
        <f>BQ3/BQ2*100</f>
        <v>66.666666666666657</v>
      </c>
      <c r="BR4" s="18">
        <v>44743</v>
      </c>
      <c r="BS4" s="16">
        <v>2443</v>
      </c>
      <c r="BT4" s="16">
        <v>2489</v>
      </c>
      <c r="BU4" s="16">
        <v>2365</v>
      </c>
      <c r="BV4" s="16">
        <v>2473</v>
      </c>
      <c r="BW4" s="16">
        <v>2473</v>
      </c>
      <c r="BX4" s="16">
        <v>30000</v>
      </c>
      <c r="BY4" s="16">
        <v>30</v>
      </c>
      <c r="BZ4" s="16">
        <f>BY4/BS4*100</f>
        <v>1.2279983626688498</v>
      </c>
      <c r="CA4" s="19">
        <f>CA3/CA2*100</f>
        <v>33.333333333333329</v>
      </c>
      <c r="CB4" s="18">
        <v>44774</v>
      </c>
      <c r="CC4" s="16">
        <v>2491</v>
      </c>
      <c r="CD4" s="16">
        <v>2527</v>
      </c>
      <c r="CE4" s="16">
        <v>2400</v>
      </c>
      <c r="CF4" s="16">
        <v>2431</v>
      </c>
      <c r="CG4" s="16">
        <v>2431</v>
      </c>
      <c r="CH4" s="16">
        <v>19800</v>
      </c>
      <c r="CI4" s="16">
        <v>-60</v>
      </c>
      <c r="CJ4" s="16">
        <f>CI4/CC4*100</f>
        <v>-2.4086712163789641</v>
      </c>
      <c r="CK4" s="19">
        <f>CK3/CK2*100</f>
        <v>66.666666666666657</v>
      </c>
      <c r="CL4" s="18">
        <v>44805</v>
      </c>
      <c r="CM4" s="16">
        <v>2406</v>
      </c>
      <c r="CN4" s="16">
        <v>2615</v>
      </c>
      <c r="CO4" s="16">
        <v>2325</v>
      </c>
      <c r="CP4" s="16">
        <v>2351</v>
      </c>
      <c r="CQ4" s="16">
        <v>2351</v>
      </c>
      <c r="CR4" s="16">
        <v>69300</v>
      </c>
      <c r="CS4" s="16">
        <v>-55</v>
      </c>
      <c r="CT4" s="16">
        <f>CS4/CM4*100</f>
        <v>-2.2859517871986701</v>
      </c>
      <c r="CU4" s="19">
        <f>CU3/CU2*100</f>
        <v>66.666666666666657</v>
      </c>
      <c r="CV4" s="18">
        <v>44837</v>
      </c>
      <c r="CW4" s="16">
        <v>2355</v>
      </c>
      <c r="CX4" s="16">
        <v>2542</v>
      </c>
      <c r="CY4" s="16">
        <v>2333</v>
      </c>
      <c r="CZ4" s="16">
        <v>2530</v>
      </c>
      <c r="DA4" s="16">
        <v>2530</v>
      </c>
      <c r="DB4" s="16">
        <v>29600</v>
      </c>
      <c r="DC4" s="16">
        <v>175</v>
      </c>
      <c r="DD4" s="16">
        <f>DC4/CW4*100</f>
        <v>7.4309978768577496</v>
      </c>
      <c r="DE4" s="19">
        <f>DE3/DE2*100</f>
        <v>33.333333333333329</v>
      </c>
      <c r="DF4" s="18">
        <v>44501</v>
      </c>
      <c r="DG4" s="16">
        <v>3245</v>
      </c>
      <c r="DH4" s="16">
        <v>3300</v>
      </c>
      <c r="DI4" s="16">
        <v>2868</v>
      </c>
      <c r="DJ4" s="16">
        <v>2988</v>
      </c>
      <c r="DK4" s="16">
        <v>2988</v>
      </c>
      <c r="DL4" s="16">
        <v>211100</v>
      </c>
      <c r="DM4" s="16">
        <v>-257</v>
      </c>
      <c r="DN4" s="16">
        <f>DM4/DG4*100</f>
        <v>-7.9198767334360554</v>
      </c>
      <c r="DO4" s="19">
        <f>DO3/DO2*100</f>
        <v>25</v>
      </c>
      <c r="DP4" s="18">
        <v>44531</v>
      </c>
      <c r="DQ4" s="16">
        <v>2997</v>
      </c>
      <c r="DR4" s="16">
        <v>3305</v>
      </c>
      <c r="DS4" s="16">
        <v>2881</v>
      </c>
      <c r="DT4" s="16">
        <v>3200</v>
      </c>
      <c r="DU4" s="16">
        <v>3200</v>
      </c>
      <c r="DV4" s="16">
        <v>200900</v>
      </c>
      <c r="DW4" s="16">
        <v>203</v>
      </c>
      <c r="DX4" s="16">
        <f>DW4/DQ4*100</f>
        <v>6.7734401067734398</v>
      </c>
      <c r="DY4" s="19">
        <f>DY3/DY2*100</f>
        <v>50</v>
      </c>
    </row>
    <row r="5" spans="1:129">
      <c r="A5" s="17">
        <v>43864</v>
      </c>
      <c r="B5" s="16">
        <v>3185</v>
      </c>
      <c r="C5" s="16">
        <v>3330</v>
      </c>
      <c r="D5" s="16">
        <v>2301</v>
      </c>
      <c r="E5" s="16">
        <v>2392</v>
      </c>
      <c r="F5" s="16">
        <v>2392</v>
      </c>
      <c r="G5" s="16">
        <v>220600</v>
      </c>
      <c r="H5" s="16">
        <f t="shared" si="0"/>
        <v>-793</v>
      </c>
      <c r="S5" s="16">
        <f>AVERAGE(R2:R4)</f>
        <v>-7.7453703703703702</v>
      </c>
      <c r="AC5" s="16">
        <f>AVERAGE(AB2:AB4)</f>
        <v>-5.8215610086230027</v>
      </c>
      <c r="AM5" s="16">
        <f>AVERAGE(AL2:AL4)</f>
        <v>1.5576123948001832</v>
      </c>
      <c r="AW5" s="16">
        <f>AVERAGE(AV2:AV4)</f>
        <v>-5.2667091598655844</v>
      </c>
      <c r="BG5" s="16">
        <f>AVERAGE(BF2:BF4)</f>
        <v>1.9876537457964467</v>
      </c>
      <c r="BQ5" s="16">
        <f>AVERAGE(BP2:BP4)</f>
        <v>2.3143865171081934</v>
      </c>
      <c r="CA5" s="16">
        <f>AVERAGE(BZ2:BZ4)</f>
        <v>-5.1681427157787327</v>
      </c>
      <c r="CK5" s="16">
        <f>AVERAGE(CJ2:CJ4)</f>
        <v>3.0984785320393509</v>
      </c>
      <c r="CU5" s="16">
        <f>AVERAGE(CT2:CT4)</f>
        <v>11.738596121182702</v>
      </c>
      <c r="DE5" s="16">
        <f>AVERAGE(DD2:DD4)</f>
        <v>-3.299499737303107</v>
      </c>
      <c r="DF5" s="18">
        <v>44866</v>
      </c>
      <c r="DG5" s="16">
        <v>2527</v>
      </c>
      <c r="DH5" s="16">
        <v>2600</v>
      </c>
      <c r="DI5" s="16">
        <v>2483</v>
      </c>
      <c r="DJ5" s="16">
        <v>2556</v>
      </c>
      <c r="DK5" s="16">
        <v>2556</v>
      </c>
      <c r="DL5" s="16">
        <v>25700</v>
      </c>
      <c r="DM5" s="16">
        <v>29</v>
      </c>
      <c r="DN5" s="16">
        <f>DM5/DG5*100</f>
        <v>1.147605856747131</v>
      </c>
      <c r="DO5" s="16">
        <f>AVERAGE(DN2:DN5)</f>
        <v>-4.0969138730183854</v>
      </c>
      <c r="DP5" s="18">
        <v>44896</v>
      </c>
      <c r="DQ5" s="16">
        <v>2546</v>
      </c>
      <c r="DR5" s="16">
        <v>2749</v>
      </c>
      <c r="DS5" s="16">
        <v>2483</v>
      </c>
      <c r="DT5" s="16">
        <v>2737</v>
      </c>
      <c r="DU5" s="16">
        <v>2737</v>
      </c>
      <c r="DV5" s="16">
        <v>82400</v>
      </c>
      <c r="DW5" s="16">
        <v>191</v>
      </c>
      <c r="DX5" s="16">
        <f>DW5/DQ5*100</f>
        <v>7.5019638648860969</v>
      </c>
      <c r="DY5" s="16">
        <f>AVERAGE(DX2:DX5)</f>
        <v>-3.4117269435613959</v>
      </c>
    </row>
    <row r="6" spans="1:129">
      <c r="A6" s="17">
        <v>43892</v>
      </c>
      <c r="B6" s="16">
        <v>2392</v>
      </c>
      <c r="C6" s="16">
        <v>2652</v>
      </c>
      <c r="D6" s="16">
        <v>1518</v>
      </c>
      <c r="E6" s="16">
        <v>2160</v>
      </c>
      <c r="F6" s="16">
        <v>2160</v>
      </c>
      <c r="G6" s="16">
        <v>221100</v>
      </c>
      <c r="H6" s="16">
        <f t="shared" si="0"/>
        <v>-232</v>
      </c>
      <c r="S6" s="16">
        <f>MEDIAN(R2:R4)</f>
        <v>-4.2361111111111116</v>
      </c>
      <c r="AC6" s="16">
        <f>MEDIAN(AB2:AB4)</f>
        <v>1.0181818181818183</v>
      </c>
      <c r="AM6" s="16">
        <f>MEDIAN(AL2:AL4)</f>
        <v>-9.6989966555183944</v>
      </c>
      <c r="AW6" s="16">
        <f>MEDIAN(AV2:AV4)</f>
        <v>-3.125</v>
      </c>
      <c r="BG6" s="16">
        <f>MEDIAN(BF2:BF4)</f>
        <v>3.9215686274509802</v>
      </c>
      <c r="BQ6" s="16">
        <f>MEDIAN(BP2:BP4)</f>
        <v>4.9492385786802036</v>
      </c>
      <c r="CA6" s="16">
        <f>MEDIAN(BZ2:BZ4)</f>
        <v>-7.2933549432739051</v>
      </c>
      <c r="CK6" s="16">
        <f>MEDIAN(CJ2:CJ4)</f>
        <v>2.8321678321678321</v>
      </c>
      <c r="CU6" s="16">
        <f>MEDIAN(CT2:CT4)</f>
        <v>13.513513513513514</v>
      </c>
      <c r="DE6" s="16">
        <f>MEDIAN(DD2:DD4)</f>
        <v>-4.5387994143484631</v>
      </c>
      <c r="DO6" s="16">
        <f>MEDIAN(DN2:DN5)</f>
        <v>-3.9599383667180277</v>
      </c>
      <c r="DY6" s="16">
        <f>MEDIAN(DX2:DX5)</f>
        <v>1.352708716274349</v>
      </c>
    </row>
    <row r="7" spans="1:129">
      <c r="A7" s="17">
        <v>43922</v>
      </c>
      <c r="B7" s="16">
        <v>2310</v>
      </c>
      <c r="C7" s="16">
        <v>2330</v>
      </c>
      <c r="D7" s="16">
        <v>1912</v>
      </c>
      <c r="E7" s="16">
        <v>2045</v>
      </c>
      <c r="F7" s="16">
        <v>2045</v>
      </c>
      <c r="G7" s="16">
        <v>69600</v>
      </c>
      <c r="H7" s="16">
        <f t="shared" si="0"/>
        <v>-265</v>
      </c>
    </row>
    <row r="8" spans="1:129">
      <c r="A8" s="17">
        <v>43952</v>
      </c>
      <c r="B8" s="16">
        <v>2045</v>
      </c>
      <c r="C8" s="16">
        <v>2500</v>
      </c>
      <c r="D8" s="16">
        <v>2031</v>
      </c>
      <c r="E8" s="16">
        <v>2225</v>
      </c>
      <c r="F8" s="16">
        <v>2225</v>
      </c>
      <c r="G8" s="16">
        <v>108000</v>
      </c>
      <c r="H8" s="16">
        <f t="shared" si="0"/>
        <v>180</v>
      </c>
    </row>
    <row r="9" spans="1:129">
      <c r="A9" s="17">
        <v>43983</v>
      </c>
      <c r="B9" s="16">
        <v>2350</v>
      </c>
      <c r="C9" s="16">
        <v>2817</v>
      </c>
      <c r="D9" s="16">
        <v>2150</v>
      </c>
      <c r="E9" s="16">
        <v>2529</v>
      </c>
      <c r="F9" s="16">
        <v>2529</v>
      </c>
      <c r="G9" s="16">
        <v>155100</v>
      </c>
      <c r="H9" s="16">
        <f t="shared" si="0"/>
        <v>179</v>
      </c>
    </row>
    <row r="10" spans="1:129">
      <c r="A10" s="17">
        <v>44013</v>
      </c>
      <c r="B10" s="16">
        <v>2585</v>
      </c>
      <c r="C10" s="16">
        <v>2745</v>
      </c>
      <c r="D10" s="16">
        <v>2318</v>
      </c>
      <c r="E10" s="16">
        <v>2341</v>
      </c>
      <c r="F10" s="16">
        <v>2341</v>
      </c>
      <c r="G10" s="16">
        <v>85300</v>
      </c>
      <c r="H10" s="16">
        <f t="shared" si="0"/>
        <v>-244</v>
      </c>
    </row>
    <row r="11" spans="1:129">
      <c r="A11" s="17">
        <v>44046</v>
      </c>
      <c r="B11" s="16">
        <v>2491</v>
      </c>
      <c r="C11" s="16">
        <v>2738</v>
      </c>
      <c r="D11" s="16">
        <v>2470</v>
      </c>
      <c r="E11" s="16">
        <v>2712</v>
      </c>
      <c r="F11" s="16">
        <v>2712</v>
      </c>
      <c r="G11" s="16">
        <v>54900</v>
      </c>
      <c r="H11" s="16">
        <f t="shared" si="0"/>
        <v>221</v>
      </c>
    </row>
    <row r="12" spans="1:129">
      <c r="A12" s="17">
        <v>44075</v>
      </c>
      <c r="B12" s="16">
        <v>2718</v>
      </c>
      <c r="C12" s="16">
        <v>3480</v>
      </c>
      <c r="D12" s="16">
        <v>2702</v>
      </c>
      <c r="E12" s="16">
        <v>3370</v>
      </c>
      <c r="F12" s="16">
        <v>3370</v>
      </c>
      <c r="G12" s="16">
        <v>152600</v>
      </c>
      <c r="H12" s="16">
        <f t="shared" si="0"/>
        <v>652</v>
      </c>
    </row>
    <row r="13" spans="1:129">
      <c r="A13" s="17">
        <v>44106</v>
      </c>
      <c r="B13" s="16">
        <v>3440</v>
      </c>
      <c r="C13" s="16">
        <v>3510</v>
      </c>
      <c r="D13" s="16">
        <v>2950</v>
      </c>
      <c r="E13" s="16">
        <v>3000</v>
      </c>
      <c r="F13" s="16">
        <v>3000</v>
      </c>
      <c r="G13" s="16">
        <v>95400</v>
      </c>
      <c r="H13" s="16">
        <f t="shared" si="0"/>
        <v>-440</v>
      </c>
    </row>
    <row r="14" spans="1:129">
      <c r="A14" s="17">
        <v>44137</v>
      </c>
      <c r="B14" s="16">
        <v>3000</v>
      </c>
      <c r="C14" s="16">
        <v>3105</v>
      </c>
      <c r="D14" s="16">
        <v>2901</v>
      </c>
      <c r="E14" s="16">
        <v>3000</v>
      </c>
      <c r="F14" s="16">
        <v>3000</v>
      </c>
      <c r="G14" s="16">
        <v>121900</v>
      </c>
      <c r="H14" s="16">
        <f t="shared" si="0"/>
        <v>0</v>
      </c>
    </row>
    <row r="15" spans="1:129">
      <c r="A15" s="17">
        <v>44166</v>
      </c>
      <c r="B15" s="16">
        <v>2999</v>
      </c>
      <c r="C15" s="16">
        <v>3175</v>
      </c>
      <c r="D15" s="16">
        <v>2712</v>
      </c>
      <c r="E15" s="16">
        <v>2877</v>
      </c>
      <c r="F15" s="16">
        <v>2877</v>
      </c>
      <c r="G15" s="16">
        <v>268300</v>
      </c>
      <c r="H15" s="16">
        <f t="shared" si="0"/>
        <v>-122</v>
      </c>
    </row>
    <row r="16" spans="1:129">
      <c r="A16" s="17">
        <v>44200</v>
      </c>
      <c r="B16" s="16">
        <v>2880</v>
      </c>
      <c r="C16" s="16">
        <v>2880</v>
      </c>
      <c r="D16" s="16">
        <v>2728</v>
      </c>
      <c r="E16" s="16">
        <v>2758</v>
      </c>
      <c r="F16" s="16">
        <v>2758</v>
      </c>
      <c r="G16" s="16">
        <v>124100</v>
      </c>
      <c r="H16" s="16">
        <f t="shared" si="0"/>
        <v>-122</v>
      </c>
    </row>
    <row r="17" spans="1:8">
      <c r="A17" s="17">
        <v>44228</v>
      </c>
      <c r="B17" s="16">
        <v>2750</v>
      </c>
      <c r="C17" s="16">
        <v>2914</v>
      </c>
      <c r="D17" s="16">
        <v>2732</v>
      </c>
      <c r="E17" s="16">
        <v>2778</v>
      </c>
      <c r="F17" s="16">
        <v>2778</v>
      </c>
      <c r="G17" s="16">
        <v>103300</v>
      </c>
      <c r="H17" s="16">
        <f t="shared" si="0"/>
        <v>28</v>
      </c>
    </row>
    <row r="18" spans="1:8">
      <c r="A18" s="17">
        <v>44256</v>
      </c>
      <c r="B18" s="16">
        <v>2800</v>
      </c>
      <c r="C18" s="16">
        <v>3985</v>
      </c>
      <c r="D18" s="16">
        <v>2760</v>
      </c>
      <c r="E18" s="16">
        <v>3680</v>
      </c>
      <c r="F18" s="16">
        <v>3680</v>
      </c>
      <c r="G18" s="16">
        <v>205000</v>
      </c>
      <c r="H18" s="16">
        <f t="shared" si="0"/>
        <v>880</v>
      </c>
    </row>
    <row r="19" spans="1:8">
      <c r="A19" s="17">
        <v>44287</v>
      </c>
      <c r="B19" s="16">
        <v>3680</v>
      </c>
      <c r="C19" s="16">
        <v>3680</v>
      </c>
      <c r="D19" s="16">
        <v>3380</v>
      </c>
      <c r="E19" s="16">
        <v>3565</v>
      </c>
      <c r="F19" s="16">
        <v>3565</v>
      </c>
      <c r="G19" s="16">
        <v>109600</v>
      </c>
      <c r="H19" s="16">
        <f t="shared" si="0"/>
        <v>-115</v>
      </c>
    </row>
    <row r="20" spans="1:8">
      <c r="A20" s="17">
        <v>44322</v>
      </c>
      <c r="B20" s="16">
        <v>3550</v>
      </c>
      <c r="C20" s="16">
        <v>3645</v>
      </c>
      <c r="D20" s="16">
        <v>3260</v>
      </c>
      <c r="E20" s="16">
        <v>3310</v>
      </c>
      <c r="F20" s="16">
        <v>3310</v>
      </c>
      <c r="G20" s="16">
        <v>69200</v>
      </c>
      <c r="H20" s="16">
        <f t="shared" si="0"/>
        <v>-240</v>
      </c>
    </row>
    <row r="21" spans="1:8">
      <c r="A21" s="17">
        <v>44348</v>
      </c>
      <c r="B21" s="16">
        <v>3290</v>
      </c>
      <c r="C21" s="16">
        <v>3590</v>
      </c>
      <c r="D21" s="16">
        <v>2993</v>
      </c>
      <c r="E21" s="16">
        <v>3105</v>
      </c>
      <c r="F21" s="16">
        <v>3105</v>
      </c>
      <c r="G21" s="16">
        <v>112500</v>
      </c>
      <c r="H21" s="16">
        <f t="shared" si="0"/>
        <v>-185</v>
      </c>
    </row>
    <row r="22" spans="1:8">
      <c r="A22" s="17">
        <v>44378</v>
      </c>
      <c r="B22" s="16">
        <v>3085</v>
      </c>
      <c r="C22" s="16">
        <v>3125</v>
      </c>
      <c r="D22" s="16">
        <v>2840</v>
      </c>
      <c r="E22" s="16">
        <v>2860</v>
      </c>
      <c r="F22" s="16">
        <v>2860</v>
      </c>
      <c r="G22" s="16">
        <v>85700</v>
      </c>
      <c r="H22" s="16">
        <f t="shared" si="0"/>
        <v>-225</v>
      </c>
    </row>
    <row r="23" spans="1:8">
      <c r="A23" s="17">
        <v>44410</v>
      </c>
      <c r="B23" s="16">
        <v>2860</v>
      </c>
      <c r="C23" s="16">
        <v>2965</v>
      </c>
      <c r="D23" s="16">
        <v>2826</v>
      </c>
      <c r="E23" s="16">
        <v>2941</v>
      </c>
      <c r="F23" s="16">
        <v>2941</v>
      </c>
      <c r="G23" s="16">
        <v>58800</v>
      </c>
      <c r="H23" s="16">
        <f t="shared" si="0"/>
        <v>81</v>
      </c>
    </row>
    <row r="24" spans="1:8">
      <c r="A24" s="17">
        <v>44440</v>
      </c>
      <c r="B24" s="16">
        <v>2960</v>
      </c>
      <c r="C24" s="16">
        <v>3665</v>
      </c>
      <c r="D24" s="16">
        <v>2905</v>
      </c>
      <c r="E24" s="16">
        <v>3360</v>
      </c>
      <c r="F24" s="16">
        <v>3360</v>
      </c>
      <c r="G24" s="16">
        <v>266100</v>
      </c>
      <c r="H24" s="16">
        <f t="shared" si="0"/>
        <v>400</v>
      </c>
    </row>
    <row r="25" spans="1:8">
      <c r="A25" s="17">
        <v>44470</v>
      </c>
      <c r="B25" s="16">
        <v>3415</v>
      </c>
      <c r="C25" s="16">
        <v>3430</v>
      </c>
      <c r="D25" s="16">
        <v>3200</v>
      </c>
      <c r="E25" s="16">
        <v>3260</v>
      </c>
      <c r="F25" s="16">
        <v>3260</v>
      </c>
      <c r="G25" s="16">
        <v>91600</v>
      </c>
      <c r="H25" s="16">
        <f t="shared" si="0"/>
        <v>-155</v>
      </c>
    </row>
    <row r="26" spans="1:8">
      <c r="A26" s="17">
        <v>44501</v>
      </c>
      <c r="B26" s="16">
        <v>3245</v>
      </c>
      <c r="C26" s="16">
        <v>3300</v>
      </c>
      <c r="D26" s="16">
        <v>2868</v>
      </c>
      <c r="E26" s="16">
        <v>2988</v>
      </c>
      <c r="F26" s="16">
        <v>2988</v>
      </c>
      <c r="G26" s="16">
        <v>211100</v>
      </c>
      <c r="H26" s="16">
        <f t="shared" si="0"/>
        <v>-257</v>
      </c>
    </row>
    <row r="27" spans="1:8">
      <c r="A27" s="17">
        <v>44531</v>
      </c>
      <c r="B27" s="16">
        <v>2997</v>
      </c>
      <c r="C27" s="16">
        <v>3305</v>
      </c>
      <c r="D27" s="16">
        <v>2881</v>
      </c>
      <c r="E27" s="16">
        <v>3200</v>
      </c>
      <c r="F27" s="16">
        <v>3200</v>
      </c>
      <c r="G27" s="16">
        <v>200900</v>
      </c>
      <c r="H27" s="16">
        <f t="shared" si="0"/>
        <v>203</v>
      </c>
    </row>
    <row r="28" spans="1:8">
      <c r="A28" s="17">
        <v>44565</v>
      </c>
      <c r="B28" s="16">
        <v>3200</v>
      </c>
      <c r="C28" s="16">
        <v>3210</v>
      </c>
      <c r="D28" s="16">
        <v>2510</v>
      </c>
      <c r="E28" s="16">
        <v>2592</v>
      </c>
      <c r="F28" s="16">
        <v>2592</v>
      </c>
      <c r="G28" s="16">
        <v>201600</v>
      </c>
      <c r="H28" s="16">
        <f t="shared" si="0"/>
        <v>-608</v>
      </c>
    </row>
    <row r="29" spans="1:8">
      <c r="A29" s="17">
        <v>44593</v>
      </c>
      <c r="B29" s="16">
        <v>2650</v>
      </c>
      <c r="C29" s="16">
        <v>2821</v>
      </c>
      <c r="D29" s="16">
        <v>2600</v>
      </c>
      <c r="E29" s="16">
        <v>2820</v>
      </c>
      <c r="F29" s="16">
        <v>2820</v>
      </c>
      <c r="G29" s="16">
        <v>118900</v>
      </c>
      <c r="H29" s="16">
        <f t="shared" si="0"/>
        <v>170</v>
      </c>
    </row>
    <row r="30" spans="1:8">
      <c r="A30" s="17">
        <v>44621</v>
      </c>
      <c r="B30" s="16">
        <v>2820</v>
      </c>
      <c r="C30" s="16">
        <v>3095</v>
      </c>
      <c r="D30" s="16">
        <v>2321</v>
      </c>
      <c r="E30" s="16">
        <v>2339</v>
      </c>
      <c r="F30" s="16">
        <v>2339</v>
      </c>
      <c r="G30" s="16">
        <v>251200</v>
      </c>
      <c r="H30" s="16">
        <f t="shared" si="0"/>
        <v>-481</v>
      </c>
    </row>
    <row r="31" spans="1:8">
      <c r="A31" s="17">
        <v>44652</v>
      </c>
      <c r="B31" s="16">
        <v>2327</v>
      </c>
      <c r="C31" s="16">
        <v>2374</v>
      </c>
      <c r="D31" s="16">
        <v>2241</v>
      </c>
      <c r="E31" s="16">
        <v>2299</v>
      </c>
      <c r="F31" s="16">
        <v>2299</v>
      </c>
      <c r="G31" s="16">
        <v>80800</v>
      </c>
      <c r="H31" s="16">
        <f t="shared" si="0"/>
        <v>-28</v>
      </c>
    </row>
    <row r="32" spans="1:8">
      <c r="A32" s="17">
        <v>44683</v>
      </c>
      <c r="B32" s="16">
        <v>2295</v>
      </c>
      <c r="C32" s="16">
        <v>2397</v>
      </c>
      <c r="D32" s="16">
        <v>2295</v>
      </c>
      <c r="E32" s="16">
        <v>2385</v>
      </c>
      <c r="F32" s="16">
        <v>2385</v>
      </c>
      <c r="G32" s="16">
        <v>42200</v>
      </c>
      <c r="H32" s="16">
        <f t="shared" si="0"/>
        <v>90</v>
      </c>
    </row>
    <row r="33" spans="1:8">
      <c r="A33" s="17">
        <v>44713</v>
      </c>
      <c r="B33" s="16">
        <v>2364</v>
      </c>
      <c r="C33" s="16">
        <v>2636</v>
      </c>
      <c r="D33" s="16">
        <v>2292</v>
      </c>
      <c r="E33" s="16">
        <v>2481</v>
      </c>
      <c r="F33" s="16">
        <v>2481</v>
      </c>
      <c r="G33" s="16">
        <v>110000</v>
      </c>
      <c r="H33" s="16">
        <f t="shared" si="0"/>
        <v>117</v>
      </c>
    </row>
    <row r="34" spans="1:8">
      <c r="A34" s="17">
        <v>44743</v>
      </c>
      <c r="B34" s="16">
        <v>2443</v>
      </c>
      <c r="C34" s="16">
        <v>2489</v>
      </c>
      <c r="D34" s="16">
        <v>2365</v>
      </c>
      <c r="E34" s="16">
        <v>2473</v>
      </c>
      <c r="F34" s="16">
        <v>2473</v>
      </c>
      <c r="G34" s="16">
        <v>30000</v>
      </c>
      <c r="H34" s="16">
        <f t="shared" si="0"/>
        <v>30</v>
      </c>
    </row>
    <row r="35" spans="1:8">
      <c r="A35" s="17">
        <v>44774</v>
      </c>
      <c r="B35" s="16">
        <v>2491</v>
      </c>
      <c r="C35" s="16">
        <v>2527</v>
      </c>
      <c r="D35" s="16">
        <v>2400</v>
      </c>
      <c r="E35" s="16">
        <v>2431</v>
      </c>
      <c r="F35" s="16">
        <v>2431</v>
      </c>
      <c r="G35" s="16">
        <v>19800</v>
      </c>
      <c r="H35" s="16">
        <f t="shared" si="0"/>
        <v>-60</v>
      </c>
    </row>
    <row r="36" spans="1:8">
      <c r="A36" s="17">
        <v>44805</v>
      </c>
      <c r="B36" s="16">
        <v>2406</v>
      </c>
      <c r="C36" s="16">
        <v>2615</v>
      </c>
      <c r="D36" s="16">
        <v>2325</v>
      </c>
      <c r="E36" s="16">
        <v>2351</v>
      </c>
      <c r="F36" s="16">
        <v>2351</v>
      </c>
      <c r="G36" s="16">
        <v>69300</v>
      </c>
      <c r="H36" s="16">
        <f t="shared" si="0"/>
        <v>-55</v>
      </c>
    </row>
    <row r="37" spans="1:8">
      <c r="A37" s="17">
        <v>44837</v>
      </c>
      <c r="B37" s="16">
        <v>2355</v>
      </c>
      <c r="C37" s="16">
        <v>2542</v>
      </c>
      <c r="D37" s="16">
        <v>2333</v>
      </c>
      <c r="E37" s="16">
        <v>2530</v>
      </c>
      <c r="F37" s="16">
        <v>2530</v>
      </c>
      <c r="G37" s="16">
        <v>29600</v>
      </c>
      <c r="H37" s="16">
        <f t="shared" si="0"/>
        <v>175</v>
      </c>
    </row>
    <row r="38" spans="1:8">
      <c r="A38" s="17">
        <v>44866</v>
      </c>
      <c r="B38" s="16">
        <v>2527</v>
      </c>
      <c r="C38" s="16">
        <v>2600</v>
      </c>
      <c r="D38" s="16">
        <v>2483</v>
      </c>
      <c r="E38" s="16">
        <v>2556</v>
      </c>
      <c r="F38" s="16">
        <v>2556</v>
      </c>
      <c r="G38" s="16">
        <v>25700</v>
      </c>
      <c r="H38" s="16">
        <f t="shared" si="0"/>
        <v>29</v>
      </c>
    </row>
    <row r="39" spans="1:8">
      <c r="A39" s="17">
        <v>44896</v>
      </c>
      <c r="B39" s="16">
        <v>2546</v>
      </c>
      <c r="C39" s="16">
        <v>2749</v>
      </c>
      <c r="D39" s="16">
        <v>2483</v>
      </c>
      <c r="E39" s="16">
        <v>2737</v>
      </c>
      <c r="F39" s="16">
        <v>2737</v>
      </c>
      <c r="G39" s="16">
        <v>82400</v>
      </c>
      <c r="H39" s="16">
        <f t="shared" si="0"/>
        <v>191</v>
      </c>
    </row>
  </sheetData>
  <phoneticPr fontId="32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46E69-4983-448B-BC0B-F2B1013C15FC}">
  <sheetPr codeName="Sheet27"/>
  <dimension ref="A1:DY47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43552</v>
      </c>
      <c r="B2" s="16">
        <v>3930</v>
      </c>
      <c r="C2" s="16">
        <v>3960</v>
      </c>
      <c r="D2" s="16">
        <v>3300</v>
      </c>
      <c r="E2" s="16">
        <v>3325</v>
      </c>
      <c r="F2" s="16">
        <v>3325</v>
      </c>
      <c r="G2" s="16">
        <v>1406300</v>
      </c>
      <c r="H2" s="16">
        <f t="shared" ref="H2:H47" si="0">E2-B2</f>
        <v>-605</v>
      </c>
      <c r="J2" s="18" cm="1">
        <f t="array" ref="J2:Q4">_xlfn._xlws.FILTER(A2:H47,MONTH(A2:A47)=1,"")</f>
        <v>43836</v>
      </c>
      <c r="K2" s="16">
        <v>4145</v>
      </c>
      <c r="L2" s="16">
        <v>4385</v>
      </c>
      <c r="M2" s="16">
        <v>3480</v>
      </c>
      <c r="N2" s="16">
        <v>3760</v>
      </c>
      <c r="O2" s="16">
        <v>3760</v>
      </c>
      <c r="P2" s="16">
        <v>378300</v>
      </c>
      <c r="Q2" s="16">
        <v>-385</v>
      </c>
      <c r="R2" s="16">
        <f>Q2/K2*100</f>
        <v>-9.2882991556091667</v>
      </c>
      <c r="S2" s="16">
        <f>COUNT(Q2:Q4)</f>
        <v>3</v>
      </c>
      <c r="T2" s="18" cm="1">
        <f t="array" ref="T2:AA4">_xlfn._xlws.FILTER(A2:H47,MONTH(A2:A47)=2,"")</f>
        <v>43864</v>
      </c>
      <c r="U2" s="16">
        <v>3520</v>
      </c>
      <c r="V2" s="16">
        <v>4235</v>
      </c>
      <c r="W2" s="16">
        <v>2770</v>
      </c>
      <c r="X2" s="16">
        <v>2820</v>
      </c>
      <c r="Y2" s="16">
        <v>2820</v>
      </c>
      <c r="Z2" s="16">
        <v>369500</v>
      </c>
      <c r="AA2" s="16">
        <v>-700</v>
      </c>
      <c r="AB2" s="16">
        <f>AA2/U2*100</f>
        <v>-19.886363636363637</v>
      </c>
      <c r="AC2" s="16">
        <f>COUNT(AA2:AA4)</f>
        <v>3</v>
      </c>
      <c r="AD2" s="18" cm="1">
        <f t="array" ref="AD2:AK5">_xlfn._xlws.FILTER(A2:H47,MONTH(A2:A47)=3,"")</f>
        <v>43552</v>
      </c>
      <c r="AE2" s="16">
        <v>3930</v>
      </c>
      <c r="AF2" s="16">
        <v>3960</v>
      </c>
      <c r="AG2" s="16">
        <v>3300</v>
      </c>
      <c r="AH2" s="16">
        <v>3325</v>
      </c>
      <c r="AI2" s="16">
        <v>3325</v>
      </c>
      <c r="AJ2" s="16">
        <v>1406300</v>
      </c>
      <c r="AK2" s="16">
        <v>-605</v>
      </c>
      <c r="AL2" s="16">
        <f>AK2/AE2*100</f>
        <v>-15.394402035623408</v>
      </c>
      <c r="AM2" s="16">
        <f>COUNT(AK2:AK5)</f>
        <v>4</v>
      </c>
      <c r="AN2" s="18" cm="1">
        <f t="array" ref="AN2:AU5">_xlfn._xlws.FILTER(A2:H47,MONTH(A2:A47)=4,"")</f>
        <v>43556</v>
      </c>
      <c r="AO2" s="16">
        <v>3350</v>
      </c>
      <c r="AP2" s="16">
        <v>3470</v>
      </c>
      <c r="AQ2" s="16">
        <v>2980</v>
      </c>
      <c r="AR2" s="16">
        <v>3105</v>
      </c>
      <c r="AS2" s="16">
        <v>3105</v>
      </c>
      <c r="AT2" s="16">
        <v>575800</v>
      </c>
      <c r="AU2" s="16">
        <v>-245</v>
      </c>
      <c r="AV2" s="16">
        <f>AU2/AO2*100</f>
        <v>-7.3134328358208958</v>
      </c>
      <c r="AW2" s="16">
        <f>COUNT(AU2:AU5)</f>
        <v>4</v>
      </c>
      <c r="AX2" s="18" cm="1">
        <f t="array" ref="AX2:BE5">_xlfn._xlws.FILTER(A2:H47,MONTH(A2:A47)=5,"")</f>
        <v>43592</v>
      </c>
      <c r="AY2" s="16">
        <v>3150</v>
      </c>
      <c r="AZ2" s="16">
        <v>3380</v>
      </c>
      <c r="BA2" s="16">
        <v>2500</v>
      </c>
      <c r="BB2" s="16">
        <v>2844</v>
      </c>
      <c r="BC2" s="16">
        <v>2844</v>
      </c>
      <c r="BD2" s="16">
        <v>556300</v>
      </c>
      <c r="BE2" s="16">
        <v>-306</v>
      </c>
      <c r="BF2" s="16">
        <f>BE2/AY2*100</f>
        <v>-9.7142857142857135</v>
      </c>
      <c r="BG2" s="16">
        <f>COUNT(BE2:BE5)</f>
        <v>4</v>
      </c>
      <c r="BH2" s="18" cm="1">
        <f t="array" ref="BH2:BO5">_xlfn._xlws.FILTER(A2:H47,MONTH(A2:A47)=6,"")</f>
        <v>43619</v>
      </c>
      <c r="BI2" s="16">
        <v>2800</v>
      </c>
      <c r="BJ2" s="16">
        <v>3195</v>
      </c>
      <c r="BK2" s="16">
        <v>2661</v>
      </c>
      <c r="BL2" s="16">
        <v>3090</v>
      </c>
      <c r="BM2" s="16">
        <v>3090</v>
      </c>
      <c r="BN2" s="16">
        <v>234000</v>
      </c>
      <c r="BO2" s="16">
        <v>290</v>
      </c>
      <c r="BP2" s="16">
        <f>BO2/BI2*100</f>
        <v>10.357142857142858</v>
      </c>
      <c r="BQ2" s="16">
        <f>COUNT(BO2:BO5)</f>
        <v>4</v>
      </c>
      <c r="BR2" s="18" cm="1">
        <f t="array" ref="BR2:BY5">_xlfn._xlws.FILTER(A2:H47,MONTH(A2:A47)=7,"")</f>
        <v>43647</v>
      </c>
      <c r="BS2" s="16">
        <v>3145</v>
      </c>
      <c r="BT2" s="16">
        <v>3745</v>
      </c>
      <c r="BU2" s="16">
        <v>3050</v>
      </c>
      <c r="BV2" s="16">
        <v>3340</v>
      </c>
      <c r="BW2" s="16">
        <v>3340</v>
      </c>
      <c r="BX2" s="16">
        <v>395000</v>
      </c>
      <c r="BY2" s="16">
        <v>195</v>
      </c>
      <c r="BZ2" s="16">
        <f>BY2/BS2*100</f>
        <v>6.2003179650238476</v>
      </c>
      <c r="CA2" s="16">
        <f>COUNT(BY2:BY5)</f>
        <v>4</v>
      </c>
      <c r="CB2" s="18" cm="1">
        <f t="array" ref="CB2:CI5">_xlfn._xlws.FILTER(A2:H47,MONTH(A2:A47)=8,"")</f>
        <v>43678</v>
      </c>
      <c r="CC2" s="16">
        <v>3340</v>
      </c>
      <c r="CD2" s="16">
        <v>4210</v>
      </c>
      <c r="CE2" s="16">
        <v>3085</v>
      </c>
      <c r="CF2" s="16">
        <v>4035</v>
      </c>
      <c r="CG2" s="16">
        <v>4035</v>
      </c>
      <c r="CH2" s="16">
        <v>419200</v>
      </c>
      <c r="CI2" s="16">
        <v>695</v>
      </c>
      <c r="CJ2" s="16">
        <f>CI2/CC2*100</f>
        <v>20.808383233532936</v>
      </c>
      <c r="CK2" s="16">
        <f>COUNT(CI2:CI5)</f>
        <v>4</v>
      </c>
      <c r="CL2" s="18" cm="1">
        <f t="array" ref="CL2:CS5">_xlfn._xlws.FILTER(A2:H47,MONTH(A2:A47)=9,"")</f>
        <v>43710</v>
      </c>
      <c r="CM2" s="16">
        <v>4055</v>
      </c>
      <c r="CN2" s="16">
        <v>4900</v>
      </c>
      <c r="CO2" s="16">
        <v>3860</v>
      </c>
      <c r="CP2" s="16">
        <v>4800</v>
      </c>
      <c r="CQ2" s="16">
        <v>4800</v>
      </c>
      <c r="CR2" s="16">
        <v>449300</v>
      </c>
      <c r="CS2" s="16">
        <v>745</v>
      </c>
      <c r="CT2" s="16">
        <f>CS2/CM2*100</f>
        <v>18.372379778051787</v>
      </c>
      <c r="CU2" s="16">
        <f>COUNT(CS2:CS5)</f>
        <v>4</v>
      </c>
      <c r="CV2" s="18" cm="1">
        <f t="array" ref="CV2:DC5">_xlfn._xlws.FILTER(A2:H47,MONTH(A2:A47)=10,"")</f>
        <v>43739</v>
      </c>
      <c r="CW2" s="16">
        <v>4870</v>
      </c>
      <c r="CX2" s="16">
        <v>4985</v>
      </c>
      <c r="CY2" s="16">
        <v>3695</v>
      </c>
      <c r="CZ2" s="16">
        <v>3910</v>
      </c>
      <c r="DA2" s="16">
        <v>3910</v>
      </c>
      <c r="DB2" s="16">
        <v>284900</v>
      </c>
      <c r="DC2" s="16">
        <v>-960</v>
      </c>
      <c r="DD2" s="16">
        <f>DC2/CW2*100</f>
        <v>-19.71252566735113</v>
      </c>
      <c r="DE2" s="16">
        <f>COUNT(DC2:DC5)</f>
        <v>4</v>
      </c>
      <c r="DF2" s="18" cm="1">
        <f t="array" ref="DF2:DM5">_xlfn._xlws.FILTER(A2:H47,MONTH(A2:A47)=11,"")</f>
        <v>43770</v>
      </c>
      <c r="DG2" s="16">
        <v>3905</v>
      </c>
      <c r="DH2" s="16">
        <v>4070</v>
      </c>
      <c r="DI2" s="16">
        <v>3350</v>
      </c>
      <c r="DJ2" s="16">
        <v>3640</v>
      </c>
      <c r="DK2" s="16">
        <v>3640</v>
      </c>
      <c r="DL2" s="16">
        <v>446800</v>
      </c>
      <c r="DM2" s="16">
        <v>-265</v>
      </c>
      <c r="DN2" s="16">
        <f>DM2/DG2*100</f>
        <v>-6.7861715749039693</v>
      </c>
      <c r="DO2" s="16">
        <f>COUNT(DM2:DM5)</f>
        <v>4</v>
      </c>
      <c r="DP2" s="18" cm="1">
        <f t="array" ref="DP2:DW5">_xlfn._xlws.FILTER(A2:H47,MONTH(A2:A47)=12,"")</f>
        <v>43801</v>
      </c>
      <c r="DQ2" s="16">
        <v>3710</v>
      </c>
      <c r="DR2" s="16">
        <v>4145</v>
      </c>
      <c r="DS2" s="16">
        <v>3480</v>
      </c>
      <c r="DT2" s="16">
        <v>4145</v>
      </c>
      <c r="DU2" s="16">
        <v>4145</v>
      </c>
      <c r="DV2" s="16">
        <v>268400</v>
      </c>
      <c r="DW2" s="16">
        <v>435</v>
      </c>
      <c r="DX2" s="16">
        <f>DW2/DQ2*100</f>
        <v>11.725067385444744</v>
      </c>
      <c r="DY2" s="16">
        <f>COUNT(DW2:DW5)</f>
        <v>4</v>
      </c>
    </row>
    <row r="3" spans="1:129">
      <c r="A3" s="17">
        <v>43556</v>
      </c>
      <c r="B3" s="16">
        <v>3350</v>
      </c>
      <c r="C3" s="16">
        <v>3470</v>
      </c>
      <c r="D3" s="16">
        <v>2980</v>
      </c>
      <c r="E3" s="16">
        <v>3105</v>
      </c>
      <c r="F3" s="16">
        <v>3105</v>
      </c>
      <c r="G3" s="16">
        <v>575800</v>
      </c>
      <c r="H3" s="16">
        <f t="shared" si="0"/>
        <v>-245</v>
      </c>
      <c r="J3" s="18">
        <v>44200</v>
      </c>
      <c r="K3" s="16">
        <v>2450</v>
      </c>
      <c r="L3" s="16">
        <v>2677</v>
      </c>
      <c r="M3" s="16">
        <v>2323</v>
      </c>
      <c r="N3" s="16">
        <v>2571</v>
      </c>
      <c r="O3" s="16">
        <v>2571</v>
      </c>
      <c r="P3" s="16">
        <v>107900</v>
      </c>
      <c r="Q3" s="16">
        <v>121</v>
      </c>
      <c r="R3" s="16">
        <f>Q3/K3*100</f>
        <v>4.9387755102040822</v>
      </c>
      <c r="S3" s="16">
        <f>COUNTIF(Q2:Q4,"&gt;0")</f>
        <v>1</v>
      </c>
      <c r="T3" s="18">
        <v>44228</v>
      </c>
      <c r="U3" s="16">
        <v>2557</v>
      </c>
      <c r="V3" s="16">
        <v>3130</v>
      </c>
      <c r="W3" s="16">
        <v>2515</v>
      </c>
      <c r="X3" s="16">
        <v>3020</v>
      </c>
      <c r="Y3" s="16">
        <v>3020</v>
      </c>
      <c r="Z3" s="16">
        <v>174000</v>
      </c>
      <c r="AA3" s="16">
        <v>463</v>
      </c>
      <c r="AB3" s="16">
        <f>AA3/U3*100</f>
        <v>18.107156824403596</v>
      </c>
      <c r="AC3" s="16">
        <f>COUNTIF(AA2:AA4,"&gt;0")</f>
        <v>2</v>
      </c>
      <c r="AD3" s="18">
        <v>43892</v>
      </c>
      <c r="AE3" s="16">
        <v>2820</v>
      </c>
      <c r="AF3" s="16">
        <v>2944</v>
      </c>
      <c r="AG3" s="16">
        <v>1582</v>
      </c>
      <c r="AH3" s="16">
        <v>1641</v>
      </c>
      <c r="AI3" s="16">
        <v>1641</v>
      </c>
      <c r="AJ3" s="16">
        <v>575000</v>
      </c>
      <c r="AK3" s="16">
        <v>-1179</v>
      </c>
      <c r="AL3" s="16">
        <f>AK3/AE3*100</f>
        <v>-41.808510638297875</v>
      </c>
      <c r="AM3" s="16">
        <f>COUNTIF(AK2:AK5,"&gt;0")</f>
        <v>1</v>
      </c>
      <c r="AN3" s="18">
        <v>43922</v>
      </c>
      <c r="AO3" s="16">
        <v>1641</v>
      </c>
      <c r="AP3" s="16">
        <v>2142</v>
      </c>
      <c r="AQ3" s="16">
        <v>1330</v>
      </c>
      <c r="AR3" s="16">
        <v>2038</v>
      </c>
      <c r="AS3" s="16">
        <v>2038</v>
      </c>
      <c r="AT3" s="16">
        <v>370800</v>
      </c>
      <c r="AU3" s="16">
        <v>397</v>
      </c>
      <c r="AV3" s="16">
        <f>AU3/AO3*100</f>
        <v>24.192565508836076</v>
      </c>
      <c r="AW3" s="16">
        <f>COUNTIF(AU2:AU5,"&gt;0")</f>
        <v>2</v>
      </c>
      <c r="AX3" s="18">
        <v>43952</v>
      </c>
      <c r="AY3" s="16">
        <v>2031</v>
      </c>
      <c r="AZ3" s="16">
        <v>3360</v>
      </c>
      <c r="BA3" s="16">
        <v>1869</v>
      </c>
      <c r="BB3" s="16">
        <v>3105</v>
      </c>
      <c r="BC3" s="16">
        <v>3105</v>
      </c>
      <c r="BD3" s="16">
        <v>504400</v>
      </c>
      <c r="BE3" s="16">
        <v>1074</v>
      </c>
      <c r="BF3" s="16">
        <f>BE3/AY3*100</f>
        <v>52.880354505169869</v>
      </c>
      <c r="BG3" s="16">
        <f>COUNTIF(BE2:BE5,"&gt;0")</f>
        <v>3</v>
      </c>
      <c r="BH3" s="18">
        <v>43983</v>
      </c>
      <c r="BI3" s="16">
        <v>3170</v>
      </c>
      <c r="BJ3" s="16">
        <v>3455</v>
      </c>
      <c r="BK3" s="16">
        <v>2480</v>
      </c>
      <c r="BL3" s="16">
        <v>2640</v>
      </c>
      <c r="BM3" s="16">
        <v>2640</v>
      </c>
      <c r="BN3" s="16">
        <v>347300</v>
      </c>
      <c r="BO3" s="16">
        <v>-530</v>
      </c>
      <c r="BP3" s="16">
        <f>BO3/BI3*100</f>
        <v>-16.719242902208201</v>
      </c>
      <c r="BQ3" s="16">
        <f>COUNTIF(BO2:BO5,"&gt;0")</f>
        <v>1</v>
      </c>
      <c r="BR3" s="18">
        <v>44013</v>
      </c>
      <c r="BS3" s="16">
        <v>2617</v>
      </c>
      <c r="BT3" s="16">
        <v>2620</v>
      </c>
      <c r="BU3" s="16">
        <v>1620</v>
      </c>
      <c r="BV3" s="16">
        <v>1677</v>
      </c>
      <c r="BW3" s="16">
        <v>1677</v>
      </c>
      <c r="BX3" s="16">
        <v>196800</v>
      </c>
      <c r="BY3" s="16">
        <v>-940</v>
      </c>
      <c r="BZ3" s="16">
        <f>BY3/BS3*100</f>
        <v>-35.918991211310662</v>
      </c>
      <c r="CA3" s="16">
        <f>COUNTIF(BY2:BY5,"&gt;0")</f>
        <v>2</v>
      </c>
      <c r="CB3" s="18">
        <v>44046</v>
      </c>
      <c r="CC3" s="16">
        <v>1677</v>
      </c>
      <c r="CD3" s="16">
        <v>2479</v>
      </c>
      <c r="CE3" s="16">
        <v>1677</v>
      </c>
      <c r="CF3" s="16">
        <v>2393</v>
      </c>
      <c r="CG3" s="16">
        <v>2393</v>
      </c>
      <c r="CH3" s="16">
        <v>167800</v>
      </c>
      <c r="CI3" s="16">
        <v>716</v>
      </c>
      <c r="CJ3" s="16">
        <f>CI3/CC3*100</f>
        <v>42.695289206917117</v>
      </c>
      <c r="CK3" s="16">
        <f>COUNTIF(CI2:CI5,"&gt;0")</f>
        <v>2</v>
      </c>
      <c r="CL3" s="18">
        <v>44075</v>
      </c>
      <c r="CM3" s="16">
        <v>2410</v>
      </c>
      <c r="CN3" s="16">
        <v>3090</v>
      </c>
      <c r="CO3" s="16">
        <v>2331</v>
      </c>
      <c r="CP3" s="16">
        <v>2951</v>
      </c>
      <c r="CQ3" s="16">
        <v>2951</v>
      </c>
      <c r="CR3" s="16">
        <v>215500</v>
      </c>
      <c r="CS3" s="16">
        <v>541</v>
      </c>
      <c r="CT3" s="16">
        <f>CS3/CM3*100</f>
        <v>22.44813278008299</v>
      </c>
      <c r="CU3" s="16">
        <f>COUNTIF(CS2:CS5,"&gt;0")</f>
        <v>3</v>
      </c>
      <c r="CV3" s="18">
        <v>44106</v>
      </c>
      <c r="CW3" s="16">
        <v>2972</v>
      </c>
      <c r="CX3" s="16">
        <v>3075</v>
      </c>
      <c r="CY3" s="16">
        <v>2253</v>
      </c>
      <c r="CZ3" s="16">
        <v>2302</v>
      </c>
      <c r="DA3" s="16">
        <v>2302</v>
      </c>
      <c r="DB3" s="16">
        <v>202800</v>
      </c>
      <c r="DC3" s="16">
        <v>-670</v>
      </c>
      <c r="DD3" s="16">
        <f>DC3/CW3*100</f>
        <v>-22.543741588156124</v>
      </c>
      <c r="DE3" s="16">
        <f>COUNTIF(DC2:DC5,"&gt;0")</f>
        <v>1</v>
      </c>
      <c r="DF3" s="18">
        <v>44137</v>
      </c>
      <c r="DG3" s="16">
        <v>2330</v>
      </c>
      <c r="DH3" s="16">
        <v>2847</v>
      </c>
      <c r="DI3" s="16">
        <v>2330</v>
      </c>
      <c r="DJ3" s="16">
        <v>2536</v>
      </c>
      <c r="DK3" s="16">
        <v>2536</v>
      </c>
      <c r="DL3" s="16">
        <v>196000</v>
      </c>
      <c r="DM3" s="16">
        <v>206</v>
      </c>
      <c r="DN3" s="16">
        <f>DM3/DG3*100</f>
        <v>8.8412017167381975</v>
      </c>
      <c r="DO3" s="16">
        <f>COUNTIF(DM2:DM5,"&gt;0")</f>
        <v>2</v>
      </c>
      <c r="DP3" s="18">
        <v>44166</v>
      </c>
      <c r="DQ3" s="16">
        <v>2536</v>
      </c>
      <c r="DR3" s="16">
        <v>2775</v>
      </c>
      <c r="DS3" s="16">
        <v>2412</v>
      </c>
      <c r="DT3" s="16">
        <v>2455</v>
      </c>
      <c r="DU3" s="16">
        <v>2455</v>
      </c>
      <c r="DV3" s="16">
        <v>153100</v>
      </c>
      <c r="DW3" s="16">
        <v>-81</v>
      </c>
      <c r="DX3" s="16">
        <f>DW3/DQ3*100</f>
        <v>-3.1940063091482651</v>
      </c>
      <c r="DY3" s="16">
        <f>COUNTIF(DW2:DW5,"&gt;0")</f>
        <v>3</v>
      </c>
    </row>
    <row r="4" spans="1:129">
      <c r="A4" s="17">
        <v>43592</v>
      </c>
      <c r="B4" s="16">
        <v>3150</v>
      </c>
      <c r="C4" s="16">
        <v>3380</v>
      </c>
      <c r="D4" s="16">
        <v>2500</v>
      </c>
      <c r="E4" s="16">
        <v>2844</v>
      </c>
      <c r="F4" s="16">
        <v>2844</v>
      </c>
      <c r="G4" s="16">
        <v>556300</v>
      </c>
      <c r="H4" s="16">
        <f t="shared" si="0"/>
        <v>-306</v>
      </c>
      <c r="J4" s="18">
        <v>44565</v>
      </c>
      <c r="K4" s="16">
        <v>3255</v>
      </c>
      <c r="L4" s="16">
        <v>3300</v>
      </c>
      <c r="M4" s="16">
        <v>2933</v>
      </c>
      <c r="N4" s="16">
        <v>3030</v>
      </c>
      <c r="O4" s="16">
        <v>3030</v>
      </c>
      <c r="P4" s="16">
        <v>117200</v>
      </c>
      <c r="Q4" s="16">
        <v>-225</v>
      </c>
      <c r="R4" s="16">
        <f>Q4/K4*100</f>
        <v>-6.9124423963133648</v>
      </c>
      <c r="S4" s="19">
        <f>S3/S2*100</f>
        <v>33.333333333333329</v>
      </c>
      <c r="T4" s="18">
        <v>44593</v>
      </c>
      <c r="U4" s="16">
        <v>3040</v>
      </c>
      <c r="V4" s="16">
        <v>3110</v>
      </c>
      <c r="W4" s="16">
        <v>2973</v>
      </c>
      <c r="X4" s="16">
        <v>3055</v>
      </c>
      <c r="Y4" s="16">
        <v>3055</v>
      </c>
      <c r="Z4" s="16">
        <v>46100</v>
      </c>
      <c r="AA4" s="16">
        <v>15</v>
      </c>
      <c r="AB4" s="16">
        <f>AA4/U4*100</f>
        <v>0.49342105263157893</v>
      </c>
      <c r="AC4" s="19">
        <f>AC3/AC2*100</f>
        <v>66.666666666666657</v>
      </c>
      <c r="AD4" s="18">
        <v>44256</v>
      </c>
      <c r="AE4" s="16">
        <v>2974</v>
      </c>
      <c r="AF4" s="16">
        <v>3440</v>
      </c>
      <c r="AG4" s="16">
        <v>2834</v>
      </c>
      <c r="AH4" s="16">
        <v>3390</v>
      </c>
      <c r="AI4" s="16">
        <v>3390</v>
      </c>
      <c r="AJ4" s="16">
        <v>175600</v>
      </c>
      <c r="AK4" s="16">
        <v>416</v>
      </c>
      <c r="AL4" s="16">
        <f>AK4/AE4*100</f>
        <v>13.98789509078682</v>
      </c>
      <c r="AM4" s="19">
        <f>AM3/AM2*100</f>
        <v>25</v>
      </c>
      <c r="AN4" s="18">
        <v>44287</v>
      </c>
      <c r="AO4" s="16">
        <v>3400</v>
      </c>
      <c r="AP4" s="16">
        <v>3760</v>
      </c>
      <c r="AQ4" s="16">
        <v>2980</v>
      </c>
      <c r="AR4" s="16">
        <v>3360</v>
      </c>
      <c r="AS4" s="16">
        <v>3360</v>
      </c>
      <c r="AT4" s="16">
        <v>157900</v>
      </c>
      <c r="AU4" s="16">
        <v>-40</v>
      </c>
      <c r="AV4" s="16">
        <f>AU4/AO4*100</f>
        <v>-1.1764705882352942</v>
      </c>
      <c r="AW4" s="19">
        <f>AW3/AW2*100</f>
        <v>50</v>
      </c>
      <c r="AX4" s="18">
        <v>44322</v>
      </c>
      <c r="AY4" s="16">
        <v>3410</v>
      </c>
      <c r="AZ4" s="16">
        <v>3850</v>
      </c>
      <c r="BA4" s="16">
        <v>3205</v>
      </c>
      <c r="BB4" s="16">
        <v>3700</v>
      </c>
      <c r="BC4" s="16">
        <v>3700</v>
      </c>
      <c r="BD4" s="16">
        <v>95500</v>
      </c>
      <c r="BE4" s="16">
        <v>290</v>
      </c>
      <c r="BF4" s="16">
        <f>BE4/AY4*100</f>
        <v>8.5043988269794717</v>
      </c>
      <c r="BG4" s="19">
        <f>BG3/BG2*100</f>
        <v>75</v>
      </c>
      <c r="BH4" s="18">
        <v>44348</v>
      </c>
      <c r="BI4" s="16">
        <v>3700</v>
      </c>
      <c r="BJ4" s="16">
        <v>4050</v>
      </c>
      <c r="BK4" s="16">
        <v>3230</v>
      </c>
      <c r="BL4" s="16">
        <v>3260</v>
      </c>
      <c r="BM4" s="16">
        <v>3260</v>
      </c>
      <c r="BN4" s="16">
        <v>304800</v>
      </c>
      <c r="BO4" s="16">
        <v>-440</v>
      </c>
      <c r="BP4" s="16">
        <f>BO4/BI4*100</f>
        <v>-11.891891891891893</v>
      </c>
      <c r="BQ4" s="19">
        <f>BQ3/BQ2*100</f>
        <v>25</v>
      </c>
      <c r="BR4" s="18">
        <v>44378</v>
      </c>
      <c r="BS4" s="16">
        <v>3280</v>
      </c>
      <c r="BT4" s="16">
        <v>3650</v>
      </c>
      <c r="BU4" s="16">
        <v>3250</v>
      </c>
      <c r="BV4" s="16">
        <v>3320</v>
      </c>
      <c r="BW4" s="16">
        <v>3320</v>
      </c>
      <c r="BX4" s="16">
        <v>144500</v>
      </c>
      <c r="BY4" s="16">
        <v>40</v>
      </c>
      <c r="BZ4" s="16">
        <f>BY4/BS4*100</f>
        <v>1.2195121951219512</v>
      </c>
      <c r="CA4" s="19">
        <f>CA3/CA2*100</f>
        <v>50</v>
      </c>
      <c r="CB4" s="18">
        <v>44410</v>
      </c>
      <c r="CC4" s="16">
        <v>3295</v>
      </c>
      <c r="CD4" s="16">
        <v>3295</v>
      </c>
      <c r="CE4" s="16">
        <v>2723</v>
      </c>
      <c r="CF4" s="16">
        <v>3020</v>
      </c>
      <c r="CG4" s="16">
        <v>3020</v>
      </c>
      <c r="CH4" s="16">
        <v>133500</v>
      </c>
      <c r="CI4" s="16">
        <v>-275</v>
      </c>
      <c r="CJ4" s="16">
        <f>CI4/CC4*100</f>
        <v>-8.3459787556904406</v>
      </c>
      <c r="CK4" s="19">
        <f>CK3/CK2*100</f>
        <v>50</v>
      </c>
      <c r="CL4" s="18">
        <v>44440</v>
      </c>
      <c r="CM4" s="16">
        <v>3030</v>
      </c>
      <c r="CN4" s="16">
        <v>3550</v>
      </c>
      <c r="CO4" s="16">
        <v>2955</v>
      </c>
      <c r="CP4" s="16">
        <v>3545</v>
      </c>
      <c r="CQ4" s="16">
        <v>3545</v>
      </c>
      <c r="CR4" s="16">
        <v>87500</v>
      </c>
      <c r="CS4" s="16">
        <v>515</v>
      </c>
      <c r="CT4" s="16">
        <f>CS4/CM4*100</f>
        <v>16.996699669966997</v>
      </c>
      <c r="CU4" s="19">
        <f>CU3/CU2*100</f>
        <v>75</v>
      </c>
      <c r="CV4" s="18">
        <v>44470</v>
      </c>
      <c r="CW4" s="16">
        <v>3545</v>
      </c>
      <c r="CX4" s="16">
        <v>3680</v>
      </c>
      <c r="CY4" s="16">
        <v>3245</v>
      </c>
      <c r="CZ4" s="16">
        <v>3280</v>
      </c>
      <c r="DA4" s="16">
        <v>3280</v>
      </c>
      <c r="DB4" s="16">
        <v>99500</v>
      </c>
      <c r="DC4" s="16">
        <v>-265</v>
      </c>
      <c r="DD4" s="16">
        <f>DC4/CW4*100</f>
        <v>-7.4753173483779971</v>
      </c>
      <c r="DE4" s="19">
        <f>DE3/DE2*100</f>
        <v>25</v>
      </c>
      <c r="DF4" s="18">
        <v>44501</v>
      </c>
      <c r="DG4" s="16">
        <v>3335</v>
      </c>
      <c r="DH4" s="16">
        <v>3685</v>
      </c>
      <c r="DI4" s="16">
        <v>3025</v>
      </c>
      <c r="DJ4" s="16">
        <v>3075</v>
      </c>
      <c r="DK4" s="16">
        <v>3075</v>
      </c>
      <c r="DL4" s="16">
        <v>115700</v>
      </c>
      <c r="DM4" s="16">
        <v>-260</v>
      </c>
      <c r="DN4" s="16">
        <f>DM4/DG4*100</f>
        <v>-7.7961019490254868</v>
      </c>
      <c r="DO4" s="19">
        <f>DO3/DO2*100</f>
        <v>50</v>
      </c>
      <c r="DP4" s="18">
        <v>44531</v>
      </c>
      <c r="DQ4" s="16">
        <v>3045</v>
      </c>
      <c r="DR4" s="16">
        <v>3200</v>
      </c>
      <c r="DS4" s="16">
        <v>2882</v>
      </c>
      <c r="DT4" s="16">
        <v>3200</v>
      </c>
      <c r="DU4" s="16">
        <v>3200</v>
      </c>
      <c r="DV4" s="16">
        <v>120200</v>
      </c>
      <c r="DW4" s="16">
        <v>155</v>
      </c>
      <c r="DX4" s="16">
        <f>DW4/DQ4*100</f>
        <v>5.0903119868637114</v>
      </c>
      <c r="DY4" s="19">
        <f>DY3/DY2*100</f>
        <v>75</v>
      </c>
    </row>
    <row r="5" spans="1:129">
      <c r="A5" s="17">
        <v>43619</v>
      </c>
      <c r="B5" s="16">
        <v>2800</v>
      </c>
      <c r="C5" s="16">
        <v>3195</v>
      </c>
      <c r="D5" s="16">
        <v>2661</v>
      </c>
      <c r="E5" s="16">
        <v>3090</v>
      </c>
      <c r="F5" s="16">
        <v>3090</v>
      </c>
      <c r="G5" s="16">
        <v>234000</v>
      </c>
      <c r="H5" s="16">
        <f t="shared" si="0"/>
        <v>290</v>
      </c>
      <c r="S5" s="16">
        <f>AVERAGE(R2:R4)</f>
        <v>-3.753988680572816</v>
      </c>
      <c r="AC5" s="16">
        <f>AVERAGE(AB2:AB4)</f>
        <v>-0.42859525310948726</v>
      </c>
      <c r="AD5" s="18">
        <v>44621</v>
      </c>
      <c r="AE5" s="16">
        <v>3055</v>
      </c>
      <c r="AF5" s="16">
        <v>3060</v>
      </c>
      <c r="AG5" s="16">
        <v>2929</v>
      </c>
      <c r="AH5" s="16">
        <v>2992</v>
      </c>
      <c r="AI5" s="16">
        <v>2992</v>
      </c>
      <c r="AJ5" s="16">
        <v>41200</v>
      </c>
      <c r="AK5" s="16">
        <v>-63</v>
      </c>
      <c r="AL5" s="16">
        <f>AK5/AE5*100</f>
        <v>-2.0621931260229132</v>
      </c>
      <c r="AM5" s="16">
        <f>AVERAGE(AL2:AL5)</f>
        <v>-11.319302677289343</v>
      </c>
      <c r="AN5" s="18">
        <v>44652</v>
      </c>
      <c r="AO5" s="16">
        <v>2993</v>
      </c>
      <c r="AP5" s="16">
        <v>3065</v>
      </c>
      <c r="AQ5" s="16">
        <v>2982</v>
      </c>
      <c r="AR5" s="16">
        <v>3065</v>
      </c>
      <c r="AS5" s="16">
        <v>3065</v>
      </c>
      <c r="AT5" s="16">
        <v>31600</v>
      </c>
      <c r="AU5" s="16">
        <v>72</v>
      </c>
      <c r="AV5" s="16">
        <f>AU5/AO5*100</f>
        <v>2.4056130972268623</v>
      </c>
      <c r="AW5" s="16">
        <f>AVERAGE(AV2:AV5)</f>
        <v>4.5270687955016866</v>
      </c>
      <c r="AX5" s="18">
        <v>44683</v>
      </c>
      <c r="AY5" s="16">
        <v>3030</v>
      </c>
      <c r="AZ5" s="16">
        <v>3310</v>
      </c>
      <c r="BA5" s="16">
        <v>3020</v>
      </c>
      <c r="BB5" s="16">
        <v>3310</v>
      </c>
      <c r="BC5" s="16">
        <v>3310</v>
      </c>
      <c r="BD5" s="16">
        <v>48700</v>
      </c>
      <c r="BE5" s="16">
        <v>280</v>
      </c>
      <c r="BF5" s="16">
        <f>BE5/AY5*100</f>
        <v>9.2409240924092408</v>
      </c>
      <c r="BG5" s="16">
        <f>AVERAGE(BF2:BF5)</f>
        <v>15.227847927568217</v>
      </c>
      <c r="BH5" s="18">
        <v>44713</v>
      </c>
      <c r="BI5" s="16">
        <v>3310</v>
      </c>
      <c r="BJ5" s="16">
        <v>3370</v>
      </c>
      <c r="BK5" s="16">
        <v>2904</v>
      </c>
      <c r="BL5" s="16">
        <v>3090</v>
      </c>
      <c r="BM5" s="16">
        <v>3090</v>
      </c>
      <c r="BN5" s="16">
        <v>189800</v>
      </c>
      <c r="BO5" s="16">
        <v>-220</v>
      </c>
      <c r="BP5" s="16">
        <f>BO5/BI5*100</f>
        <v>-6.6465256797583088</v>
      </c>
      <c r="BQ5" s="16">
        <f>AVERAGE(BP2:BP5)</f>
        <v>-6.2251294041788858</v>
      </c>
      <c r="BR5" s="18">
        <v>44743</v>
      </c>
      <c r="BS5" s="16">
        <v>3135</v>
      </c>
      <c r="BT5" s="16">
        <v>3225</v>
      </c>
      <c r="BU5" s="16">
        <v>3010</v>
      </c>
      <c r="BV5" s="16">
        <v>3030</v>
      </c>
      <c r="BW5" s="16">
        <v>3030</v>
      </c>
      <c r="BX5" s="16">
        <v>134600</v>
      </c>
      <c r="BY5" s="16">
        <v>-105</v>
      </c>
      <c r="BZ5" s="16">
        <f>BY5/BS5*100</f>
        <v>-3.3492822966507179</v>
      </c>
      <c r="CA5" s="16">
        <f>AVERAGE(BZ2:BZ5)</f>
        <v>-7.9621108369538947</v>
      </c>
      <c r="CB5" s="18">
        <v>44774</v>
      </c>
      <c r="CC5" s="16">
        <v>3030</v>
      </c>
      <c r="CD5" s="16">
        <v>3035</v>
      </c>
      <c r="CE5" s="16">
        <v>2956</v>
      </c>
      <c r="CF5" s="16">
        <v>2997</v>
      </c>
      <c r="CG5" s="16">
        <v>2997</v>
      </c>
      <c r="CH5" s="16">
        <v>53400</v>
      </c>
      <c r="CI5" s="16">
        <v>-33</v>
      </c>
      <c r="CJ5" s="16">
        <f>CI5/CC5*100</f>
        <v>-1.089108910891089</v>
      </c>
      <c r="CK5" s="16">
        <f>AVERAGE(CJ2:CJ5)</f>
        <v>13.517146193467131</v>
      </c>
      <c r="CL5" s="18">
        <v>44805</v>
      </c>
      <c r="CM5" s="16">
        <v>3000</v>
      </c>
      <c r="CN5" s="16">
        <v>3005</v>
      </c>
      <c r="CO5" s="16">
        <v>2895</v>
      </c>
      <c r="CP5" s="16">
        <v>2909</v>
      </c>
      <c r="CQ5" s="16">
        <v>2909</v>
      </c>
      <c r="CR5" s="16">
        <v>61800</v>
      </c>
      <c r="CS5" s="16">
        <v>-91</v>
      </c>
      <c r="CT5" s="16">
        <f>CS5/CM5*100</f>
        <v>-3.0333333333333332</v>
      </c>
      <c r="CU5" s="16">
        <f>AVERAGE(CT2:CT5)</f>
        <v>13.695969723692112</v>
      </c>
      <c r="CV5" s="18">
        <v>44837</v>
      </c>
      <c r="CW5" s="16">
        <v>2908</v>
      </c>
      <c r="CX5" s="16">
        <v>3035</v>
      </c>
      <c r="CY5" s="16">
        <v>2901</v>
      </c>
      <c r="CZ5" s="16">
        <v>3020</v>
      </c>
      <c r="DA5" s="16">
        <v>3020</v>
      </c>
      <c r="DB5" s="16">
        <v>28400</v>
      </c>
      <c r="DC5" s="16">
        <v>112</v>
      </c>
      <c r="DD5" s="16">
        <f>DC5/CW5*100</f>
        <v>3.8514442916093539</v>
      </c>
      <c r="DE5" s="16">
        <f>AVERAGE(DD2:DD5)</f>
        <v>-11.470035078068975</v>
      </c>
      <c r="DF5" s="18">
        <v>44866</v>
      </c>
      <c r="DG5" s="16">
        <v>3020</v>
      </c>
      <c r="DH5" s="16">
        <v>3105</v>
      </c>
      <c r="DI5" s="16">
        <v>3020</v>
      </c>
      <c r="DJ5" s="16">
        <v>3105</v>
      </c>
      <c r="DK5" s="16">
        <v>3105</v>
      </c>
      <c r="DL5" s="16">
        <v>33600</v>
      </c>
      <c r="DM5" s="16">
        <v>85</v>
      </c>
      <c r="DN5" s="16">
        <f>DM5/DG5*100</f>
        <v>2.814569536423841</v>
      </c>
      <c r="DO5" s="16">
        <f>AVERAGE(DN2:DN5)</f>
        <v>-0.73162556769185438</v>
      </c>
      <c r="DP5" s="18">
        <v>44896</v>
      </c>
      <c r="DQ5" s="16">
        <v>3105</v>
      </c>
      <c r="DR5" s="16">
        <v>3150</v>
      </c>
      <c r="DS5" s="16">
        <v>3000</v>
      </c>
      <c r="DT5" s="16">
        <v>3130</v>
      </c>
      <c r="DU5" s="16">
        <v>3130</v>
      </c>
      <c r="DV5" s="16">
        <v>58500</v>
      </c>
      <c r="DW5" s="16">
        <v>25</v>
      </c>
      <c r="DX5" s="16">
        <f>DW5/DQ5*100</f>
        <v>0.80515297906602246</v>
      </c>
      <c r="DY5" s="16">
        <f>AVERAGE(DX2:DX5)</f>
        <v>3.6066315105565527</v>
      </c>
    </row>
    <row r="6" spans="1:129">
      <c r="A6" s="17">
        <v>43647</v>
      </c>
      <c r="B6" s="16">
        <v>3145</v>
      </c>
      <c r="C6" s="16">
        <v>3745</v>
      </c>
      <c r="D6" s="16">
        <v>3050</v>
      </c>
      <c r="E6" s="16">
        <v>3340</v>
      </c>
      <c r="F6" s="16">
        <v>3340</v>
      </c>
      <c r="G6" s="16">
        <v>395000</v>
      </c>
      <c r="H6" s="16">
        <f t="shared" si="0"/>
        <v>195</v>
      </c>
      <c r="S6" s="16">
        <f>MEDIAN(R2:R4)</f>
        <v>-6.9124423963133648</v>
      </c>
      <c r="AC6" s="16">
        <f>MEDIAN(AB2:AB4)</f>
        <v>0.49342105263157893</v>
      </c>
      <c r="AM6" s="16">
        <f>MEDIAN(AL2:AL5)</f>
        <v>-8.7282975808231598</v>
      </c>
      <c r="AW6" s="16">
        <f>MEDIAN(AV2:AV5)</f>
        <v>0.61457125449578398</v>
      </c>
      <c r="BG6" s="16">
        <f>MEDIAN(BF2:BF5)</f>
        <v>8.8726614596943563</v>
      </c>
      <c r="BQ6" s="16">
        <f>MEDIAN(BP2:BP5)</f>
        <v>-9.2692087858251</v>
      </c>
      <c r="CA6" s="16">
        <f>MEDIAN(BZ2:BZ5)</f>
        <v>-1.0648850507643832</v>
      </c>
      <c r="CK6" s="16">
        <f>MEDIAN(CJ2:CJ5)</f>
        <v>9.8596371613209239</v>
      </c>
      <c r="CU6" s="16">
        <f>MEDIAN(CT2:CT5)</f>
        <v>17.68453972400939</v>
      </c>
      <c r="DE6" s="16">
        <f>MEDIAN(DD2:DD5)</f>
        <v>-13.593921507864565</v>
      </c>
      <c r="DO6" s="16">
        <f>MEDIAN(DN2:DN5)</f>
        <v>-1.9858010192400641</v>
      </c>
      <c r="DY6" s="16">
        <f>MEDIAN(DX2:DX5)</f>
        <v>2.947732482964867</v>
      </c>
    </row>
    <row r="7" spans="1:129">
      <c r="A7" s="17">
        <v>43678</v>
      </c>
      <c r="B7" s="16">
        <v>3340</v>
      </c>
      <c r="C7" s="16">
        <v>4210</v>
      </c>
      <c r="D7" s="16">
        <v>3085</v>
      </c>
      <c r="E7" s="16">
        <v>4035</v>
      </c>
      <c r="F7" s="16">
        <v>4035</v>
      </c>
      <c r="G7" s="16">
        <v>419200</v>
      </c>
      <c r="H7" s="16">
        <f t="shared" si="0"/>
        <v>695</v>
      </c>
    </row>
    <row r="8" spans="1:129">
      <c r="A8" s="17">
        <v>43710</v>
      </c>
      <c r="B8" s="16">
        <v>4055</v>
      </c>
      <c r="C8" s="16">
        <v>4900</v>
      </c>
      <c r="D8" s="16">
        <v>3860</v>
      </c>
      <c r="E8" s="16">
        <v>4800</v>
      </c>
      <c r="F8" s="16">
        <v>4800</v>
      </c>
      <c r="G8" s="16">
        <v>449300</v>
      </c>
      <c r="H8" s="16">
        <f t="shared" si="0"/>
        <v>745</v>
      </c>
    </row>
    <row r="9" spans="1:129">
      <c r="A9" s="17">
        <v>43739</v>
      </c>
      <c r="B9" s="16">
        <v>4870</v>
      </c>
      <c r="C9" s="16">
        <v>4985</v>
      </c>
      <c r="D9" s="16">
        <v>3695</v>
      </c>
      <c r="E9" s="16">
        <v>3910</v>
      </c>
      <c r="F9" s="16">
        <v>3910</v>
      </c>
      <c r="G9" s="16">
        <v>284900</v>
      </c>
      <c r="H9" s="16">
        <f t="shared" si="0"/>
        <v>-960</v>
      </c>
    </row>
    <row r="10" spans="1:129">
      <c r="A10" s="17">
        <v>43770</v>
      </c>
      <c r="B10" s="16">
        <v>3905</v>
      </c>
      <c r="C10" s="16">
        <v>4070</v>
      </c>
      <c r="D10" s="16">
        <v>3350</v>
      </c>
      <c r="E10" s="16">
        <v>3640</v>
      </c>
      <c r="F10" s="16">
        <v>3640</v>
      </c>
      <c r="G10" s="16">
        <v>446800</v>
      </c>
      <c r="H10" s="16">
        <f t="shared" si="0"/>
        <v>-265</v>
      </c>
    </row>
    <row r="11" spans="1:129">
      <c r="A11" s="17">
        <v>43801</v>
      </c>
      <c r="B11" s="16">
        <v>3710</v>
      </c>
      <c r="C11" s="16">
        <v>4145</v>
      </c>
      <c r="D11" s="16">
        <v>3480</v>
      </c>
      <c r="E11" s="16">
        <v>4145</v>
      </c>
      <c r="F11" s="16">
        <v>4145</v>
      </c>
      <c r="G11" s="16">
        <v>268400</v>
      </c>
      <c r="H11" s="16">
        <f t="shared" si="0"/>
        <v>435</v>
      </c>
    </row>
    <row r="12" spans="1:129">
      <c r="A12" s="17">
        <v>43836</v>
      </c>
      <c r="B12" s="16">
        <v>4145</v>
      </c>
      <c r="C12" s="16">
        <v>4385</v>
      </c>
      <c r="D12" s="16">
        <v>3480</v>
      </c>
      <c r="E12" s="16">
        <v>3760</v>
      </c>
      <c r="F12" s="16">
        <v>3760</v>
      </c>
      <c r="G12" s="16">
        <v>378300</v>
      </c>
      <c r="H12" s="16">
        <f t="shared" si="0"/>
        <v>-385</v>
      </c>
    </row>
    <row r="13" spans="1:129">
      <c r="A13" s="17">
        <v>43864</v>
      </c>
      <c r="B13" s="16">
        <v>3520</v>
      </c>
      <c r="C13" s="16">
        <v>4235</v>
      </c>
      <c r="D13" s="16">
        <v>2770</v>
      </c>
      <c r="E13" s="16">
        <v>2820</v>
      </c>
      <c r="F13" s="16">
        <v>2820</v>
      </c>
      <c r="G13" s="16">
        <v>369500</v>
      </c>
      <c r="H13" s="16">
        <f t="shared" si="0"/>
        <v>-700</v>
      </c>
    </row>
    <row r="14" spans="1:129">
      <c r="A14" s="17">
        <v>43892</v>
      </c>
      <c r="B14" s="16">
        <v>2820</v>
      </c>
      <c r="C14" s="16">
        <v>2944</v>
      </c>
      <c r="D14" s="16">
        <v>1582</v>
      </c>
      <c r="E14" s="16">
        <v>1641</v>
      </c>
      <c r="F14" s="16">
        <v>1641</v>
      </c>
      <c r="G14" s="16">
        <v>575000</v>
      </c>
      <c r="H14" s="16">
        <f t="shared" si="0"/>
        <v>-1179</v>
      </c>
    </row>
    <row r="15" spans="1:129">
      <c r="A15" s="17">
        <v>43922</v>
      </c>
      <c r="B15" s="16">
        <v>1641</v>
      </c>
      <c r="C15" s="16">
        <v>2142</v>
      </c>
      <c r="D15" s="16">
        <v>1330</v>
      </c>
      <c r="E15" s="16">
        <v>2038</v>
      </c>
      <c r="F15" s="16">
        <v>2038</v>
      </c>
      <c r="G15" s="16">
        <v>370800</v>
      </c>
      <c r="H15" s="16">
        <f t="shared" si="0"/>
        <v>397</v>
      </c>
    </row>
    <row r="16" spans="1:129">
      <c r="A16" s="17">
        <v>43952</v>
      </c>
      <c r="B16" s="16">
        <v>2031</v>
      </c>
      <c r="C16" s="16">
        <v>3360</v>
      </c>
      <c r="D16" s="16">
        <v>1869</v>
      </c>
      <c r="E16" s="16">
        <v>3105</v>
      </c>
      <c r="F16" s="16">
        <v>3105</v>
      </c>
      <c r="G16" s="16">
        <v>504400</v>
      </c>
      <c r="H16" s="16">
        <f t="shared" si="0"/>
        <v>1074</v>
      </c>
    </row>
    <row r="17" spans="1:8">
      <c r="A17" s="17">
        <v>43983</v>
      </c>
      <c r="B17" s="16">
        <v>3170</v>
      </c>
      <c r="C17" s="16">
        <v>3455</v>
      </c>
      <c r="D17" s="16">
        <v>2480</v>
      </c>
      <c r="E17" s="16">
        <v>2640</v>
      </c>
      <c r="F17" s="16">
        <v>2640</v>
      </c>
      <c r="G17" s="16">
        <v>347300</v>
      </c>
      <c r="H17" s="16">
        <f t="shared" si="0"/>
        <v>-530</v>
      </c>
    </row>
    <row r="18" spans="1:8">
      <c r="A18" s="17">
        <v>44013</v>
      </c>
      <c r="B18" s="16">
        <v>2617</v>
      </c>
      <c r="C18" s="16">
        <v>2620</v>
      </c>
      <c r="D18" s="16">
        <v>1620</v>
      </c>
      <c r="E18" s="16">
        <v>1677</v>
      </c>
      <c r="F18" s="16">
        <v>1677</v>
      </c>
      <c r="G18" s="16">
        <v>196800</v>
      </c>
      <c r="H18" s="16">
        <f t="shared" si="0"/>
        <v>-940</v>
      </c>
    </row>
    <row r="19" spans="1:8">
      <c r="A19" s="17">
        <v>44046</v>
      </c>
      <c r="B19" s="16">
        <v>1677</v>
      </c>
      <c r="C19" s="16">
        <v>2479</v>
      </c>
      <c r="D19" s="16">
        <v>1677</v>
      </c>
      <c r="E19" s="16">
        <v>2393</v>
      </c>
      <c r="F19" s="16">
        <v>2393</v>
      </c>
      <c r="G19" s="16">
        <v>167800</v>
      </c>
      <c r="H19" s="16">
        <f t="shared" si="0"/>
        <v>716</v>
      </c>
    </row>
    <row r="20" spans="1:8">
      <c r="A20" s="17">
        <v>44075</v>
      </c>
      <c r="B20" s="16">
        <v>2410</v>
      </c>
      <c r="C20" s="16">
        <v>3090</v>
      </c>
      <c r="D20" s="16">
        <v>2331</v>
      </c>
      <c r="E20" s="16">
        <v>2951</v>
      </c>
      <c r="F20" s="16">
        <v>2951</v>
      </c>
      <c r="G20" s="16">
        <v>215500</v>
      </c>
      <c r="H20" s="16">
        <f t="shared" si="0"/>
        <v>541</v>
      </c>
    </row>
    <row r="21" spans="1:8">
      <c r="A21" s="17">
        <v>44106</v>
      </c>
      <c r="B21" s="16">
        <v>2972</v>
      </c>
      <c r="C21" s="16">
        <v>3075</v>
      </c>
      <c r="D21" s="16">
        <v>2253</v>
      </c>
      <c r="E21" s="16">
        <v>2302</v>
      </c>
      <c r="F21" s="16">
        <v>2302</v>
      </c>
      <c r="G21" s="16">
        <v>202800</v>
      </c>
      <c r="H21" s="16">
        <f t="shared" si="0"/>
        <v>-670</v>
      </c>
    </row>
    <row r="22" spans="1:8">
      <c r="A22" s="17">
        <v>44137</v>
      </c>
      <c r="B22" s="16">
        <v>2330</v>
      </c>
      <c r="C22" s="16">
        <v>2847</v>
      </c>
      <c r="D22" s="16">
        <v>2330</v>
      </c>
      <c r="E22" s="16">
        <v>2536</v>
      </c>
      <c r="F22" s="16">
        <v>2536</v>
      </c>
      <c r="G22" s="16">
        <v>196000</v>
      </c>
      <c r="H22" s="16">
        <f t="shared" si="0"/>
        <v>206</v>
      </c>
    </row>
    <row r="23" spans="1:8">
      <c r="A23" s="17">
        <v>44166</v>
      </c>
      <c r="B23" s="16">
        <v>2536</v>
      </c>
      <c r="C23" s="16">
        <v>2775</v>
      </c>
      <c r="D23" s="16">
        <v>2412</v>
      </c>
      <c r="E23" s="16">
        <v>2455</v>
      </c>
      <c r="F23" s="16">
        <v>2455</v>
      </c>
      <c r="G23" s="16">
        <v>153100</v>
      </c>
      <c r="H23" s="16">
        <f t="shared" si="0"/>
        <v>-81</v>
      </c>
    </row>
    <row r="24" spans="1:8">
      <c r="A24" s="17">
        <v>44200</v>
      </c>
      <c r="B24" s="16">
        <v>2450</v>
      </c>
      <c r="C24" s="16">
        <v>2677</v>
      </c>
      <c r="D24" s="16">
        <v>2323</v>
      </c>
      <c r="E24" s="16">
        <v>2571</v>
      </c>
      <c r="F24" s="16">
        <v>2571</v>
      </c>
      <c r="G24" s="16">
        <v>107900</v>
      </c>
      <c r="H24" s="16">
        <f t="shared" si="0"/>
        <v>121</v>
      </c>
    </row>
    <row r="25" spans="1:8">
      <c r="A25" s="17">
        <v>44228</v>
      </c>
      <c r="B25" s="16">
        <v>2557</v>
      </c>
      <c r="C25" s="16">
        <v>3130</v>
      </c>
      <c r="D25" s="16">
        <v>2515</v>
      </c>
      <c r="E25" s="16">
        <v>3020</v>
      </c>
      <c r="F25" s="16">
        <v>3020</v>
      </c>
      <c r="G25" s="16">
        <v>174000</v>
      </c>
      <c r="H25" s="16">
        <f t="shared" si="0"/>
        <v>463</v>
      </c>
    </row>
    <row r="26" spans="1:8">
      <c r="A26" s="17">
        <v>44256</v>
      </c>
      <c r="B26" s="16">
        <v>2974</v>
      </c>
      <c r="C26" s="16">
        <v>3440</v>
      </c>
      <c r="D26" s="16">
        <v>2834</v>
      </c>
      <c r="E26" s="16">
        <v>3390</v>
      </c>
      <c r="F26" s="16">
        <v>3390</v>
      </c>
      <c r="G26" s="16">
        <v>175600</v>
      </c>
      <c r="H26" s="16">
        <f t="shared" si="0"/>
        <v>416</v>
      </c>
    </row>
    <row r="27" spans="1:8">
      <c r="A27" s="17">
        <v>44287</v>
      </c>
      <c r="B27" s="16">
        <v>3400</v>
      </c>
      <c r="C27" s="16">
        <v>3760</v>
      </c>
      <c r="D27" s="16">
        <v>2980</v>
      </c>
      <c r="E27" s="16">
        <v>3360</v>
      </c>
      <c r="F27" s="16">
        <v>3360</v>
      </c>
      <c r="G27" s="16">
        <v>157900</v>
      </c>
      <c r="H27" s="16">
        <f t="shared" si="0"/>
        <v>-40</v>
      </c>
    </row>
    <row r="28" spans="1:8">
      <c r="A28" s="17">
        <v>44322</v>
      </c>
      <c r="B28" s="16">
        <v>3410</v>
      </c>
      <c r="C28" s="16">
        <v>3850</v>
      </c>
      <c r="D28" s="16">
        <v>3205</v>
      </c>
      <c r="E28" s="16">
        <v>3700</v>
      </c>
      <c r="F28" s="16">
        <v>3700</v>
      </c>
      <c r="G28" s="16">
        <v>95500</v>
      </c>
      <c r="H28" s="16">
        <f t="shared" si="0"/>
        <v>290</v>
      </c>
    </row>
    <row r="29" spans="1:8">
      <c r="A29" s="17">
        <v>44348</v>
      </c>
      <c r="B29" s="16">
        <v>3700</v>
      </c>
      <c r="C29" s="16">
        <v>4050</v>
      </c>
      <c r="D29" s="16">
        <v>3230</v>
      </c>
      <c r="E29" s="16">
        <v>3260</v>
      </c>
      <c r="F29" s="16">
        <v>3260</v>
      </c>
      <c r="G29" s="16">
        <v>304800</v>
      </c>
      <c r="H29" s="16">
        <f t="shared" si="0"/>
        <v>-440</v>
      </c>
    </row>
    <row r="30" spans="1:8">
      <c r="A30" s="17">
        <v>44378</v>
      </c>
      <c r="B30" s="16">
        <v>3280</v>
      </c>
      <c r="C30" s="16">
        <v>3650</v>
      </c>
      <c r="D30" s="16">
        <v>3250</v>
      </c>
      <c r="E30" s="16">
        <v>3320</v>
      </c>
      <c r="F30" s="16">
        <v>3320</v>
      </c>
      <c r="G30" s="16">
        <v>144500</v>
      </c>
      <c r="H30" s="16">
        <f t="shared" si="0"/>
        <v>40</v>
      </c>
    </row>
    <row r="31" spans="1:8">
      <c r="A31" s="17">
        <v>44410</v>
      </c>
      <c r="B31" s="16">
        <v>3295</v>
      </c>
      <c r="C31" s="16">
        <v>3295</v>
      </c>
      <c r="D31" s="16">
        <v>2723</v>
      </c>
      <c r="E31" s="16">
        <v>3020</v>
      </c>
      <c r="F31" s="16">
        <v>3020</v>
      </c>
      <c r="G31" s="16">
        <v>133500</v>
      </c>
      <c r="H31" s="16">
        <f t="shared" si="0"/>
        <v>-275</v>
      </c>
    </row>
    <row r="32" spans="1:8">
      <c r="A32" s="17">
        <v>44440</v>
      </c>
      <c r="B32" s="16">
        <v>3030</v>
      </c>
      <c r="C32" s="16">
        <v>3550</v>
      </c>
      <c r="D32" s="16">
        <v>2955</v>
      </c>
      <c r="E32" s="16">
        <v>3545</v>
      </c>
      <c r="F32" s="16">
        <v>3545</v>
      </c>
      <c r="G32" s="16">
        <v>87500</v>
      </c>
      <c r="H32" s="16">
        <f t="shared" si="0"/>
        <v>515</v>
      </c>
    </row>
    <row r="33" spans="1:8">
      <c r="A33" s="17">
        <v>44470</v>
      </c>
      <c r="B33" s="16">
        <v>3545</v>
      </c>
      <c r="C33" s="16">
        <v>3680</v>
      </c>
      <c r="D33" s="16">
        <v>3245</v>
      </c>
      <c r="E33" s="16">
        <v>3280</v>
      </c>
      <c r="F33" s="16">
        <v>3280</v>
      </c>
      <c r="G33" s="16">
        <v>99500</v>
      </c>
      <c r="H33" s="16">
        <f t="shared" si="0"/>
        <v>-265</v>
      </c>
    </row>
    <row r="34" spans="1:8">
      <c r="A34" s="17">
        <v>44501</v>
      </c>
      <c r="B34" s="16">
        <v>3335</v>
      </c>
      <c r="C34" s="16">
        <v>3685</v>
      </c>
      <c r="D34" s="16">
        <v>3025</v>
      </c>
      <c r="E34" s="16">
        <v>3075</v>
      </c>
      <c r="F34" s="16">
        <v>3075</v>
      </c>
      <c r="G34" s="16">
        <v>115700</v>
      </c>
      <c r="H34" s="16">
        <f t="shared" si="0"/>
        <v>-260</v>
      </c>
    </row>
    <row r="35" spans="1:8">
      <c r="A35" s="17">
        <v>44531</v>
      </c>
      <c r="B35" s="16">
        <v>3045</v>
      </c>
      <c r="C35" s="16">
        <v>3200</v>
      </c>
      <c r="D35" s="16">
        <v>2882</v>
      </c>
      <c r="E35" s="16">
        <v>3200</v>
      </c>
      <c r="F35" s="16">
        <v>3200</v>
      </c>
      <c r="G35" s="16">
        <v>120200</v>
      </c>
      <c r="H35" s="16">
        <f t="shared" si="0"/>
        <v>155</v>
      </c>
    </row>
    <row r="36" spans="1:8">
      <c r="A36" s="17">
        <v>44565</v>
      </c>
      <c r="B36" s="16">
        <v>3255</v>
      </c>
      <c r="C36" s="16">
        <v>3300</v>
      </c>
      <c r="D36" s="16">
        <v>2933</v>
      </c>
      <c r="E36" s="16">
        <v>3030</v>
      </c>
      <c r="F36" s="16">
        <v>3030</v>
      </c>
      <c r="G36" s="16">
        <v>117200</v>
      </c>
      <c r="H36" s="16">
        <f t="shared" si="0"/>
        <v>-225</v>
      </c>
    </row>
    <row r="37" spans="1:8">
      <c r="A37" s="17">
        <v>44593</v>
      </c>
      <c r="B37" s="16">
        <v>3040</v>
      </c>
      <c r="C37" s="16">
        <v>3110</v>
      </c>
      <c r="D37" s="16">
        <v>2973</v>
      </c>
      <c r="E37" s="16">
        <v>3055</v>
      </c>
      <c r="F37" s="16">
        <v>3055</v>
      </c>
      <c r="G37" s="16">
        <v>46100</v>
      </c>
      <c r="H37" s="16">
        <f t="shared" si="0"/>
        <v>15</v>
      </c>
    </row>
    <row r="38" spans="1:8">
      <c r="A38" s="17">
        <v>44621</v>
      </c>
      <c r="B38" s="16">
        <v>3055</v>
      </c>
      <c r="C38" s="16">
        <v>3060</v>
      </c>
      <c r="D38" s="16">
        <v>2929</v>
      </c>
      <c r="E38" s="16">
        <v>2992</v>
      </c>
      <c r="F38" s="16">
        <v>2992</v>
      </c>
      <c r="G38" s="16">
        <v>41200</v>
      </c>
      <c r="H38" s="16">
        <f t="shared" si="0"/>
        <v>-63</v>
      </c>
    </row>
    <row r="39" spans="1:8">
      <c r="A39" s="17">
        <v>44652</v>
      </c>
      <c r="B39" s="16">
        <v>2993</v>
      </c>
      <c r="C39" s="16">
        <v>3065</v>
      </c>
      <c r="D39" s="16">
        <v>2982</v>
      </c>
      <c r="E39" s="16">
        <v>3065</v>
      </c>
      <c r="F39" s="16">
        <v>3065</v>
      </c>
      <c r="G39" s="16">
        <v>31600</v>
      </c>
      <c r="H39" s="16">
        <f t="shared" si="0"/>
        <v>72</v>
      </c>
    </row>
    <row r="40" spans="1:8">
      <c r="A40" s="17">
        <v>44683</v>
      </c>
      <c r="B40" s="16">
        <v>3030</v>
      </c>
      <c r="C40" s="16">
        <v>3310</v>
      </c>
      <c r="D40" s="16">
        <v>3020</v>
      </c>
      <c r="E40" s="16">
        <v>3310</v>
      </c>
      <c r="F40" s="16">
        <v>3310</v>
      </c>
      <c r="G40" s="16">
        <v>48700</v>
      </c>
      <c r="H40" s="16">
        <f t="shared" si="0"/>
        <v>280</v>
      </c>
    </row>
    <row r="41" spans="1:8">
      <c r="A41" s="17">
        <v>44713</v>
      </c>
      <c r="B41" s="16">
        <v>3310</v>
      </c>
      <c r="C41" s="16">
        <v>3370</v>
      </c>
      <c r="D41" s="16">
        <v>2904</v>
      </c>
      <c r="E41" s="16">
        <v>3090</v>
      </c>
      <c r="F41" s="16">
        <v>3090</v>
      </c>
      <c r="G41" s="16">
        <v>189800</v>
      </c>
      <c r="H41" s="16">
        <f t="shared" si="0"/>
        <v>-220</v>
      </c>
    </row>
    <row r="42" spans="1:8">
      <c r="A42" s="17">
        <v>44743</v>
      </c>
      <c r="B42" s="16">
        <v>3135</v>
      </c>
      <c r="C42" s="16">
        <v>3225</v>
      </c>
      <c r="D42" s="16">
        <v>3010</v>
      </c>
      <c r="E42" s="16">
        <v>3030</v>
      </c>
      <c r="F42" s="16">
        <v>3030</v>
      </c>
      <c r="G42" s="16">
        <v>134600</v>
      </c>
      <c r="H42" s="16">
        <f t="shared" si="0"/>
        <v>-105</v>
      </c>
    </row>
    <row r="43" spans="1:8">
      <c r="A43" s="17">
        <v>44774</v>
      </c>
      <c r="B43" s="16">
        <v>3030</v>
      </c>
      <c r="C43" s="16">
        <v>3035</v>
      </c>
      <c r="D43" s="16">
        <v>2956</v>
      </c>
      <c r="E43" s="16">
        <v>2997</v>
      </c>
      <c r="F43" s="16">
        <v>2997</v>
      </c>
      <c r="G43" s="16">
        <v>53400</v>
      </c>
      <c r="H43" s="16">
        <f t="shared" si="0"/>
        <v>-33</v>
      </c>
    </row>
    <row r="44" spans="1:8">
      <c r="A44" s="17">
        <v>44805</v>
      </c>
      <c r="B44" s="16">
        <v>3000</v>
      </c>
      <c r="C44" s="16">
        <v>3005</v>
      </c>
      <c r="D44" s="16">
        <v>2895</v>
      </c>
      <c r="E44" s="16">
        <v>2909</v>
      </c>
      <c r="F44" s="16">
        <v>2909</v>
      </c>
      <c r="G44" s="16">
        <v>61800</v>
      </c>
      <c r="H44" s="16">
        <f t="shared" si="0"/>
        <v>-91</v>
      </c>
    </row>
    <row r="45" spans="1:8">
      <c r="A45" s="17">
        <v>44837</v>
      </c>
      <c r="B45" s="16">
        <v>2908</v>
      </c>
      <c r="C45" s="16">
        <v>3035</v>
      </c>
      <c r="D45" s="16">
        <v>2901</v>
      </c>
      <c r="E45" s="16">
        <v>3020</v>
      </c>
      <c r="F45" s="16">
        <v>3020</v>
      </c>
      <c r="G45" s="16">
        <v>28400</v>
      </c>
      <c r="H45" s="16">
        <f t="shared" si="0"/>
        <v>112</v>
      </c>
    </row>
    <row r="46" spans="1:8">
      <c r="A46" s="17">
        <v>44866</v>
      </c>
      <c r="B46" s="16">
        <v>3020</v>
      </c>
      <c r="C46" s="16">
        <v>3105</v>
      </c>
      <c r="D46" s="16">
        <v>3020</v>
      </c>
      <c r="E46" s="16">
        <v>3105</v>
      </c>
      <c r="F46" s="16">
        <v>3105</v>
      </c>
      <c r="G46" s="16">
        <v>33600</v>
      </c>
      <c r="H46" s="16">
        <f t="shared" si="0"/>
        <v>85</v>
      </c>
    </row>
    <row r="47" spans="1:8">
      <c r="A47" s="17">
        <v>44896</v>
      </c>
      <c r="B47" s="16">
        <v>3105</v>
      </c>
      <c r="C47" s="16">
        <v>3150</v>
      </c>
      <c r="D47" s="16">
        <v>3000</v>
      </c>
      <c r="E47" s="16">
        <v>3130</v>
      </c>
      <c r="F47" s="16">
        <v>3130</v>
      </c>
      <c r="G47" s="16">
        <v>58500</v>
      </c>
      <c r="H47" s="16">
        <f t="shared" si="0"/>
        <v>25</v>
      </c>
    </row>
  </sheetData>
  <phoneticPr fontId="32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729B2-B757-439F-B254-394CD310F688}">
  <sheetPr codeName="Sheet26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1719</v>
      </c>
      <c r="C2" s="16">
        <v>1789</v>
      </c>
      <c r="D2" s="16">
        <v>1555</v>
      </c>
      <c r="E2" s="16">
        <v>1565</v>
      </c>
      <c r="F2" s="16">
        <v>1565</v>
      </c>
      <c r="G2" s="16">
        <v>143800</v>
      </c>
      <c r="H2" s="16">
        <f t="shared" ref="H2:H33" si="0">E2-B2</f>
        <v>-154</v>
      </c>
      <c r="J2" s="18" cm="1">
        <f t="array" ref="J2:Q6">_xlfn._xlws.FILTER(A2:H61,MONTH(A2:A61)=1,"")</f>
        <v>43104</v>
      </c>
      <c r="K2" s="16">
        <v>1719</v>
      </c>
      <c r="L2" s="16">
        <v>1789</v>
      </c>
      <c r="M2" s="16">
        <v>1555</v>
      </c>
      <c r="N2" s="16">
        <v>1565</v>
      </c>
      <c r="O2" s="16">
        <v>1565</v>
      </c>
      <c r="P2" s="16">
        <v>143800</v>
      </c>
      <c r="Q2" s="16">
        <v>-154</v>
      </c>
      <c r="R2" s="16">
        <f>Q2/K2*100</f>
        <v>-8.9586969168120998</v>
      </c>
      <c r="S2" s="16">
        <f>COUNT(Q2:Q6)</f>
        <v>5</v>
      </c>
      <c r="T2" s="18" cm="1">
        <f t="array" ref="T2:AA6">_xlfn._xlws.FILTER(A2:H61,MONTH(A2:A61)=2,"")</f>
        <v>43132</v>
      </c>
      <c r="U2" s="16">
        <v>1580</v>
      </c>
      <c r="V2" s="16">
        <v>1717</v>
      </c>
      <c r="W2" s="16">
        <v>1445</v>
      </c>
      <c r="X2" s="16">
        <v>1692</v>
      </c>
      <c r="Y2" s="16">
        <v>1692</v>
      </c>
      <c r="Z2" s="16">
        <v>98900</v>
      </c>
      <c r="AA2" s="16">
        <v>112</v>
      </c>
      <c r="AB2" s="16">
        <f>AA2/U2*100</f>
        <v>7.0886075949367093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1717</v>
      </c>
      <c r="AF2" s="16">
        <v>1720</v>
      </c>
      <c r="AG2" s="16">
        <v>1621</v>
      </c>
      <c r="AH2" s="16">
        <v>1667</v>
      </c>
      <c r="AI2" s="16">
        <v>1667</v>
      </c>
      <c r="AJ2" s="16">
        <v>74400</v>
      </c>
      <c r="AK2" s="16">
        <v>-50</v>
      </c>
      <c r="AL2" s="16">
        <f>AK2/AE2*100</f>
        <v>-2.9120559114735003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1667</v>
      </c>
      <c r="AP2" s="16">
        <v>1829</v>
      </c>
      <c r="AQ2" s="16">
        <v>1661</v>
      </c>
      <c r="AR2" s="16">
        <v>1821</v>
      </c>
      <c r="AS2" s="16">
        <v>1821</v>
      </c>
      <c r="AT2" s="16">
        <v>52600</v>
      </c>
      <c r="AU2" s="16">
        <v>154</v>
      </c>
      <c r="AV2" s="16">
        <f>AU2/AO2*100</f>
        <v>9.2381523695260945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1812</v>
      </c>
      <c r="AZ2" s="16">
        <v>2110</v>
      </c>
      <c r="BA2" s="16">
        <v>1812</v>
      </c>
      <c r="BB2" s="16">
        <v>1995</v>
      </c>
      <c r="BC2" s="16">
        <v>1995</v>
      </c>
      <c r="BD2" s="16">
        <v>94300</v>
      </c>
      <c r="BE2" s="16">
        <v>183</v>
      </c>
      <c r="BF2" s="16">
        <f>BE2/AY2*100</f>
        <v>10.099337748344372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1999</v>
      </c>
      <c r="BJ2" s="16">
        <v>2000</v>
      </c>
      <c r="BK2" s="16">
        <v>1900</v>
      </c>
      <c r="BL2" s="16">
        <v>1990</v>
      </c>
      <c r="BM2" s="16">
        <v>1990</v>
      </c>
      <c r="BN2" s="16">
        <v>60700</v>
      </c>
      <c r="BO2" s="16">
        <v>-9</v>
      </c>
      <c r="BP2" s="16">
        <f>BO2/BI2*100</f>
        <v>-0.45022511255627812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1988</v>
      </c>
      <c r="BT2" s="16">
        <v>1999</v>
      </c>
      <c r="BU2" s="16">
        <v>1751</v>
      </c>
      <c r="BV2" s="16">
        <v>1764</v>
      </c>
      <c r="BW2" s="16">
        <v>1764</v>
      </c>
      <c r="BX2" s="16">
        <v>98300</v>
      </c>
      <c r="BY2" s="16">
        <v>-224</v>
      </c>
      <c r="BZ2" s="16">
        <f>BY2/BS2*100</f>
        <v>-11.267605633802818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1799</v>
      </c>
      <c r="CD2" s="16">
        <v>1822</v>
      </c>
      <c r="CE2" s="16">
        <v>1653</v>
      </c>
      <c r="CF2" s="16">
        <v>1691</v>
      </c>
      <c r="CG2" s="16">
        <v>1691</v>
      </c>
      <c r="CH2" s="16">
        <v>49600</v>
      </c>
      <c r="CI2" s="16">
        <v>-108</v>
      </c>
      <c r="CJ2" s="16">
        <f>CI2/CC2*100</f>
        <v>-6.0033351862145636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1692</v>
      </c>
      <c r="CN2" s="16">
        <v>1738</v>
      </c>
      <c r="CO2" s="16">
        <v>1600</v>
      </c>
      <c r="CP2" s="16">
        <v>1635</v>
      </c>
      <c r="CQ2" s="16">
        <v>1635</v>
      </c>
      <c r="CR2" s="16">
        <v>45100</v>
      </c>
      <c r="CS2" s="16">
        <v>-57</v>
      </c>
      <c r="CT2" s="16">
        <f>CS2/CM2*100</f>
        <v>-3.3687943262411348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1684</v>
      </c>
      <c r="CX2" s="16">
        <v>1684</v>
      </c>
      <c r="CY2" s="16">
        <v>1240</v>
      </c>
      <c r="CZ2" s="16">
        <v>1267</v>
      </c>
      <c r="DA2" s="16">
        <v>1267</v>
      </c>
      <c r="DB2" s="16">
        <v>78800</v>
      </c>
      <c r="DC2" s="16">
        <v>-417</v>
      </c>
      <c r="DD2" s="16">
        <f>DC2/CW2*100</f>
        <v>-24.762470308788597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1273</v>
      </c>
      <c r="DH2" s="16">
        <v>1273</v>
      </c>
      <c r="DI2" s="16">
        <v>1163</v>
      </c>
      <c r="DJ2" s="16">
        <v>1240</v>
      </c>
      <c r="DK2" s="16">
        <v>1240</v>
      </c>
      <c r="DL2" s="16">
        <v>87800</v>
      </c>
      <c r="DM2" s="16">
        <v>-33</v>
      </c>
      <c r="DN2" s="16">
        <f>DM2/DG2*100</f>
        <v>-2.5923016496465041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1259</v>
      </c>
      <c r="DR2" s="16">
        <v>1262</v>
      </c>
      <c r="DS2" s="16">
        <v>959</v>
      </c>
      <c r="DT2" s="16">
        <v>1084</v>
      </c>
      <c r="DU2" s="16">
        <v>1084</v>
      </c>
      <c r="DV2" s="16">
        <v>100800</v>
      </c>
      <c r="DW2" s="16">
        <v>-175</v>
      </c>
      <c r="DX2" s="16">
        <f>DW2/DQ2*100</f>
        <v>-13.899920571882445</v>
      </c>
      <c r="DY2" s="16">
        <f>COUNT(DW2:DW6)</f>
        <v>5</v>
      </c>
    </row>
    <row r="3" spans="1:129">
      <c r="A3" s="17">
        <v>43132</v>
      </c>
      <c r="B3" s="16">
        <v>1580</v>
      </c>
      <c r="C3" s="16">
        <v>1717</v>
      </c>
      <c r="D3" s="16">
        <v>1445</v>
      </c>
      <c r="E3" s="16">
        <v>1692</v>
      </c>
      <c r="F3" s="16">
        <v>1692</v>
      </c>
      <c r="G3" s="16">
        <v>98900</v>
      </c>
      <c r="H3" s="16">
        <f t="shared" si="0"/>
        <v>112</v>
      </c>
      <c r="J3" s="18">
        <v>43469</v>
      </c>
      <c r="K3" s="16">
        <v>1080</v>
      </c>
      <c r="L3" s="16">
        <v>1199</v>
      </c>
      <c r="M3" s="16">
        <v>1020</v>
      </c>
      <c r="N3" s="16">
        <v>1073</v>
      </c>
      <c r="O3" s="16">
        <v>1073</v>
      </c>
      <c r="P3" s="16">
        <v>77800</v>
      </c>
      <c r="Q3" s="16">
        <v>-7</v>
      </c>
      <c r="R3" s="16">
        <f>Q3/K3*100</f>
        <v>-0.64814814814814814</v>
      </c>
      <c r="S3" s="16">
        <f>COUNTIF(Q2:Q6,"&gt;0")</f>
        <v>0</v>
      </c>
      <c r="T3" s="18">
        <v>43497</v>
      </c>
      <c r="U3" s="16">
        <v>1056</v>
      </c>
      <c r="V3" s="16">
        <v>1125</v>
      </c>
      <c r="W3" s="16">
        <v>1030</v>
      </c>
      <c r="X3" s="16">
        <v>1124</v>
      </c>
      <c r="Y3" s="16">
        <v>1124</v>
      </c>
      <c r="Z3" s="16">
        <v>28900</v>
      </c>
      <c r="AA3" s="16">
        <v>68</v>
      </c>
      <c r="AB3" s="16">
        <f>AA3/U3*100</f>
        <v>6.4393939393939394</v>
      </c>
      <c r="AC3" s="16">
        <f>COUNTIF(AA2:AA6,"&gt;0")</f>
        <v>4</v>
      </c>
      <c r="AD3" s="18">
        <v>43525</v>
      </c>
      <c r="AE3" s="16">
        <v>1124</v>
      </c>
      <c r="AF3" s="16">
        <v>1194</v>
      </c>
      <c r="AG3" s="16">
        <v>1066</v>
      </c>
      <c r="AH3" s="16">
        <v>1178</v>
      </c>
      <c r="AI3" s="16">
        <v>1178</v>
      </c>
      <c r="AJ3" s="16">
        <v>43300</v>
      </c>
      <c r="AK3" s="16">
        <v>54</v>
      </c>
      <c r="AL3" s="16">
        <f>AK3/AE3*100</f>
        <v>4.8042704626334514</v>
      </c>
      <c r="AM3" s="16">
        <f>COUNTIF(AK2:AK6,"&gt;0")</f>
        <v>1</v>
      </c>
      <c r="AN3" s="18">
        <v>43556</v>
      </c>
      <c r="AO3" s="16">
        <v>1191</v>
      </c>
      <c r="AP3" s="16">
        <v>1327</v>
      </c>
      <c r="AQ3" s="16">
        <v>1167</v>
      </c>
      <c r="AR3" s="16">
        <v>1231</v>
      </c>
      <c r="AS3" s="16">
        <v>1231</v>
      </c>
      <c r="AT3" s="16">
        <v>48400</v>
      </c>
      <c r="AU3" s="16">
        <v>40</v>
      </c>
      <c r="AV3" s="16">
        <f>AU3/AO3*100</f>
        <v>3.3585222502099077</v>
      </c>
      <c r="AW3" s="16">
        <f>COUNTIF(AU2:AU6,"&gt;0")</f>
        <v>4</v>
      </c>
      <c r="AX3" s="18">
        <v>43592</v>
      </c>
      <c r="AY3" s="16">
        <v>1257</v>
      </c>
      <c r="AZ3" s="16">
        <v>1309</v>
      </c>
      <c r="BA3" s="16">
        <v>1211</v>
      </c>
      <c r="BB3" s="16">
        <v>1250</v>
      </c>
      <c r="BC3" s="16">
        <v>1250</v>
      </c>
      <c r="BD3" s="16">
        <v>50400</v>
      </c>
      <c r="BE3" s="16">
        <v>-7</v>
      </c>
      <c r="BF3" s="16">
        <f>BE3/AY3*100</f>
        <v>-0.55688146380270487</v>
      </c>
      <c r="BG3" s="16">
        <f>COUNTIF(BE2:BE6,"&gt;0")</f>
        <v>3</v>
      </c>
      <c r="BH3" s="18">
        <v>43619</v>
      </c>
      <c r="BI3" s="16">
        <v>1250</v>
      </c>
      <c r="BJ3" s="16">
        <v>1288</v>
      </c>
      <c r="BK3" s="16">
        <v>1232</v>
      </c>
      <c r="BL3" s="16">
        <v>1260</v>
      </c>
      <c r="BM3" s="16">
        <v>1260</v>
      </c>
      <c r="BN3" s="16">
        <v>26300</v>
      </c>
      <c r="BO3" s="16">
        <v>10</v>
      </c>
      <c r="BP3" s="16">
        <f>BO3/BI3*100</f>
        <v>0.8</v>
      </c>
      <c r="BQ3" s="16">
        <f>COUNTIF(BO2:BO6,"&gt;0")</f>
        <v>3</v>
      </c>
      <c r="BR3" s="18">
        <v>43647</v>
      </c>
      <c r="BS3" s="16">
        <v>1261</v>
      </c>
      <c r="BT3" s="16">
        <v>1300</v>
      </c>
      <c r="BU3" s="16">
        <v>1131</v>
      </c>
      <c r="BV3" s="16">
        <v>1132</v>
      </c>
      <c r="BW3" s="16">
        <v>1132</v>
      </c>
      <c r="BX3" s="16">
        <v>71600</v>
      </c>
      <c r="BY3" s="16">
        <v>-129</v>
      </c>
      <c r="BZ3" s="16">
        <f>BY3/BS3*100</f>
        <v>-10.229976209357652</v>
      </c>
      <c r="CA3" s="16">
        <f>COUNTIF(BY2:BY6,"&gt;0")</f>
        <v>0</v>
      </c>
      <c r="CB3" s="18">
        <v>43678</v>
      </c>
      <c r="CC3" s="16">
        <v>1133</v>
      </c>
      <c r="CD3" s="16">
        <v>1170</v>
      </c>
      <c r="CE3" s="16">
        <v>1050</v>
      </c>
      <c r="CF3" s="16">
        <v>1106</v>
      </c>
      <c r="CG3" s="16">
        <v>1106</v>
      </c>
      <c r="CH3" s="16">
        <v>30000</v>
      </c>
      <c r="CI3" s="16">
        <v>-27</v>
      </c>
      <c r="CJ3" s="16">
        <f>CI3/CC3*100</f>
        <v>-2.3830538393645191</v>
      </c>
      <c r="CK3" s="16">
        <f>COUNTIF(CI2:CI6,"&gt;0")</f>
        <v>1</v>
      </c>
      <c r="CL3" s="18">
        <v>43710</v>
      </c>
      <c r="CM3" s="16">
        <v>1100</v>
      </c>
      <c r="CN3" s="16">
        <v>1129</v>
      </c>
      <c r="CO3" s="16">
        <v>1062</v>
      </c>
      <c r="CP3" s="16">
        <v>1129</v>
      </c>
      <c r="CQ3" s="16">
        <v>1129</v>
      </c>
      <c r="CR3" s="16">
        <v>28700</v>
      </c>
      <c r="CS3" s="16">
        <v>29</v>
      </c>
      <c r="CT3" s="16">
        <f>CS3/CM3*100</f>
        <v>2.6363636363636362</v>
      </c>
      <c r="CU3" s="16">
        <f>COUNTIF(CS2:CS6,"&gt;0")</f>
        <v>3</v>
      </c>
      <c r="CV3" s="18">
        <v>43739</v>
      </c>
      <c r="CW3" s="16">
        <v>1133</v>
      </c>
      <c r="CX3" s="16">
        <v>1168</v>
      </c>
      <c r="CY3" s="16">
        <v>1126</v>
      </c>
      <c r="CZ3" s="16">
        <v>1137</v>
      </c>
      <c r="DA3" s="16">
        <v>1137</v>
      </c>
      <c r="DB3" s="16">
        <v>38400</v>
      </c>
      <c r="DC3" s="16">
        <v>4</v>
      </c>
      <c r="DD3" s="16">
        <f>DC3/CW3*100</f>
        <v>0.35304501323918802</v>
      </c>
      <c r="DE3" s="16">
        <f>COUNTIF(DC2:DC6,"&gt;0")</f>
        <v>4</v>
      </c>
      <c r="DF3" s="18">
        <v>43770</v>
      </c>
      <c r="DG3" s="16">
        <v>1135</v>
      </c>
      <c r="DH3" s="16">
        <v>1208</v>
      </c>
      <c r="DI3" s="16">
        <v>1128</v>
      </c>
      <c r="DJ3" s="16">
        <v>1208</v>
      </c>
      <c r="DK3" s="16">
        <v>1208</v>
      </c>
      <c r="DL3" s="16">
        <v>32100</v>
      </c>
      <c r="DM3" s="16">
        <v>73</v>
      </c>
      <c r="DN3" s="16">
        <f>DM3/DG3*100</f>
        <v>6.4317180616740091</v>
      </c>
      <c r="DO3" s="16">
        <f>COUNTIF(DM2:DM6,"&gt;0")</f>
        <v>3</v>
      </c>
      <c r="DP3" s="18">
        <v>43801</v>
      </c>
      <c r="DQ3" s="16">
        <v>1205</v>
      </c>
      <c r="DR3" s="16">
        <v>1380</v>
      </c>
      <c r="DS3" s="16">
        <v>1183</v>
      </c>
      <c r="DT3" s="16">
        <v>1311</v>
      </c>
      <c r="DU3" s="16">
        <v>1311</v>
      </c>
      <c r="DV3" s="16">
        <v>76000</v>
      </c>
      <c r="DW3" s="16">
        <v>106</v>
      </c>
      <c r="DX3" s="16">
        <f>DW3/DQ3*100</f>
        <v>8.7966804979253119</v>
      </c>
      <c r="DY3" s="16">
        <f>COUNTIF(DW2:DW6,"&gt;0")</f>
        <v>1</v>
      </c>
    </row>
    <row r="4" spans="1:129">
      <c r="A4" s="17">
        <v>43160</v>
      </c>
      <c r="B4" s="16">
        <v>1717</v>
      </c>
      <c r="C4" s="16">
        <v>1720</v>
      </c>
      <c r="D4" s="16">
        <v>1621</v>
      </c>
      <c r="E4" s="16">
        <v>1667</v>
      </c>
      <c r="F4" s="16">
        <v>1667</v>
      </c>
      <c r="G4" s="16">
        <v>74400</v>
      </c>
      <c r="H4" s="16">
        <f t="shared" si="0"/>
        <v>-50</v>
      </c>
      <c r="J4" s="18">
        <v>43836</v>
      </c>
      <c r="K4" s="16">
        <v>1311</v>
      </c>
      <c r="L4" s="16">
        <v>1400</v>
      </c>
      <c r="M4" s="16">
        <v>1208</v>
      </c>
      <c r="N4" s="16">
        <v>1288</v>
      </c>
      <c r="O4" s="16">
        <v>1288</v>
      </c>
      <c r="P4" s="16">
        <v>73600</v>
      </c>
      <c r="Q4" s="16">
        <v>-23</v>
      </c>
      <c r="R4" s="16">
        <f>Q4/K4*100</f>
        <v>-1.7543859649122806</v>
      </c>
      <c r="S4" s="19">
        <f>S3/S2*100</f>
        <v>0</v>
      </c>
      <c r="T4" s="18">
        <v>43864</v>
      </c>
      <c r="U4" s="16">
        <v>1228</v>
      </c>
      <c r="V4" s="16">
        <v>1348</v>
      </c>
      <c r="W4" s="16">
        <v>1076</v>
      </c>
      <c r="X4" s="16">
        <v>1082</v>
      </c>
      <c r="Y4" s="16">
        <v>1082</v>
      </c>
      <c r="Z4" s="16">
        <v>39600</v>
      </c>
      <c r="AA4" s="16">
        <v>-146</v>
      </c>
      <c r="AB4" s="16">
        <f>AA4/U4*100</f>
        <v>-11.889250814332247</v>
      </c>
      <c r="AC4" s="19">
        <f>AC3/AC2*100</f>
        <v>80</v>
      </c>
      <c r="AD4" s="18">
        <v>43892</v>
      </c>
      <c r="AE4" s="16">
        <v>1075</v>
      </c>
      <c r="AF4" s="16">
        <v>1178</v>
      </c>
      <c r="AG4" s="16">
        <v>858</v>
      </c>
      <c r="AH4" s="16">
        <v>907</v>
      </c>
      <c r="AI4" s="16">
        <v>907</v>
      </c>
      <c r="AJ4" s="16">
        <v>92600</v>
      </c>
      <c r="AK4" s="16">
        <v>-168</v>
      </c>
      <c r="AL4" s="16">
        <f>AK4/AE4*100</f>
        <v>-15.627906976744185</v>
      </c>
      <c r="AM4" s="19">
        <f>AM3/AM2*100</f>
        <v>20</v>
      </c>
      <c r="AN4" s="18">
        <v>43922</v>
      </c>
      <c r="AO4" s="16">
        <v>895</v>
      </c>
      <c r="AP4" s="16">
        <v>1089</v>
      </c>
      <c r="AQ4" s="16">
        <v>825</v>
      </c>
      <c r="AR4" s="16">
        <v>1085</v>
      </c>
      <c r="AS4" s="16">
        <v>1085</v>
      </c>
      <c r="AT4" s="16">
        <v>41800</v>
      </c>
      <c r="AU4" s="16">
        <v>190</v>
      </c>
      <c r="AV4" s="16">
        <f>AU4/AO4*100</f>
        <v>21.229050279329609</v>
      </c>
      <c r="AW4" s="19">
        <f>AW3/AW2*100</f>
        <v>80</v>
      </c>
      <c r="AX4" s="18">
        <v>43952</v>
      </c>
      <c r="AY4" s="16">
        <v>1115</v>
      </c>
      <c r="AZ4" s="16">
        <v>1380</v>
      </c>
      <c r="BA4" s="16">
        <v>1081</v>
      </c>
      <c r="BB4" s="16">
        <v>1350</v>
      </c>
      <c r="BC4" s="16">
        <v>1350</v>
      </c>
      <c r="BD4" s="16">
        <v>60500</v>
      </c>
      <c r="BE4" s="16">
        <v>235</v>
      </c>
      <c r="BF4" s="16">
        <f>BE4/AY4*100</f>
        <v>21.076233183856502</v>
      </c>
      <c r="BG4" s="19">
        <f>BG3/BG2*100</f>
        <v>60</v>
      </c>
      <c r="BH4" s="18">
        <v>43983</v>
      </c>
      <c r="BI4" s="16">
        <v>1378</v>
      </c>
      <c r="BJ4" s="16">
        <v>1515</v>
      </c>
      <c r="BK4" s="16">
        <v>1200</v>
      </c>
      <c r="BL4" s="16">
        <v>1380</v>
      </c>
      <c r="BM4" s="16">
        <v>1380</v>
      </c>
      <c r="BN4" s="16">
        <v>151600</v>
      </c>
      <c r="BO4" s="16">
        <v>2</v>
      </c>
      <c r="BP4" s="16">
        <f>BO4/BI4*100</f>
        <v>0.14513788098693758</v>
      </c>
      <c r="BQ4" s="19">
        <f>BQ3/BQ2*100</f>
        <v>60</v>
      </c>
      <c r="BR4" s="18">
        <v>44013</v>
      </c>
      <c r="BS4" s="16">
        <v>1375</v>
      </c>
      <c r="BT4" s="16">
        <v>1375</v>
      </c>
      <c r="BU4" s="16">
        <v>1152</v>
      </c>
      <c r="BV4" s="16">
        <v>1200</v>
      </c>
      <c r="BW4" s="16">
        <v>1200</v>
      </c>
      <c r="BX4" s="16">
        <v>89100</v>
      </c>
      <c r="BY4" s="16">
        <v>-175</v>
      </c>
      <c r="BZ4" s="16">
        <f>BY4/BS4*100</f>
        <v>-12.727272727272727</v>
      </c>
      <c r="CA4" s="19">
        <f>CA3/CA2*100</f>
        <v>0</v>
      </c>
      <c r="CB4" s="18">
        <v>44046</v>
      </c>
      <c r="CC4" s="16">
        <v>1170</v>
      </c>
      <c r="CD4" s="16">
        <v>1319</v>
      </c>
      <c r="CE4" s="16">
        <v>1150</v>
      </c>
      <c r="CF4" s="16">
        <v>1235</v>
      </c>
      <c r="CG4" s="16">
        <v>1235</v>
      </c>
      <c r="CH4" s="16">
        <v>46700</v>
      </c>
      <c r="CI4" s="16">
        <v>65</v>
      </c>
      <c r="CJ4" s="16">
        <f>CI4/CC4*100</f>
        <v>5.5555555555555554</v>
      </c>
      <c r="CK4" s="19">
        <f>CK3/CK2*100</f>
        <v>20</v>
      </c>
      <c r="CL4" s="18">
        <v>44075</v>
      </c>
      <c r="CM4" s="16">
        <v>1230</v>
      </c>
      <c r="CN4" s="16">
        <v>1340</v>
      </c>
      <c r="CO4" s="16">
        <v>1200</v>
      </c>
      <c r="CP4" s="16">
        <v>1225</v>
      </c>
      <c r="CQ4" s="16">
        <v>1225</v>
      </c>
      <c r="CR4" s="16">
        <v>71200</v>
      </c>
      <c r="CS4" s="16">
        <v>-5</v>
      </c>
      <c r="CT4" s="16">
        <f>CS4/CM4*100</f>
        <v>-0.40650406504065045</v>
      </c>
      <c r="CU4" s="19">
        <f>CU3/CU2*100</f>
        <v>60</v>
      </c>
      <c r="CV4" s="18">
        <v>44106</v>
      </c>
      <c r="CW4" s="16">
        <v>1236</v>
      </c>
      <c r="CX4" s="16">
        <v>1267</v>
      </c>
      <c r="CY4" s="16">
        <v>1206</v>
      </c>
      <c r="CZ4" s="16">
        <v>1245</v>
      </c>
      <c r="DA4" s="16">
        <v>1245</v>
      </c>
      <c r="DB4" s="16">
        <v>22500</v>
      </c>
      <c r="DC4" s="16">
        <v>9</v>
      </c>
      <c r="DD4" s="16">
        <f>DC4/CW4*100</f>
        <v>0.72815533980582525</v>
      </c>
      <c r="DE4" s="19">
        <f>DE3/DE2*100</f>
        <v>80</v>
      </c>
      <c r="DF4" s="18">
        <v>44137</v>
      </c>
      <c r="DG4" s="16">
        <v>1240</v>
      </c>
      <c r="DH4" s="16">
        <v>1330</v>
      </c>
      <c r="DI4" s="16">
        <v>1230</v>
      </c>
      <c r="DJ4" s="16">
        <v>1323</v>
      </c>
      <c r="DK4" s="16">
        <v>1323</v>
      </c>
      <c r="DL4" s="16">
        <v>26600</v>
      </c>
      <c r="DM4" s="16">
        <v>83</v>
      </c>
      <c r="DN4" s="16">
        <f>DM4/DG4*100</f>
        <v>6.6935483870967749</v>
      </c>
      <c r="DO4" s="19">
        <f>DO3/DO2*100</f>
        <v>60</v>
      </c>
      <c r="DP4" s="18">
        <v>44166</v>
      </c>
      <c r="DQ4" s="16">
        <v>1330</v>
      </c>
      <c r="DR4" s="16">
        <v>1343</v>
      </c>
      <c r="DS4" s="16">
        <v>1200</v>
      </c>
      <c r="DT4" s="16">
        <v>1228</v>
      </c>
      <c r="DU4" s="16">
        <v>1228</v>
      </c>
      <c r="DV4" s="16">
        <v>63900</v>
      </c>
      <c r="DW4" s="16">
        <v>-102</v>
      </c>
      <c r="DX4" s="16">
        <f>DW4/DQ4*100</f>
        <v>-7.6691729323308273</v>
      </c>
      <c r="DY4" s="19">
        <f>DY3/DY2*100</f>
        <v>20</v>
      </c>
    </row>
    <row r="5" spans="1:129">
      <c r="A5" s="17">
        <v>43192</v>
      </c>
      <c r="B5" s="16">
        <v>1667</v>
      </c>
      <c r="C5" s="16">
        <v>1829</v>
      </c>
      <c r="D5" s="16">
        <v>1661</v>
      </c>
      <c r="E5" s="16">
        <v>1821</v>
      </c>
      <c r="F5" s="16">
        <v>1821</v>
      </c>
      <c r="G5" s="16">
        <v>52600</v>
      </c>
      <c r="H5" s="16">
        <f t="shared" si="0"/>
        <v>154</v>
      </c>
      <c r="J5" s="18">
        <v>44200</v>
      </c>
      <c r="K5" s="16">
        <v>1233</v>
      </c>
      <c r="L5" s="16">
        <v>1277</v>
      </c>
      <c r="M5" s="16">
        <v>1154</v>
      </c>
      <c r="N5" s="16">
        <v>1204</v>
      </c>
      <c r="O5" s="16">
        <v>1204</v>
      </c>
      <c r="P5" s="16">
        <v>57000</v>
      </c>
      <c r="Q5" s="16">
        <v>-29</v>
      </c>
      <c r="R5" s="16">
        <f>Q5/K5*100</f>
        <v>-2.3519870235198703</v>
      </c>
      <c r="S5" s="16">
        <f>AVERAGE(R2:R6)</f>
        <v>-4.0069105114686465</v>
      </c>
      <c r="T5" s="18">
        <v>44228</v>
      </c>
      <c r="U5" s="16">
        <v>1188</v>
      </c>
      <c r="V5" s="16">
        <v>1394</v>
      </c>
      <c r="W5" s="16">
        <v>1177</v>
      </c>
      <c r="X5" s="16">
        <v>1357</v>
      </c>
      <c r="Y5" s="16">
        <v>1357</v>
      </c>
      <c r="Z5" s="16">
        <v>78500</v>
      </c>
      <c r="AA5" s="16">
        <v>169</v>
      </c>
      <c r="AB5" s="16">
        <f>AA5/U5*100</f>
        <v>14.225589225589225</v>
      </c>
      <c r="AC5" s="16">
        <f>AVERAGE(AB2:AB6)</f>
        <v>4.0793289341512766</v>
      </c>
      <c r="AD5" s="18">
        <v>44256</v>
      </c>
      <c r="AE5" s="16">
        <v>1361</v>
      </c>
      <c r="AF5" s="16">
        <v>1389</v>
      </c>
      <c r="AG5" s="16">
        <v>1260</v>
      </c>
      <c r="AH5" s="16">
        <v>1260</v>
      </c>
      <c r="AI5" s="16">
        <v>1260</v>
      </c>
      <c r="AJ5" s="16">
        <v>101600</v>
      </c>
      <c r="AK5" s="16">
        <v>-101</v>
      </c>
      <c r="AL5" s="16">
        <f>AK5/AE5*100</f>
        <v>-7.4210139603232914</v>
      </c>
      <c r="AM5" s="16">
        <f>AVERAGE(AL2:AL6)</f>
        <v>-4.3230003055958042</v>
      </c>
      <c r="AN5" s="18">
        <v>44287</v>
      </c>
      <c r="AO5" s="16">
        <v>1265</v>
      </c>
      <c r="AP5" s="16">
        <v>1333</v>
      </c>
      <c r="AQ5" s="16">
        <v>1261</v>
      </c>
      <c r="AR5" s="16">
        <v>1280</v>
      </c>
      <c r="AS5" s="16">
        <v>1280</v>
      </c>
      <c r="AT5" s="16">
        <v>31100</v>
      </c>
      <c r="AU5" s="16">
        <v>15</v>
      </c>
      <c r="AV5" s="16">
        <f>AU5/AO5*100</f>
        <v>1.1857707509881421</v>
      </c>
      <c r="AW5" s="16">
        <f>AVERAGE(AV2:AV6)</f>
        <v>6.7997208611341389</v>
      </c>
      <c r="AX5" s="18">
        <v>44322</v>
      </c>
      <c r="AY5" s="16">
        <v>1285</v>
      </c>
      <c r="AZ5" s="16">
        <v>1303</v>
      </c>
      <c r="BA5" s="16">
        <v>1252</v>
      </c>
      <c r="BB5" s="16">
        <v>1255</v>
      </c>
      <c r="BC5" s="16">
        <v>1255</v>
      </c>
      <c r="BD5" s="16">
        <v>38800</v>
      </c>
      <c r="BE5" s="16">
        <v>-30</v>
      </c>
      <c r="BF5" s="16">
        <f>BE5/AY5*100</f>
        <v>-2.3346303501945527</v>
      </c>
      <c r="BG5" s="16">
        <f>AVERAGE(BF2:BF6)</f>
        <v>6.1012562680851676</v>
      </c>
      <c r="BH5" s="18">
        <v>44348</v>
      </c>
      <c r="BI5" s="16">
        <v>1285</v>
      </c>
      <c r="BJ5" s="16">
        <v>1330</v>
      </c>
      <c r="BK5" s="16">
        <v>1254</v>
      </c>
      <c r="BL5" s="16">
        <v>1277</v>
      </c>
      <c r="BM5" s="16">
        <v>1277</v>
      </c>
      <c r="BN5" s="16">
        <v>49400</v>
      </c>
      <c r="BO5" s="16">
        <v>-8</v>
      </c>
      <c r="BP5" s="16">
        <f>BO5/BI5*100</f>
        <v>-0.62256809338521402</v>
      </c>
      <c r="BQ5" s="16">
        <f>AVERAGE(BP2:BP6)</f>
        <v>0.76726172780188184</v>
      </c>
      <c r="BR5" s="18">
        <v>44378</v>
      </c>
      <c r="BS5" s="16">
        <v>1269</v>
      </c>
      <c r="BT5" s="16">
        <v>1298</v>
      </c>
      <c r="BU5" s="16">
        <v>1150</v>
      </c>
      <c r="BV5" s="16">
        <v>1150</v>
      </c>
      <c r="BW5" s="16">
        <v>1150</v>
      </c>
      <c r="BX5" s="16">
        <v>75500</v>
      </c>
      <c r="BY5" s="16">
        <v>-119</v>
      </c>
      <c r="BZ5" s="16">
        <f>BY5/BS5*100</f>
        <v>-9.3774625689519304</v>
      </c>
      <c r="CA5" s="16">
        <f>AVERAGE(BZ2:BZ6)</f>
        <v>-9.8528676090616933</v>
      </c>
      <c r="CB5" s="18">
        <v>44410</v>
      </c>
      <c r="CC5" s="16">
        <v>1151</v>
      </c>
      <c r="CD5" s="16">
        <v>1200</v>
      </c>
      <c r="CE5" s="16">
        <v>1100</v>
      </c>
      <c r="CF5" s="16">
        <v>1151</v>
      </c>
      <c r="CG5" s="16">
        <v>1151</v>
      </c>
      <c r="CH5" s="16">
        <v>22100</v>
      </c>
      <c r="CI5" s="16">
        <v>0</v>
      </c>
      <c r="CJ5" s="16">
        <f>CI5/CC5*100</f>
        <v>0</v>
      </c>
      <c r="CK5" s="16">
        <f>AVERAGE(CJ2:CJ6)</f>
        <v>-1.3041740740785062</v>
      </c>
      <c r="CL5" s="18">
        <v>44440</v>
      </c>
      <c r="CM5" s="16">
        <v>1143</v>
      </c>
      <c r="CN5" s="16">
        <v>1188</v>
      </c>
      <c r="CO5" s="16">
        <v>1140</v>
      </c>
      <c r="CP5" s="16">
        <v>1177</v>
      </c>
      <c r="CQ5" s="16">
        <v>1177</v>
      </c>
      <c r="CR5" s="16">
        <v>24400</v>
      </c>
      <c r="CS5" s="16">
        <v>34</v>
      </c>
      <c r="CT5" s="16">
        <f>CS5/CM5*100</f>
        <v>2.9746281714785652</v>
      </c>
      <c r="CU5" s="16">
        <f>AVERAGE(CT2:CT6)</f>
        <v>0.38631413872914938</v>
      </c>
      <c r="CV5" s="18">
        <v>44470</v>
      </c>
      <c r="CW5" s="16">
        <v>1189</v>
      </c>
      <c r="CX5" s="16">
        <v>1208</v>
      </c>
      <c r="CY5" s="16">
        <v>1161</v>
      </c>
      <c r="CZ5" s="16">
        <v>1200</v>
      </c>
      <c r="DA5" s="16">
        <v>1200</v>
      </c>
      <c r="DB5" s="16">
        <v>18500</v>
      </c>
      <c r="DC5" s="16">
        <v>11</v>
      </c>
      <c r="DD5" s="16">
        <f>DC5/CW5*100</f>
        <v>0.92514718250630779</v>
      </c>
      <c r="DE5" s="16">
        <f>AVERAGE(DD2:DD6)</f>
        <v>-4.2832819709153984</v>
      </c>
      <c r="DF5" s="18">
        <v>44501</v>
      </c>
      <c r="DG5" s="16">
        <v>1209</v>
      </c>
      <c r="DH5" s="16">
        <v>1244</v>
      </c>
      <c r="DI5" s="16">
        <v>1163</v>
      </c>
      <c r="DJ5" s="16">
        <v>1170</v>
      </c>
      <c r="DK5" s="16">
        <v>1170</v>
      </c>
      <c r="DL5" s="16">
        <v>17800</v>
      </c>
      <c r="DM5" s="16">
        <v>-39</v>
      </c>
      <c r="DN5" s="16">
        <f>DM5/DG5*100</f>
        <v>-3.225806451612903</v>
      </c>
      <c r="DO5" s="16">
        <f>AVERAGE(DN2:DN6)</f>
        <v>1.5558603758289986</v>
      </c>
      <c r="DP5" s="18">
        <v>44531</v>
      </c>
      <c r="DQ5" s="16">
        <v>1195</v>
      </c>
      <c r="DR5" s="16">
        <v>1345</v>
      </c>
      <c r="DS5" s="16">
        <v>1133</v>
      </c>
      <c r="DT5" s="16">
        <v>1157</v>
      </c>
      <c r="DU5" s="16">
        <v>1157</v>
      </c>
      <c r="DV5" s="16">
        <v>82200</v>
      </c>
      <c r="DW5" s="16">
        <v>-38</v>
      </c>
      <c r="DX5" s="16">
        <f>DW5/DQ5*100</f>
        <v>-3.1799163179916317</v>
      </c>
      <c r="DY5" s="16">
        <f>AVERAGE(DX2:DX6)</f>
        <v>-3.3213069863512459</v>
      </c>
    </row>
    <row r="6" spans="1:129">
      <c r="A6" s="17">
        <v>43221</v>
      </c>
      <c r="B6" s="16">
        <v>1812</v>
      </c>
      <c r="C6" s="16">
        <v>2110</v>
      </c>
      <c r="D6" s="16">
        <v>1812</v>
      </c>
      <c r="E6" s="16">
        <v>1995</v>
      </c>
      <c r="F6" s="16">
        <v>1995</v>
      </c>
      <c r="G6" s="16">
        <v>94300</v>
      </c>
      <c r="H6" s="16">
        <f t="shared" si="0"/>
        <v>183</v>
      </c>
      <c r="J6" s="18">
        <v>44565</v>
      </c>
      <c r="K6" s="16">
        <v>1139</v>
      </c>
      <c r="L6" s="16">
        <v>1156</v>
      </c>
      <c r="M6" s="16">
        <v>1034</v>
      </c>
      <c r="N6" s="16">
        <v>1067</v>
      </c>
      <c r="O6" s="16">
        <v>1067</v>
      </c>
      <c r="P6" s="16">
        <v>42900</v>
      </c>
      <c r="Q6" s="16">
        <v>-72</v>
      </c>
      <c r="R6" s="16">
        <f>Q6/K6*100</f>
        <v>-6.3213345039508342</v>
      </c>
      <c r="S6" s="16">
        <f>MEDIAN(R2:R6)</f>
        <v>-2.3519870235198703</v>
      </c>
      <c r="T6" s="18">
        <v>44593</v>
      </c>
      <c r="U6" s="16">
        <v>1037</v>
      </c>
      <c r="V6" s="16">
        <v>1091</v>
      </c>
      <c r="W6" s="16">
        <v>1037</v>
      </c>
      <c r="X6" s="16">
        <v>1084</v>
      </c>
      <c r="Y6" s="16">
        <v>1084</v>
      </c>
      <c r="Z6" s="16">
        <v>25700</v>
      </c>
      <c r="AA6" s="16">
        <v>47</v>
      </c>
      <c r="AB6" s="16">
        <f>AA6/U6*100</f>
        <v>4.532304725168756</v>
      </c>
      <c r="AC6" s="16">
        <f>MEDIAN(AB2:AB6)</f>
        <v>6.4393939393939394</v>
      </c>
      <c r="AD6" s="18">
        <v>44621</v>
      </c>
      <c r="AE6" s="16">
        <v>1091</v>
      </c>
      <c r="AF6" s="16">
        <v>1129</v>
      </c>
      <c r="AG6" s="16">
        <v>1012</v>
      </c>
      <c r="AH6" s="16">
        <v>1086</v>
      </c>
      <c r="AI6" s="16">
        <v>1086</v>
      </c>
      <c r="AJ6" s="16">
        <v>65000</v>
      </c>
      <c r="AK6" s="16">
        <v>-5</v>
      </c>
      <c r="AL6" s="16">
        <f>AK6/AE6*100</f>
        <v>-0.45829514207149402</v>
      </c>
      <c r="AM6" s="16">
        <f>MEDIAN(AL2:AL6)</f>
        <v>-2.9120559114735003</v>
      </c>
      <c r="AN6" s="18">
        <v>44652</v>
      </c>
      <c r="AO6" s="16">
        <v>1086</v>
      </c>
      <c r="AP6" s="16">
        <v>1114</v>
      </c>
      <c r="AQ6" s="16">
        <v>1060</v>
      </c>
      <c r="AR6" s="16">
        <v>1075</v>
      </c>
      <c r="AS6" s="16">
        <v>1075</v>
      </c>
      <c r="AT6" s="16">
        <v>52700</v>
      </c>
      <c r="AU6" s="16">
        <v>-11</v>
      </c>
      <c r="AV6" s="16">
        <f>AU6/AO6*100</f>
        <v>-1.0128913443830572</v>
      </c>
      <c r="AW6" s="16">
        <f>MEDIAN(AV2:AV6)</f>
        <v>3.3585222502099077</v>
      </c>
      <c r="AX6" s="18">
        <v>44683</v>
      </c>
      <c r="AY6" s="16">
        <v>1080</v>
      </c>
      <c r="AZ6" s="16">
        <v>1147</v>
      </c>
      <c r="BA6" s="16">
        <v>1080</v>
      </c>
      <c r="BB6" s="16">
        <v>1104</v>
      </c>
      <c r="BC6" s="16">
        <v>1104</v>
      </c>
      <c r="BD6" s="16">
        <v>48800</v>
      </c>
      <c r="BE6" s="16">
        <v>24</v>
      </c>
      <c r="BF6" s="16">
        <f>BE6/AY6*100</f>
        <v>2.2222222222222223</v>
      </c>
      <c r="BG6" s="16">
        <f>MEDIAN(BF2:BF6)</f>
        <v>2.2222222222222223</v>
      </c>
      <c r="BH6" s="18">
        <v>44713</v>
      </c>
      <c r="BI6" s="16">
        <v>1110</v>
      </c>
      <c r="BJ6" s="16">
        <v>1173</v>
      </c>
      <c r="BK6" s="16">
        <v>1109</v>
      </c>
      <c r="BL6" s="16">
        <v>1154</v>
      </c>
      <c r="BM6" s="16">
        <v>1154</v>
      </c>
      <c r="BN6" s="16">
        <v>54600</v>
      </c>
      <c r="BO6" s="16">
        <v>44</v>
      </c>
      <c r="BP6" s="16">
        <f>BO6/BI6*100</f>
        <v>3.9639639639639639</v>
      </c>
      <c r="BQ6" s="16">
        <f>MEDIAN(BP2:BP6)</f>
        <v>0.14513788098693758</v>
      </c>
      <c r="BR6" s="18">
        <v>44743</v>
      </c>
      <c r="BS6" s="16">
        <v>1148</v>
      </c>
      <c r="BT6" s="16">
        <v>1173</v>
      </c>
      <c r="BU6" s="16">
        <v>1073</v>
      </c>
      <c r="BV6" s="16">
        <v>1083</v>
      </c>
      <c r="BW6" s="16">
        <v>1083</v>
      </c>
      <c r="BX6" s="16">
        <v>74000</v>
      </c>
      <c r="BY6" s="16">
        <v>-65</v>
      </c>
      <c r="BZ6" s="16">
        <f>BY6/BS6*100</f>
        <v>-5.6620209059233453</v>
      </c>
      <c r="CA6" s="16">
        <f>MEDIAN(BZ2:BZ6)</f>
        <v>-10.229976209357652</v>
      </c>
      <c r="CB6" s="18">
        <v>44774</v>
      </c>
      <c r="CC6" s="16">
        <v>1084</v>
      </c>
      <c r="CD6" s="16">
        <v>1087</v>
      </c>
      <c r="CE6" s="16">
        <v>1042</v>
      </c>
      <c r="CF6" s="16">
        <v>1044</v>
      </c>
      <c r="CG6" s="16">
        <v>1044</v>
      </c>
      <c r="CH6" s="16">
        <v>66500</v>
      </c>
      <c r="CI6" s="16">
        <v>-40</v>
      </c>
      <c r="CJ6" s="16">
        <f>CI6/CC6*100</f>
        <v>-3.6900369003690034</v>
      </c>
      <c r="CK6" s="16">
        <f>MEDIAN(CJ2:CJ6)</f>
        <v>-2.3830538393645191</v>
      </c>
      <c r="CL6" s="18">
        <v>44805</v>
      </c>
      <c r="CM6" s="16">
        <v>1043</v>
      </c>
      <c r="CN6" s="16">
        <v>1146</v>
      </c>
      <c r="CO6" s="16">
        <v>1035</v>
      </c>
      <c r="CP6" s="16">
        <v>1044</v>
      </c>
      <c r="CQ6" s="16">
        <v>1044</v>
      </c>
      <c r="CR6" s="16">
        <v>78000</v>
      </c>
      <c r="CS6" s="16">
        <v>1</v>
      </c>
      <c r="CT6" s="16">
        <f>CS6/CM6*100</f>
        <v>9.5877277085330767E-2</v>
      </c>
      <c r="CU6" s="16">
        <f>MEDIAN(CT2:CT6)</f>
        <v>9.5877277085330767E-2</v>
      </c>
      <c r="CV6" s="18">
        <v>44837</v>
      </c>
      <c r="CW6" s="16">
        <v>1045</v>
      </c>
      <c r="CX6" s="16">
        <v>1070</v>
      </c>
      <c r="CY6" s="16">
        <v>1019</v>
      </c>
      <c r="CZ6" s="16">
        <v>1059</v>
      </c>
      <c r="DA6" s="16">
        <v>1059</v>
      </c>
      <c r="DB6" s="16">
        <v>46800</v>
      </c>
      <c r="DC6" s="16">
        <v>14</v>
      </c>
      <c r="DD6" s="16">
        <f>DC6/CW6*100</f>
        <v>1.3397129186602872</v>
      </c>
      <c r="DE6" s="16">
        <f>MEDIAN(DD2:DD6)</f>
        <v>0.72815533980582525</v>
      </c>
      <c r="DF6" s="18">
        <v>44866</v>
      </c>
      <c r="DG6" s="16">
        <v>1059</v>
      </c>
      <c r="DH6" s="16">
        <v>1075</v>
      </c>
      <c r="DI6" s="16">
        <v>1045</v>
      </c>
      <c r="DJ6" s="16">
        <v>1064</v>
      </c>
      <c r="DK6" s="16">
        <v>1064</v>
      </c>
      <c r="DL6" s="16">
        <v>29100</v>
      </c>
      <c r="DM6" s="16">
        <v>5</v>
      </c>
      <c r="DN6" s="16">
        <f>DM6/DG6*100</f>
        <v>0.47214353163361661</v>
      </c>
      <c r="DO6" s="16">
        <f>MEDIAN(DN2:DN6)</f>
        <v>0.47214353163361661</v>
      </c>
      <c r="DP6" s="18">
        <v>44896</v>
      </c>
      <c r="DQ6" s="16">
        <v>1070</v>
      </c>
      <c r="DR6" s="16">
        <v>1090</v>
      </c>
      <c r="DS6" s="16">
        <v>1040</v>
      </c>
      <c r="DT6" s="16">
        <v>1063</v>
      </c>
      <c r="DU6" s="16">
        <v>1063</v>
      </c>
      <c r="DV6" s="16">
        <v>57600</v>
      </c>
      <c r="DW6" s="16">
        <v>-7</v>
      </c>
      <c r="DX6" s="16">
        <f>DW6/DQ6*100</f>
        <v>-0.65420560747663559</v>
      </c>
      <c r="DY6" s="16">
        <f>MEDIAN(DX2:DX6)</f>
        <v>-3.1799163179916317</v>
      </c>
    </row>
    <row r="7" spans="1:129">
      <c r="A7" s="17">
        <v>43252</v>
      </c>
      <c r="B7" s="16">
        <v>1999</v>
      </c>
      <c r="C7" s="16">
        <v>2000</v>
      </c>
      <c r="D7" s="16">
        <v>1900</v>
      </c>
      <c r="E7" s="16">
        <v>1990</v>
      </c>
      <c r="F7" s="16">
        <v>1990</v>
      </c>
      <c r="G7" s="16">
        <v>60700</v>
      </c>
      <c r="H7" s="16">
        <f t="shared" si="0"/>
        <v>-9</v>
      </c>
    </row>
    <row r="8" spans="1:129">
      <c r="A8" s="17">
        <v>43283</v>
      </c>
      <c r="B8" s="16">
        <v>1988</v>
      </c>
      <c r="C8" s="16">
        <v>1999</v>
      </c>
      <c r="D8" s="16">
        <v>1751</v>
      </c>
      <c r="E8" s="16">
        <v>1764</v>
      </c>
      <c r="F8" s="16">
        <v>1764</v>
      </c>
      <c r="G8" s="16">
        <v>98300</v>
      </c>
      <c r="H8" s="16">
        <f t="shared" si="0"/>
        <v>-224</v>
      </c>
    </row>
    <row r="9" spans="1:129">
      <c r="A9" s="17">
        <v>43313</v>
      </c>
      <c r="B9" s="16">
        <v>1799</v>
      </c>
      <c r="C9" s="16">
        <v>1822</v>
      </c>
      <c r="D9" s="16">
        <v>1653</v>
      </c>
      <c r="E9" s="16">
        <v>1691</v>
      </c>
      <c r="F9" s="16">
        <v>1691</v>
      </c>
      <c r="G9" s="16">
        <v>49600</v>
      </c>
      <c r="H9" s="16">
        <f t="shared" si="0"/>
        <v>-108</v>
      </c>
    </row>
    <row r="10" spans="1:129">
      <c r="A10" s="17">
        <v>43346</v>
      </c>
      <c r="B10" s="16">
        <v>1692</v>
      </c>
      <c r="C10" s="16">
        <v>1738</v>
      </c>
      <c r="D10" s="16">
        <v>1600</v>
      </c>
      <c r="E10" s="16">
        <v>1635</v>
      </c>
      <c r="F10" s="16">
        <v>1635</v>
      </c>
      <c r="G10" s="16">
        <v>45100</v>
      </c>
      <c r="H10" s="16">
        <f t="shared" si="0"/>
        <v>-57</v>
      </c>
    </row>
    <row r="11" spans="1:129">
      <c r="A11" s="17">
        <v>43374</v>
      </c>
      <c r="B11" s="16">
        <v>1684</v>
      </c>
      <c r="C11" s="16">
        <v>1684</v>
      </c>
      <c r="D11" s="16">
        <v>1240</v>
      </c>
      <c r="E11" s="16">
        <v>1267</v>
      </c>
      <c r="F11" s="16">
        <v>1267</v>
      </c>
      <c r="G11" s="16">
        <v>78800</v>
      </c>
      <c r="H11" s="16">
        <f t="shared" si="0"/>
        <v>-417</v>
      </c>
    </row>
    <row r="12" spans="1:129">
      <c r="A12" s="17">
        <v>43405</v>
      </c>
      <c r="B12" s="16">
        <v>1273</v>
      </c>
      <c r="C12" s="16">
        <v>1273</v>
      </c>
      <c r="D12" s="16">
        <v>1163</v>
      </c>
      <c r="E12" s="16">
        <v>1240</v>
      </c>
      <c r="F12" s="16">
        <v>1240</v>
      </c>
      <c r="G12" s="16">
        <v>87800</v>
      </c>
      <c r="H12" s="16">
        <f t="shared" si="0"/>
        <v>-33</v>
      </c>
    </row>
    <row r="13" spans="1:129">
      <c r="A13" s="17">
        <v>43437</v>
      </c>
      <c r="B13" s="16">
        <v>1259</v>
      </c>
      <c r="C13" s="16">
        <v>1262</v>
      </c>
      <c r="D13" s="16">
        <v>959</v>
      </c>
      <c r="E13" s="16">
        <v>1084</v>
      </c>
      <c r="F13" s="16">
        <v>1084</v>
      </c>
      <c r="G13" s="16">
        <v>100800</v>
      </c>
      <c r="H13" s="16">
        <f t="shared" si="0"/>
        <v>-175</v>
      </c>
    </row>
    <row r="14" spans="1:129">
      <c r="A14" s="17">
        <v>43469</v>
      </c>
      <c r="B14" s="16">
        <v>1080</v>
      </c>
      <c r="C14" s="16">
        <v>1199</v>
      </c>
      <c r="D14" s="16">
        <v>1020</v>
      </c>
      <c r="E14" s="16">
        <v>1073</v>
      </c>
      <c r="F14" s="16">
        <v>1073</v>
      </c>
      <c r="G14" s="16">
        <v>77800</v>
      </c>
      <c r="H14" s="16">
        <f t="shared" si="0"/>
        <v>-7</v>
      </c>
    </row>
    <row r="15" spans="1:129">
      <c r="A15" s="17">
        <v>43497</v>
      </c>
      <c r="B15" s="16">
        <v>1056</v>
      </c>
      <c r="C15" s="16">
        <v>1125</v>
      </c>
      <c r="D15" s="16">
        <v>1030</v>
      </c>
      <c r="E15" s="16">
        <v>1124</v>
      </c>
      <c r="F15" s="16">
        <v>1124</v>
      </c>
      <c r="G15" s="16">
        <v>28900</v>
      </c>
      <c r="H15" s="16">
        <f t="shared" si="0"/>
        <v>68</v>
      </c>
    </row>
    <row r="16" spans="1:129">
      <c r="A16" s="17">
        <v>43525</v>
      </c>
      <c r="B16" s="16">
        <v>1124</v>
      </c>
      <c r="C16" s="16">
        <v>1194</v>
      </c>
      <c r="D16" s="16">
        <v>1066</v>
      </c>
      <c r="E16" s="16">
        <v>1178</v>
      </c>
      <c r="F16" s="16">
        <v>1178</v>
      </c>
      <c r="G16" s="16">
        <v>43300</v>
      </c>
      <c r="H16" s="16">
        <f t="shared" si="0"/>
        <v>54</v>
      </c>
    </row>
    <row r="17" spans="1:8">
      <c r="A17" s="17">
        <v>43556</v>
      </c>
      <c r="B17" s="16">
        <v>1191</v>
      </c>
      <c r="C17" s="16">
        <v>1327</v>
      </c>
      <c r="D17" s="16">
        <v>1167</v>
      </c>
      <c r="E17" s="16">
        <v>1231</v>
      </c>
      <c r="F17" s="16">
        <v>1231</v>
      </c>
      <c r="G17" s="16">
        <v>48400</v>
      </c>
      <c r="H17" s="16">
        <f t="shared" si="0"/>
        <v>40</v>
      </c>
    </row>
    <row r="18" spans="1:8">
      <c r="A18" s="17">
        <v>43592</v>
      </c>
      <c r="B18" s="16">
        <v>1257</v>
      </c>
      <c r="C18" s="16">
        <v>1309</v>
      </c>
      <c r="D18" s="16">
        <v>1211</v>
      </c>
      <c r="E18" s="16">
        <v>1250</v>
      </c>
      <c r="F18" s="16">
        <v>1250</v>
      </c>
      <c r="G18" s="16">
        <v>50400</v>
      </c>
      <c r="H18" s="16">
        <f t="shared" si="0"/>
        <v>-7</v>
      </c>
    </row>
    <row r="19" spans="1:8">
      <c r="A19" s="17">
        <v>43619</v>
      </c>
      <c r="B19" s="16">
        <v>1250</v>
      </c>
      <c r="C19" s="16">
        <v>1288</v>
      </c>
      <c r="D19" s="16">
        <v>1232</v>
      </c>
      <c r="E19" s="16">
        <v>1260</v>
      </c>
      <c r="F19" s="16">
        <v>1260</v>
      </c>
      <c r="G19" s="16">
        <v>26300</v>
      </c>
      <c r="H19" s="16">
        <f t="shared" si="0"/>
        <v>10</v>
      </c>
    </row>
    <row r="20" spans="1:8">
      <c r="A20" s="17">
        <v>43647</v>
      </c>
      <c r="B20" s="16">
        <v>1261</v>
      </c>
      <c r="C20" s="16">
        <v>1300</v>
      </c>
      <c r="D20" s="16">
        <v>1131</v>
      </c>
      <c r="E20" s="16">
        <v>1132</v>
      </c>
      <c r="F20" s="16">
        <v>1132</v>
      </c>
      <c r="G20" s="16">
        <v>71600</v>
      </c>
      <c r="H20" s="16">
        <f t="shared" si="0"/>
        <v>-129</v>
      </c>
    </row>
    <row r="21" spans="1:8">
      <c r="A21" s="17">
        <v>43678</v>
      </c>
      <c r="B21" s="16">
        <v>1133</v>
      </c>
      <c r="C21" s="16">
        <v>1170</v>
      </c>
      <c r="D21" s="16">
        <v>1050</v>
      </c>
      <c r="E21" s="16">
        <v>1106</v>
      </c>
      <c r="F21" s="16">
        <v>1106</v>
      </c>
      <c r="G21" s="16">
        <v>30000</v>
      </c>
      <c r="H21" s="16">
        <f t="shared" si="0"/>
        <v>-27</v>
      </c>
    </row>
    <row r="22" spans="1:8">
      <c r="A22" s="17">
        <v>43710</v>
      </c>
      <c r="B22" s="16">
        <v>1100</v>
      </c>
      <c r="C22" s="16">
        <v>1129</v>
      </c>
      <c r="D22" s="16">
        <v>1062</v>
      </c>
      <c r="E22" s="16">
        <v>1129</v>
      </c>
      <c r="F22" s="16">
        <v>1129</v>
      </c>
      <c r="G22" s="16">
        <v>28700</v>
      </c>
      <c r="H22" s="16">
        <f t="shared" si="0"/>
        <v>29</v>
      </c>
    </row>
    <row r="23" spans="1:8">
      <c r="A23" s="17">
        <v>43739</v>
      </c>
      <c r="B23" s="16">
        <v>1133</v>
      </c>
      <c r="C23" s="16">
        <v>1168</v>
      </c>
      <c r="D23" s="16">
        <v>1126</v>
      </c>
      <c r="E23" s="16">
        <v>1137</v>
      </c>
      <c r="F23" s="16">
        <v>1137</v>
      </c>
      <c r="G23" s="16">
        <v>38400</v>
      </c>
      <c r="H23" s="16">
        <f t="shared" si="0"/>
        <v>4</v>
      </c>
    </row>
    <row r="24" spans="1:8">
      <c r="A24" s="17">
        <v>43770</v>
      </c>
      <c r="B24" s="16">
        <v>1135</v>
      </c>
      <c r="C24" s="16">
        <v>1208</v>
      </c>
      <c r="D24" s="16">
        <v>1128</v>
      </c>
      <c r="E24" s="16">
        <v>1208</v>
      </c>
      <c r="F24" s="16">
        <v>1208</v>
      </c>
      <c r="G24" s="16">
        <v>32100</v>
      </c>
      <c r="H24" s="16">
        <f t="shared" si="0"/>
        <v>73</v>
      </c>
    </row>
    <row r="25" spans="1:8">
      <c r="A25" s="17">
        <v>43801</v>
      </c>
      <c r="B25" s="16">
        <v>1205</v>
      </c>
      <c r="C25" s="16">
        <v>1380</v>
      </c>
      <c r="D25" s="16">
        <v>1183</v>
      </c>
      <c r="E25" s="16">
        <v>1311</v>
      </c>
      <c r="F25" s="16">
        <v>1311</v>
      </c>
      <c r="G25" s="16">
        <v>76000</v>
      </c>
      <c r="H25" s="16">
        <f t="shared" si="0"/>
        <v>106</v>
      </c>
    </row>
    <row r="26" spans="1:8">
      <c r="A26" s="17">
        <v>43836</v>
      </c>
      <c r="B26" s="16">
        <v>1311</v>
      </c>
      <c r="C26" s="16">
        <v>1400</v>
      </c>
      <c r="D26" s="16">
        <v>1208</v>
      </c>
      <c r="E26" s="16">
        <v>1288</v>
      </c>
      <c r="F26" s="16">
        <v>1288</v>
      </c>
      <c r="G26" s="16">
        <v>73600</v>
      </c>
      <c r="H26" s="16">
        <f t="shared" si="0"/>
        <v>-23</v>
      </c>
    </row>
    <row r="27" spans="1:8">
      <c r="A27" s="17">
        <v>43864</v>
      </c>
      <c r="B27" s="16">
        <v>1228</v>
      </c>
      <c r="C27" s="16">
        <v>1348</v>
      </c>
      <c r="D27" s="16">
        <v>1076</v>
      </c>
      <c r="E27" s="16">
        <v>1082</v>
      </c>
      <c r="F27" s="16">
        <v>1082</v>
      </c>
      <c r="G27" s="16">
        <v>39600</v>
      </c>
      <c r="H27" s="16">
        <f t="shared" si="0"/>
        <v>-146</v>
      </c>
    </row>
    <row r="28" spans="1:8">
      <c r="A28" s="17">
        <v>43892</v>
      </c>
      <c r="B28" s="16">
        <v>1075</v>
      </c>
      <c r="C28" s="16">
        <v>1178</v>
      </c>
      <c r="D28" s="16">
        <v>858</v>
      </c>
      <c r="E28" s="16">
        <v>907</v>
      </c>
      <c r="F28" s="16">
        <v>907</v>
      </c>
      <c r="G28" s="16">
        <v>92600</v>
      </c>
      <c r="H28" s="16">
        <f t="shared" si="0"/>
        <v>-168</v>
      </c>
    </row>
    <row r="29" spans="1:8">
      <c r="A29" s="17">
        <v>43922</v>
      </c>
      <c r="B29" s="16">
        <v>895</v>
      </c>
      <c r="C29" s="16">
        <v>1089</v>
      </c>
      <c r="D29" s="16">
        <v>825</v>
      </c>
      <c r="E29" s="16">
        <v>1085</v>
      </c>
      <c r="F29" s="16">
        <v>1085</v>
      </c>
      <c r="G29" s="16">
        <v>41800</v>
      </c>
      <c r="H29" s="16">
        <f t="shared" si="0"/>
        <v>190</v>
      </c>
    </row>
    <row r="30" spans="1:8">
      <c r="A30" s="17">
        <v>43952</v>
      </c>
      <c r="B30" s="16">
        <v>1115</v>
      </c>
      <c r="C30" s="16">
        <v>1380</v>
      </c>
      <c r="D30" s="16">
        <v>1081</v>
      </c>
      <c r="E30" s="16">
        <v>1350</v>
      </c>
      <c r="F30" s="16">
        <v>1350</v>
      </c>
      <c r="G30" s="16">
        <v>60500</v>
      </c>
      <c r="H30" s="16">
        <f t="shared" si="0"/>
        <v>235</v>
      </c>
    </row>
    <row r="31" spans="1:8">
      <c r="A31" s="17">
        <v>43983</v>
      </c>
      <c r="B31" s="16">
        <v>1378</v>
      </c>
      <c r="C31" s="16">
        <v>1515</v>
      </c>
      <c r="D31" s="16">
        <v>1200</v>
      </c>
      <c r="E31" s="16">
        <v>1380</v>
      </c>
      <c r="F31" s="16">
        <v>1380</v>
      </c>
      <c r="G31" s="16">
        <v>151600</v>
      </c>
      <c r="H31" s="16">
        <f t="shared" si="0"/>
        <v>2</v>
      </c>
    </row>
    <row r="32" spans="1:8">
      <c r="A32" s="17">
        <v>44013</v>
      </c>
      <c r="B32" s="16">
        <v>1375</v>
      </c>
      <c r="C32" s="16">
        <v>1375</v>
      </c>
      <c r="D32" s="16">
        <v>1152</v>
      </c>
      <c r="E32" s="16">
        <v>1200</v>
      </c>
      <c r="F32" s="16">
        <v>1200</v>
      </c>
      <c r="G32" s="16">
        <v>89100</v>
      </c>
      <c r="H32" s="16">
        <f t="shared" si="0"/>
        <v>-175</v>
      </c>
    </row>
    <row r="33" spans="1:8">
      <c r="A33" s="17">
        <v>44046</v>
      </c>
      <c r="B33" s="16">
        <v>1170</v>
      </c>
      <c r="C33" s="16">
        <v>1319</v>
      </c>
      <c r="D33" s="16">
        <v>1150</v>
      </c>
      <c r="E33" s="16">
        <v>1235</v>
      </c>
      <c r="F33" s="16">
        <v>1235</v>
      </c>
      <c r="G33" s="16">
        <v>46700</v>
      </c>
      <c r="H33" s="16">
        <f t="shared" si="0"/>
        <v>65</v>
      </c>
    </row>
    <row r="34" spans="1:8">
      <c r="A34" s="17">
        <v>44075</v>
      </c>
      <c r="B34" s="16">
        <v>1230</v>
      </c>
      <c r="C34" s="16">
        <v>1340</v>
      </c>
      <c r="D34" s="16">
        <v>1200</v>
      </c>
      <c r="E34" s="16">
        <v>1225</v>
      </c>
      <c r="F34" s="16">
        <v>1225</v>
      </c>
      <c r="G34" s="16">
        <v>71200</v>
      </c>
      <c r="H34" s="16">
        <f t="shared" ref="H34:H61" si="1">E34-B34</f>
        <v>-5</v>
      </c>
    </row>
    <row r="35" spans="1:8">
      <c r="A35" s="17">
        <v>44106</v>
      </c>
      <c r="B35" s="16">
        <v>1236</v>
      </c>
      <c r="C35" s="16">
        <v>1267</v>
      </c>
      <c r="D35" s="16">
        <v>1206</v>
      </c>
      <c r="E35" s="16">
        <v>1245</v>
      </c>
      <c r="F35" s="16">
        <v>1245</v>
      </c>
      <c r="G35" s="16">
        <v>22500</v>
      </c>
      <c r="H35" s="16">
        <f t="shared" si="1"/>
        <v>9</v>
      </c>
    </row>
    <row r="36" spans="1:8">
      <c r="A36" s="17">
        <v>44137</v>
      </c>
      <c r="B36" s="16">
        <v>1240</v>
      </c>
      <c r="C36" s="16">
        <v>1330</v>
      </c>
      <c r="D36" s="16">
        <v>1230</v>
      </c>
      <c r="E36" s="16">
        <v>1323</v>
      </c>
      <c r="F36" s="16">
        <v>1323</v>
      </c>
      <c r="G36" s="16">
        <v>26600</v>
      </c>
      <c r="H36" s="16">
        <f t="shared" si="1"/>
        <v>83</v>
      </c>
    </row>
    <row r="37" spans="1:8">
      <c r="A37" s="17">
        <v>44166</v>
      </c>
      <c r="B37" s="16">
        <v>1330</v>
      </c>
      <c r="C37" s="16">
        <v>1343</v>
      </c>
      <c r="D37" s="16">
        <v>1200</v>
      </c>
      <c r="E37" s="16">
        <v>1228</v>
      </c>
      <c r="F37" s="16">
        <v>1228</v>
      </c>
      <c r="G37" s="16">
        <v>63900</v>
      </c>
      <c r="H37" s="16">
        <f t="shared" si="1"/>
        <v>-102</v>
      </c>
    </row>
    <row r="38" spans="1:8">
      <c r="A38" s="17">
        <v>44200</v>
      </c>
      <c r="B38" s="16">
        <v>1233</v>
      </c>
      <c r="C38" s="16">
        <v>1277</v>
      </c>
      <c r="D38" s="16">
        <v>1154</v>
      </c>
      <c r="E38" s="16">
        <v>1204</v>
      </c>
      <c r="F38" s="16">
        <v>1204</v>
      </c>
      <c r="G38" s="16">
        <v>57000</v>
      </c>
      <c r="H38" s="16">
        <f t="shared" si="1"/>
        <v>-29</v>
      </c>
    </row>
    <row r="39" spans="1:8">
      <c r="A39" s="17">
        <v>44228</v>
      </c>
      <c r="B39" s="16">
        <v>1188</v>
      </c>
      <c r="C39" s="16">
        <v>1394</v>
      </c>
      <c r="D39" s="16">
        <v>1177</v>
      </c>
      <c r="E39" s="16">
        <v>1357</v>
      </c>
      <c r="F39" s="16">
        <v>1357</v>
      </c>
      <c r="G39" s="16">
        <v>78500</v>
      </c>
      <c r="H39" s="16">
        <f t="shared" si="1"/>
        <v>169</v>
      </c>
    </row>
    <row r="40" spans="1:8">
      <c r="A40" s="17">
        <v>44256</v>
      </c>
      <c r="B40" s="16">
        <v>1361</v>
      </c>
      <c r="C40" s="16">
        <v>1389</v>
      </c>
      <c r="D40" s="16">
        <v>1260</v>
      </c>
      <c r="E40" s="16">
        <v>1260</v>
      </c>
      <c r="F40" s="16">
        <v>1260</v>
      </c>
      <c r="G40" s="16">
        <v>101600</v>
      </c>
      <c r="H40" s="16">
        <f t="shared" si="1"/>
        <v>-101</v>
      </c>
    </row>
    <row r="41" spans="1:8">
      <c r="A41" s="17">
        <v>44287</v>
      </c>
      <c r="B41" s="16">
        <v>1265</v>
      </c>
      <c r="C41" s="16">
        <v>1333</v>
      </c>
      <c r="D41" s="16">
        <v>1261</v>
      </c>
      <c r="E41" s="16">
        <v>1280</v>
      </c>
      <c r="F41" s="16">
        <v>1280</v>
      </c>
      <c r="G41" s="16">
        <v>31100</v>
      </c>
      <c r="H41" s="16">
        <f t="shared" si="1"/>
        <v>15</v>
      </c>
    </row>
    <row r="42" spans="1:8">
      <c r="A42" s="17">
        <v>44322</v>
      </c>
      <c r="B42" s="16">
        <v>1285</v>
      </c>
      <c r="C42" s="16">
        <v>1303</v>
      </c>
      <c r="D42" s="16">
        <v>1252</v>
      </c>
      <c r="E42" s="16">
        <v>1255</v>
      </c>
      <c r="F42" s="16">
        <v>1255</v>
      </c>
      <c r="G42" s="16">
        <v>38800</v>
      </c>
      <c r="H42" s="16">
        <f t="shared" si="1"/>
        <v>-30</v>
      </c>
    </row>
    <row r="43" spans="1:8">
      <c r="A43" s="17">
        <v>44348</v>
      </c>
      <c r="B43" s="16">
        <v>1285</v>
      </c>
      <c r="C43" s="16">
        <v>1330</v>
      </c>
      <c r="D43" s="16">
        <v>1254</v>
      </c>
      <c r="E43" s="16">
        <v>1277</v>
      </c>
      <c r="F43" s="16">
        <v>1277</v>
      </c>
      <c r="G43" s="16">
        <v>49400</v>
      </c>
      <c r="H43" s="16">
        <f t="shared" si="1"/>
        <v>-8</v>
      </c>
    </row>
    <row r="44" spans="1:8">
      <c r="A44" s="17">
        <v>44378</v>
      </c>
      <c r="B44" s="16">
        <v>1269</v>
      </c>
      <c r="C44" s="16">
        <v>1298</v>
      </c>
      <c r="D44" s="16">
        <v>1150</v>
      </c>
      <c r="E44" s="16">
        <v>1150</v>
      </c>
      <c r="F44" s="16">
        <v>1150</v>
      </c>
      <c r="G44" s="16">
        <v>75500</v>
      </c>
      <c r="H44" s="16">
        <f t="shared" si="1"/>
        <v>-119</v>
      </c>
    </row>
    <row r="45" spans="1:8">
      <c r="A45" s="17">
        <v>44410</v>
      </c>
      <c r="B45" s="16">
        <v>1151</v>
      </c>
      <c r="C45" s="16">
        <v>1200</v>
      </c>
      <c r="D45" s="16">
        <v>1100</v>
      </c>
      <c r="E45" s="16">
        <v>1151</v>
      </c>
      <c r="F45" s="16">
        <v>1151</v>
      </c>
      <c r="G45" s="16">
        <v>22100</v>
      </c>
      <c r="H45" s="16">
        <f t="shared" si="1"/>
        <v>0</v>
      </c>
    </row>
    <row r="46" spans="1:8">
      <c r="A46" s="17">
        <v>44440</v>
      </c>
      <c r="B46" s="16">
        <v>1143</v>
      </c>
      <c r="C46" s="16">
        <v>1188</v>
      </c>
      <c r="D46" s="16">
        <v>1140</v>
      </c>
      <c r="E46" s="16">
        <v>1177</v>
      </c>
      <c r="F46" s="16">
        <v>1177</v>
      </c>
      <c r="G46" s="16">
        <v>24400</v>
      </c>
      <c r="H46" s="16">
        <f t="shared" si="1"/>
        <v>34</v>
      </c>
    </row>
    <row r="47" spans="1:8">
      <c r="A47" s="17">
        <v>44470</v>
      </c>
      <c r="B47" s="16">
        <v>1189</v>
      </c>
      <c r="C47" s="16">
        <v>1208</v>
      </c>
      <c r="D47" s="16">
        <v>1161</v>
      </c>
      <c r="E47" s="16">
        <v>1200</v>
      </c>
      <c r="F47" s="16">
        <v>1200</v>
      </c>
      <c r="G47" s="16">
        <v>18500</v>
      </c>
      <c r="H47" s="16">
        <f t="shared" si="1"/>
        <v>11</v>
      </c>
    </row>
    <row r="48" spans="1:8">
      <c r="A48" s="17">
        <v>44501</v>
      </c>
      <c r="B48" s="16">
        <v>1209</v>
      </c>
      <c r="C48" s="16">
        <v>1244</v>
      </c>
      <c r="D48" s="16">
        <v>1163</v>
      </c>
      <c r="E48" s="16">
        <v>1170</v>
      </c>
      <c r="F48" s="16">
        <v>1170</v>
      </c>
      <c r="G48" s="16">
        <v>17800</v>
      </c>
      <c r="H48" s="16">
        <f t="shared" si="1"/>
        <v>-39</v>
      </c>
    </row>
    <row r="49" spans="1:8">
      <c r="A49" s="17">
        <v>44531</v>
      </c>
      <c r="B49" s="16">
        <v>1195</v>
      </c>
      <c r="C49" s="16">
        <v>1345</v>
      </c>
      <c r="D49" s="16">
        <v>1133</v>
      </c>
      <c r="E49" s="16">
        <v>1157</v>
      </c>
      <c r="F49" s="16">
        <v>1157</v>
      </c>
      <c r="G49" s="16">
        <v>82200</v>
      </c>
      <c r="H49" s="16">
        <f t="shared" si="1"/>
        <v>-38</v>
      </c>
    </row>
    <row r="50" spans="1:8">
      <c r="A50" s="17">
        <v>44565</v>
      </c>
      <c r="B50" s="16">
        <v>1139</v>
      </c>
      <c r="C50" s="16">
        <v>1156</v>
      </c>
      <c r="D50" s="16">
        <v>1034</v>
      </c>
      <c r="E50" s="16">
        <v>1067</v>
      </c>
      <c r="F50" s="16">
        <v>1067</v>
      </c>
      <c r="G50" s="16">
        <v>42900</v>
      </c>
      <c r="H50" s="16">
        <f t="shared" si="1"/>
        <v>-72</v>
      </c>
    </row>
    <row r="51" spans="1:8">
      <c r="A51" s="17">
        <v>44593</v>
      </c>
      <c r="B51" s="16">
        <v>1037</v>
      </c>
      <c r="C51" s="16">
        <v>1091</v>
      </c>
      <c r="D51" s="16">
        <v>1037</v>
      </c>
      <c r="E51" s="16">
        <v>1084</v>
      </c>
      <c r="F51" s="16">
        <v>1084</v>
      </c>
      <c r="G51" s="16">
        <v>25700</v>
      </c>
      <c r="H51" s="16">
        <f t="shared" si="1"/>
        <v>47</v>
      </c>
    </row>
    <row r="52" spans="1:8">
      <c r="A52" s="17">
        <v>44621</v>
      </c>
      <c r="B52" s="16">
        <v>1091</v>
      </c>
      <c r="C52" s="16">
        <v>1129</v>
      </c>
      <c r="D52" s="16">
        <v>1012</v>
      </c>
      <c r="E52" s="16">
        <v>1086</v>
      </c>
      <c r="F52" s="16">
        <v>1086</v>
      </c>
      <c r="G52" s="16">
        <v>65000</v>
      </c>
      <c r="H52" s="16">
        <f t="shared" si="1"/>
        <v>-5</v>
      </c>
    </row>
    <row r="53" spans="1:8">
      <c r="A53" s="17">
        <v>44652</v>
      </c>
      <c r="B53" s="16">
        <v>1086</v>
      </c>
      <c r="C53" s="16">
        <v>1114</v>
      </c>
      <c r="D53" s="16">
        <v>1060</v>
      </c>
      <c r="E53" s="16">
        <v>1075</v>
      </c>
      <c r="F53" s="16">
        <v>1075</v>
      </c>
      <c r="G53" s="16">
        <v>52700</v>
      </c>
      <c r="H53" s="16">
        <f t="shared" si="1"/>
        <v>-11</v>
      </c>
    </row>
    <row r="54" spans="1:8">
      <c r="A54" s="17">
        <v>44683</v>
      </c>
      <c r="B54" s="16">
        <v>1080</v>
      </c>
      <c r="C54" s="16">
        <v>1147</v>
      </c>
      <c r="D54" s="16">
        <v>1080</v>
      </c>
      <c r="E54" s="16">
        <v>1104</v>
      </c>
      <c r="F54" s="16">
        <v>1104</v>
      </c>
      <c r="G54" s="16">
        <v>48800</v>
      </c>
      <c r="H54" s="16">
        <f t="shared" si="1"/>
        <v>24</v>
      </c>
    </row>
    <row r="55" spans="1:8">
      <c r="A55" s="17">
        <v>44713</v>
      </c>
      <c r="B55" s="16">
        <v>1110</v>
      </c>
      <c r="C55" s="16">
        <v>1173</v>
      </c>
      <c r="D55" s="16">
        <v>1109</v>
      </c>
      <c r="E55" s="16">
        <v>1154</v>
      </c>
      <c r="F55" s="16">
        <v>1154</v>
      </c>
      <c r="G55" s="16">
        <v>54600</v>
      </c>
      <c r="H55" s="16">
        <f t="shared" si="1"/>
        <v>44</v>
      </c>
    </row>
    <row r="56" spans="1:8">
      <c r="A56" s="17">
        <v>44743</v>
      </c>
      <c r="B56" s="16">
        <v>1148</v>
      </c>
      <c r="C56" s="16">
        <v>1173</v>
      </c>
      <c r="D56" s="16">
        <v>1073</v>
      </c>
      <c r="E56" s="16">
        <v>1083</v>
      </c>
      <c r="F56" s="16">
        <v>1083</v>
      </c>
      <c r="G56" s="16">
        <v>74000</v>
      </c>
      <c r="H56" s="16">
        <f t="shared" si="1"/>
        <v>-65</v>
      </c>
    </row>
    <row r="57" spans="1:8">
      <c r="A57" s="17">
        <v>44774</v>
      </c>
      <c r="B57" s="16">
        <v>1084</v>
      </c>
      <c r="C57" s="16">
        <v>1087</v>
      </c>
      <c r="D57" s="16">
        <v>1042</v>
      </c>
      <c r="E57" s="16">
        <v>1044</v>
      </c>
      <c r="F57" s="16">
        <v>1044</v>
      </c>
      <c r="G57" s="16">
        <v>66500</v>
      </c>
      <c r="H57" s="16">
        <f t="shared" si="1"/>
        <v>-40</v>
      </c>
    </row>
    <row r="58" spans="1:8">
      <c r="A58" s="17">
        <v>44805</v>
      </c>
      <c r="B58" s="16">
        <v>1043</v>
      </c>
      <c r="C58" s="16">
        <v>1146</v>
      </c>
      <c r="D58" s="16">
        <v>1035</v>
      </c>
      <c r="E58" s="16">
        <v>1044</v>
      </c>
      <c r="F58" s="16">
        <v>1044</v>
      </c>
      <c r="G58" s="16">
        <v>78000</v>
      </c>
      <c r="H58" s="16">
        <f t="shared" si="1"/>
        <v>1</v>
      </c>
    </row>
    <row r="59" spans="1:8">
      <c r="A59" s="17">
        <v>44837</v>
      </c>
      <c r="B59" s="16">
        <v>1045</v>
      </c>
      <c r="C59" s="16">
        <v>1070</v>
      </c>
      <c r="D59" s="16">
        <v>1019</v>
      </c>
      <c r="E59" s="16">
        <v>1059</v>
      </c>
      <c r="F59" s="16">
        <v>1059</v>
      </c>
      <c r="G59" s="16">
        <v>46800</v>
      </c>
      <c r="H59" s="16">
        <f t="shared" si="1"/>
        <v>14</v>
      </c>
    </row>
    <row r="60" spans="1:8">
      <c r="A60" s="17">
        <v>44866</v>
      </c>
      <c r="B60" s="16">
        <v>1059</v>
      </c>
      <c r="C60" s="16">
        <v>1075</v>
      </c>
      <c r="D60" s="16">
        <v>1045</v>
      </c>
      <c r="E60" s="16">
        <v>1064</v>
      </c>
      <c r="F60" s="16">
        <v>1064</v>
      </c>
      <c r="G60" s="16">
        <v>29100</v>
      </c>
      <c r="H60" s="16">
        <f t="shared" si="1"/>
        <v>5</v>
      </c>
    </row>
    <row r="61" spans="1:8">
      <c r="A61" s="17">
        <v>44896</v>
      </c>
      <c r="B61" s="16">
        <v>1070</v>
      </c>
      <c r="C61" s="16">
        <v>1090</v>
      </c>
      <c r="D61" s="16">
        <v>1040</v>
      </c>
      <c r="E61" s="16">
        <v>1063</v>
      </c>
      <c r="F61" s="16">
        <v>1063</v>
      </c>
      <c r="G61" s="16">
        <v>57600</v>
      </c>
      <c r="H61" s="16">
        <f t="shared" si="1"/>
        <v>-7</v>
      </c>
    </row>
  </sheetData>
  <phoneticPr fontId="32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89C11-366C-451F-BED1-2F0765B5017F}">
  <sheetPr codeName="Sheet25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530</v>
      </c>
      <c r="C2" s="16">
        <v>544</v>
      </c>
      <c r="D2" s="16">
        <v>504</v>
      </c>
      <c r="E2" s="16">
        <v>515</v>
      </c>
      <c r="F2" s="16">
        <v>515</v>
      </c>
      <c r="G2" s="16">
        <v>1485900</v>
      </c>
      <c r="H2" s="16">
        <f t="shared" ref="H2:H33" si="0">E2-B2</f>
        <v>-15</v>
      </c>
      <c r="J2" s="18" cm="1">
        <f t="array" ref="J2:Q6">_xlfn._xlws.FILTER(A2:H61,MONTH(A2:A61)=1,"")</f>
        <v>43104</v>
      </c>
      <c r="K2" s="16">
        <v>530</v>
      </c>
      <c r="L2" s="16">
        <v>544</v>
      </c>
      <c r="M2" s="16">
        <v>504</v>
      </c>
      <c r="N2" s="16">
        <v>515</v>
      </c>
      <c r="O2" s="16">
        <v>515</v>
      </c>
      <c r="P2" s="16">
        <v>1485900</v>
      </c>
      <c r="Q2" s="16">
        <v>-15</v>
      </c>
      <c r="R2" s="16">
        <f>Q2/K2*100</f>
        <v>-2.8301886792452833</v>
      </c>
      <c r="S2" s="16">
        <f>COUNT(Q2:Q6)</f>
        <v>5</v>
      </c>
      <c r="T2" s="18" cm="1">
        <f t="array" ref="T2:AA6">_xlfn._xlws.FILTER(A2:H61,MONTH(A2:A61)=2,"")</f>
        <v>43132</v>
      </c>
      <c r="U2" s="16">
        <v>515</v>
      </c>
      <c r="V2" s="16">
        <v>519</v>
      </c>
      <c r="W2" s="16">
        <v>465</v>
      </c>
      <c r="X2" s="16">
        <v>476</v>
      </c>
      <c r="Y2" s="16">
        <v>476</v>
      </c>
      <c r="Z2" s="16">
        <v>736500</v>
      </c>
      <c r="AA2" s="16">
        <v>-39</v>
      </c>
      <c r="AB2" s="16">
        <f>AA2/U2*100</f>
        <v>-7.5728155339805827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476</v>
      </c>
      <c r="AF2" s="16">
        <v>481</v>
      </c>
      <c r="AG2" s="16">
        <v>426</v>
      </c>
      <c r="AH2" s="16">
        <v>450</v>
      </c>
      <c r="AI2" s="16">
        <v>450</v>
      </c>
      <c r="AJ2" s="16">
        <v>544600</v>
      </c>
      <c r="AK2" s="16">
        <v>-26</v>
      </c>
      <c r="AL2" s="16">
        <f>AK2/AE2*100</f>
        <v>-5.46218487394958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450</v>
      </c>
      <c r="AP2" s="16">
        <v>475</v>
      </c>
      <c r="AQ2" s="16">
        <v>440</v>
      </c>
      <c r="AR2" s="16">
        <v>472</v>
      </c>
      <c r="AS2" s="16">
        <v>472</v>
      </c>
      <c r="AT2" s="16">
        <v>265000</v>
      </c>
      <c r="AU2" s="16">
        <v>22</v>
      </c>
      <c r="AV2" s="16">
        <f>AU2/AO2*100</f>
        <v>4.8888888888888893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473</v>
      </c>
      <c r="AZ2" s="16">
        <v>502</v>
      </c>
      <c r="BA2" s="16">
        <v>463</v>
      </c>
      <c r="BB2" s="16">
        <v>475</v>
      </c>
      <c r="BC2" s="16">
        <v>475</v>
      </c>
      <c r="BD2" s="16">
        <v>490300</v>
      </c>
      <c r="BE2" s="16">
        <v>2</v>
      </c>
      <c r="BF2" s="16">
        <f>BE2/AY2*100</f>
        <v>0.42283298097251587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479</v>
      </c>
      <c r="BJ2" s="16">
        <v>543</v>
      </c>
      <c r="BK2" s="16">
        <v>472</v>
      </c>
      <c r="BL2" s="16">
        <v>502</v>
      </c>
      <c r="BM2" s="16">
        <v>502</v>
      </c>
      <c r="BN2" s="16">
        <v>1593900</v>
      </c>
      <c r="BO2" s="16">
        <v>23</v>
      </c>
      <c r="BP2" s="16">
        <f>BO2/BI2*100</f>
        <v>4.8016701461377869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502</v>
      </c>
      <c r="BT2" s="16">
        <v>502</v>
      </c>
      <c r="BU2" s="16">
        <v>450</v>
      </c>
      <c r="BV2" s="16">
        <v>457</v>
      </c>
      <c r="BW2" s="16">
        <v>457</v>
      </c>
      <c r="BX2" s="16">
        <v>1285900</v>
      </c>
      <c r="BY2" s="16">
        <v>-45</v>
      </c>
      <c r="BZ2" s="16">
        <f>BY2/BS2*100</f>
        <v>-8.9641434262948216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458</v>
      </c>
      <c r="CD2" s="16">
        <v>485</v>
      </c>
      <c r="CE2" s="16">
        <v>445</v>
      </c>
      <c r="CF2" s="16">
        <v>484</v>
      </c>
      <c r="CG2" s="16">
        <v>484</v>
      </c>
      <c r="CH2" s="16">
        <v>2023500</v>
      </c>
      <c r="CI2" s="16">
        <v>26</v>
      </c>
      <c r="CJ2" s="16">
        <f>CI2/CC2*100</f>
        <v>5.6768558951965069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484</v>
      </c>
      <c r="CN2" s="16">
        <v>484</v>
      </c>
      <c r="CO2" s="16">
        <v>461</v>
      </c>
      <c r="CP2" s="16">
        <v>480</v>
      </c>
      <c r="CQ2" s="16">
        <v>480</v>
      </c>
      <c r="CR2" s="16">
        <v>708600</v>
      </c>
      <c r="CS2" s="16">
        <v>-4</v>
      </c>
      <c r="CT2" s="16">
        <f>CS2/CM2*100</f>
        <v>-0.82644628099173556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481</v>
      </c>
      <c r="CX2" s="16">
        <v>485</v>
      </c>
      <c r="CY2" s="16">
        <v>463</v>
      </c>
      <c r="CZ2" s="16">
        <v>480</v>
      </c>
      <c r="DA2" s="16">
        <v>480</v>
      </c>
      <c r="DB2" s="16">
        <v>779200</v>
      </c>
      <c r="DC2" s="16">
        <v>-1</v>
      </c>
      <c r="DD2" s="16">
        <f>DC2/CW2*100</f>
        <v>-0.20790020790020791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478</v>
      </c>
      <c r="DH2" s="16">
        <v>481</v>
      </c>
      <c r="DI2" s="16">
        <v>470</v>
      </c>
      <c r="DJ2" s="16">
        <v>478</v>
      </c>
      <c r="DK2" s="16">
        <v>478</v>
      </c>
      <c r="DL2" s="16">
        <v>530300</v>
      </c>
      <c r="DM2" s="16">
        <v>0</v>
      </c>
      <c r="DN2" s="16">
        <f>DM2/DG2*100</f>
        <v>0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480</v>
      </c>
      <c r="DR2" s="16">
        <v>480</v>
      </c>
      <c r="DS2" s="16">
        <v>390</v>
      </c>
      <c r="DT2" s="16">
        <v>466</v>
      </c>
      <c r="DU2" s="16">
        <v>466</v>
      </c>
      <c r="DV2" s="16">
        <v>1119500</v>
      </c>
      <c r="DW2" s="16">
        <v>-14</v>
      </c>
      <c r="DX2" s="16">
        <f>DW2/DQ2*100</f>
        <v>-2.9166666666666665</v>
      </c>
      <c r="DY2" s="16">
        <f>COUNT(DW2:DW6)</f>
        <v>5</v>
      </c>
    </row>
    <row r="3" spans="1:129">
      <c r="A3" s="17">
        <v>43132</v>
      </c>
      <c r="B3" s="16">
        <v>515</v>
      </c>
      <c r="C3" s="16">
        <v>519</v>
      </c>
      <c r="D3" s="16">
        <v>465</v>
      </c>
      <c r="E3" s="16">
        <v>476</v>
      </c>
      <c r="F3" s="16">
        <v>476</v>
      </c>
      <c r="G3" s="16">
        <v>736500</v>
      </c>
      <c r="H3" s="16">
        <f t="shared" si="0"/>
        <v>-39</v>
      </c>
      <c r="J3" s="18">
        <v>43469</v>
      </c>
      <c r="K3" s="16">
        <v>466</v>
      </c>
      <c r="L3" s="16">
        <v>491</v>
      </c>
      <c r="M3" s="16">
        <v>417</v>
      </c>
      <c r="N3" s="16">
        <v>419</v>
      </c>
      <c r="O3" s="16">
        <v>419</v>
      </c>
      <c r="P3" s="16">
        <v>1754100</v>
      </c>
      <c r="Q3" s="16">
        <v>-47</v>
      </c>
      <c r="R3" s="16">
        <f>Q3/K3*100</f>
        <v>-10.085836909871244</v>
      </c>
      <c r="S3" s="16">
        <f>COUNTIF(Q2:Q6,"&gt;0")</f>
        <v>0</v>
      </c>
      <c r="T3" s="18">
        <v>43497</v>
      </c>
      <c r="U3" s="16">
        <v>418</v>
      </c>
      <c r="V3" s="16">
        <v>440</v>
      </c>
      <c r="W3" s="16">
        <v>416</v>
      </c>
      <c r="X3" s="16">
        <v>431</v>
      </c>
      <c r="Y3" s="16">
        <v>431</v>
      </c>
      <c r="Z3" s="16">
        <v>417100</v>
      </c>
      <c r="AA3" s="16">
        <v>13</v>
      </c>
      <c r="AB3" s="16">
        <f>AA3/U3*100</f>
        <v>3.1100478468899522</v>
      </c>
      <c r="AC3" s="16">
        <f>COUNTIF(AA2:AA6,"&gt;0")</f>
        <v>3</v>
      </c>
      <c r="AD3" s="18">
        <v>43525</v>
      </c>
      <c r="AE3" s="16">
        <v>430</v>
      </c>
      <c r="AF3" s="16">
        <v>475</v>
      </c>
      <c r="AG3" s="16">
        <v>428</v>
      </c>
      <c r="AH3" s="16">
        <v>448</v>
      </c>
      <c r="AI3" s="16">
        <v>448</v>
      </c>
      <c r="AJ3" s="16">
        <v>655100</v>
      </c>
      <c r="AK3" s="16">
        <v>18</v>
      </c>
      <c r="AL3" s="16">
        <f>AK3/AE3*100</f>
        <v>4.1860465116279073</v>
      </c>
      <c r="AM3" s="16">
        <f>COUNTIF(AK2:AK6,"&gt;0")</f>
        <v>3</v>
      </c>
      <c r="AN3" s="18">
        <v>43556</v>
      </c>
      <c r="AO3" s="16">
        <v>449</v>
      </c>
      <c r="AP3" s="16">
        <v>464</v>
      </c>
      <c r="AQ3" s="16">
        <v>442</v>
      </c>
      <c r="AR3" s="16">
        <v>460</v>
      </c>
      <c r="AS3" s="16">
        <v>460</v>
      </c>
      <c r="AT3" s="16">
        <v>310500</v>
      </c>
      <c r="AU3" s="16">
        <v>11</v>
      </c>
      <c r="AV3" s="16">
        <f>AU3/AO3*100</f>
        <v>2.4498886414253898</v>
      </c>
      <c r="AW3" s="16">
        <f>COUNTIF(AU2:AU6,"&gt;0")</f>
        <v>4</v>
      </c>
      <c r="AX3" s="18">
        <v>43592</v>
      </c>
      <c r="AY3" s="16">
        <v>453</v>
      </c>
      <c r="AZ3" s="16">
        <v>490</v>
      </c>
      <c r="BA3" s="16">
        <v>447</v>
      </c>
      <c r="BB3" s="16">
        <v>462</v>
      </c>
      <c r="BC3" s="16">
        <v>462</v>
      </c>
      <c r="BD3" s="16">
        <v>485900</v>
      </c>
      <c r="BE3" s="16">
        <v>9</v>
      </c>
      <c r="BF3" s="16">
        <f>BE3/AY3*100</f>
        <v>1.9867549668874174</v>
      </c>
      <c r="BG3" s="16">
        <f>COUNTIF(BE2:BE6,"&gt;0")</f>
        <v>5</v>
      </c>
      <c r="BH3" s="18">
        <v>43619</v>
      </c>
      <c r="BI3" s="16">
        <v>457</v>
      </c>
      <c r="BJ3" s="16">
        <v>471</v>
      </c>
      <c r="BK3" s="16">
        <v>451</v>
      </c>
      <c r="BL3" s="16">
        <v>458</v>
      </c>
      <c r="BM3" s="16">
        <v>458</v>
      </c>
      <c r="BN3" s="16">
        <v>274700</v>
      </c>
      <c r="BO3" s="16">
        <v>1</v>
      </c>
      <c r="BP3" s="16">
        <f>BO3/BI3*100</f>
        <v>0.21881838074398249</v>
      </c>
      <c r="BQ3" s="16">
        <f>COUNTIF(BO2:BO6,"&gt;0")</f>
        <v>4</v>
      </c>
      <c r="BR3" s="18">
        <v>43647</v>
      </c>
      <c r="BS3" s="16">
        <v>459</v>
      </c>
      <c r="BT3" s="16">
        <v>470</v>
      </c>
      <c r="BU3" s="16">
        <v>450</v>
      </c>
      <c r="BV3" s="16">
        <v>452</v>
      </c>
      <c r="BW3" s="16">
        <v>452</v>
      </c>
      <c r="BX3" s="16">
        <v>598100</v>
      </c>
      <c r="BY3" s="16">
        <v>-7</v>
      </c>
      <c r="BZ3" s="16">
        <f>BY3/BS3*100</f>
        <v>-1.5250544662309369</v>
      </c>
      <c r="CA3" s="16">
        <f>COUNTIF(BY2:BY6,"&gt;0")</f>
        <v>1</v>
      </c>
      <c r="CB3" s="18">
        <v>43678</v>
      </c>
      <c r="CC3" s="16">
        <v>454</v>
      </c>
      <c r="CD3" s="16">
        <v>463</v>
      </c>
      <c r="CE3" s="16">
        <v>440</v>
      </c>
      <c r="CF3" s="16">
        <v>454</v>
      </c>
      <c r="CG3" s="16">
        <v>454</v>
      </c>
      <c r="CH3" s="16">
        <v>389500</v>
      </c>
      <c r="CI3" s="16">
        <v>0</v>
      </c>
      <c r="CJ3" s="16">
        <f>CI3/CC3*100</f>
        <v>0</v>
      </c>
      <c r="CK3" s="16">
        <f>COUNTIF(CI2:CI6,"&gt;0")</f>
        <v>3</v>
      </c>
      <c r="CL3" s="18">
        <v>43710</v>
      </c>
      <c r="CM3" s="16">
        <v>454</v>
      </c>
      <c r="CN3" s="16">
        <v>465</v>
      </c>
      <c r="CO3" s="16">
        <v>447</v>
      </c>
      <c r="CP3" s="16">
        <v>461</v>
      </c>
      <c r="CQ3" s="16">
        <v>461</v>
      </c>
      <c r="CR3" s="16">
        <v>289200</v>
      </c>
      <c r="CS3" s="16">
        <v>7</v>
      </c>
      <c r="CT3" s="16">
        <f>CS3/CM3*100</f>
        <v>1.5418502202643172</v>
      </c>
      <c r="CU3" s="16">
        <f>COUNTIF(CS2:CS6,"&gt;0")</f>
        <v>2</v>
      </c>
      <c r="CV3" s="18">
        <v>43739</v>
      </c>
      <c r="CW3" s="16">
        <v>462</v>
      </c>
      <c r="CX3" s="16">
        <v>483</v>
      </c>
      <c r="CY3" s="16">
        <v>458</v>
      </c>
      <c r="CZ3" s="16">
        <v>481</v>
      </c>
      <c r="DA3" s="16">
        <v>481</v>
      </c>
      <c r="DB3" s="16">
        <v>364600</v>
      </c>
      <c r="DC3" s="16">
        <v>19</v>
      </c>
      <c r="DD3" s="16">
        <f>DC3/CW3*100</f>
        <v>4.112554112554113</v>
      </c>
      <c r="DE3" s="16">
        <f>COUNTIF(DC2:DC6,"&gt;0")</f>
        <v>2</v>
      </c>
      <c r="DF3" s="18">
        <v>43770</v>
      </c>
      <c r="DG3" s="16">
        <v>480</v>
      </c>
      <c r="DH3" s="16">
        <v>504</v>
      </c>
      <c r="DI3" s="16">
        <v>479</v>
      </c>
      <c r="DJ3" s="16">
        <v>498</v>
      </c>
      <c r="DK3" s="16">
        <v>498</v>
      </c>
      <c r="DL3" s="16">
        <v>689200</v>
      </c>
      <c r="DM3" s="16">
        <v>18</v>
      </c>
      <c r="DN3" s="16">
        <f>DM3/DG3*100</f>
        <v>3.75</v>
      </c>
      <c r="DO3" s="16">
        <f>COUNTIF(DM2:DM6,"&gt;0")</f>
        <v>3</v>
      </c>
      <c r="DP3" s="18">
        <v>43801</v>
      </c>
      <c r="DQ3" s="16">
        <v>502</v>
      </c>
      <c r="DR3" s="16">
        <v>522</v>
      </c>
      <c r="DS3" s="16">
        <v>499</v>
      </c>
      <c r="DT3" s="16">
        <v>521</v>
      </c>
      <c r="DU3" s="16">
        <v>521</v>
      </c>
      <c r="DV3" s="16">
        <v>935300</v>
      </c>
      <c r="DW3" s="16">
        <v>19</v>
      </c>
      <c r="DX3" s="16">
        <f>DW3/DQ3*100</f>
        <v>3.7848605577689245</v>
      </c>
      <c r="DY3" s="16">
        <f>COUNTIF(DW2:DW6,"&gt;0")</f>
        <v>3</v>
      </c>
    </row>
    <row r="4" spans="1:129">
      <c r="A4" s="17">
        <v>43160</v>
      </c>
      <c r="B4" s="16">
        <v>476</v>
      </c>
      <c r="C4" s="16">
        <v>481</v>
      </c>
      <c r="D4" s="16">
        <v>426</v>
      </c>
      <c r="E4" s="16">
        <v>450</v>
      </c>
      <c r="F4" s="16">
        <v>450</v>
      </c>
      <c r="G4" s="16">
        <v>544600</v>
      </c>
      <c r="H4" s="16">
        <f t="shared" si="0"/>
        <v>-26</v>
      </c>
      <c r="J4" s="18">
        <v>43836</v>
      </c>
      <c r="K4" s="16">
        <v>525</v>
      </c>
      <c r="L4" s="16">
        <v>533</v>
      </c>
      <c r="M4" s="16">
        <v>461</v>
      </c>
      <c r="N4" s="16">
        <v>463</v>
      </c>
      <c r="O4" s="16">
        <v>463</v>
      </c>
      <c r="P4" s="16">
        <v>2711300</v>
      </c>
      <c r="Q4" s="16">
        <v>-62</v>
      </c>
      <c r="R4" s="16">
        <f>Q4/K4*100</f>
        <v>-11.80952380952381</v>
      </c>
      <c r="S4" s="19">
        <f>S3/S2*100</f>
        <v>0</v>
      </c>
      <c r="T4" s="18">
        <v>43864</v>
      </c>
      <c r="U4" s="16">
        <v>453</v>
      </c>
      <c r="V4" s="16">
        <v>475</v>
      </c>
      <c r="W4" s="16">
        <v>404</v>
      </c>
      <c r="X4" s="16">
        <v>405</v>
      </c>
      <c r="Y4" s="16">
        <v>405</v>
      </c>
      <c r="Z4" s="16">
        <v>574600</v>
      </c>
      <c r="AA4" s="16">
        <v>-48</v>
      </c>
      <c r="AB4" s="16">
        <f>AA4/U4*100</f>
        <v>-10.596026490066226</v>
      </c>
      <c r="AC4" s="19">
        <f>AC3/AC2*100</f>
        <v>60</v>
      </c>
      <c r="AD4" s="18">
        <v>43892</v>
      </c>
      <c r="AE4" s="16">
        <v>403</v>
      </c>
      <c r="AF4" s="16">
        <v>448</v>
      </c>
      <c r="AG4" s="16">
        <v>350</v>
      </c>
      <c r="AH4" s="16">
        <v>433</v>
      </c>
      <c r="AI4" s="16">
        <v>433</v>
      </c>
      <c r="AJ4" s="16">
        <v>1250500</v>
      </c>
      <c r="AK4" s="16">
        <v>30</v>
      </c>
      <c r="AL4" s="16">
        <f>AK4/AE4*100</f>
        <v>7.4441687344913143</v>
      </c>
      <c r="AM4" s="19">
        <f>AM3/AM2*100</f>
        <v>60</v>
      </c>
      <c r="AN4" s="18">
        <v>43922</v>
      </c>
      <c r="AO4" s="16">
        <v>434</v>
      </c>
      <c r="AP4" s="16">
        <v>515</v>
      </c>
      <c r="AQ4" s="16">
        <v>378</v>
      </c>
      <c r="AR4" s="16">
        <v>465</v>
      </c>
      <c r="AS4" s="16">
        <v>465</v>
      </c>
      <c r="AT4" s="16">
        <v>1734600</v>
      </c>
      <c r="AU4" s="16">
        <v>31</v>
      </c>
      <c r="AV4" s="16">
        <f>AU4/AO4*100</f>
        <v>7.1428571428571423</v>
      </c>
      <c r="AW4" s="19">
        <f>AW3/AW2*100</f>
        <v>80</v>
      </c>
      <c r="AX4" s="18">
        <v>43952</v>
      </c>
      <c r="AY4" s="16">
        <v>466</v>
      </c>
      <c r="AZ4" s="16">
        <v>510</v>
      </c>
      <c r="BA4" s="16">
        <v>459</v>
      </c>
      <c r="BB4" s="16">
        <v>471</v>
      </c>
      <c r="BC4" s="16">
        <v>471</v>
      </c>
      <c r="BD4" s="16">
        <v>750100</v>
      </c>
      <c r="BE4" s="16">
        <v>5</v>
      </c>
      <c r="BF4" s="16">
        <f>BE4/AY4*100</f>
        <v>1.0729613733905579</v>
      </c>
      <c r="BG4" s="19">
        <f>BG3/BG2*100</f>
        <v>100</v>
      </c>
      <c r="BH4" s="18">
        <v>43983</v>
      </c>
      <c r="BI4" s="16">
        <v>476</v>
      </c>
      <c r="BJ4" s="16">
        <v>501</v>
      </c>
      <c r="BK4" s="16">
        <v>462</v>
      </c>
      <c r="BL4" s="16">
        <v>491</v>
      </c>
      <c r="BM4" s="16">
        <v>491</v>
      </c>
      <c r="BN4" s="16">
        <v>776700</v>
      </c>
      <c r="BO4" s="16">
        <v>15</v>
      </c>
      <c r="BP4" s="16">
        <f>BO4/BI4*100</f>
        <v>3.1512605042016806</v>
      </c>
      <c r="BQ4" s="19">
        <f>BQ3/BQ2*100</f>
        <v>80</v>
      </c>
      <c r="BR4" s="18">
        <v>44013</v>
      </c>
      <c r="BS4" s="16">
        <v>495</v>
      </c>
      <c r="BT4" s="16">
        <v>499</v>
      </c>
      <c r="BU4" s="16">
        <v>478</v>
      </c>
      <c r="BV4" s="16">
        <v>480</v>
      </c>
      <c r="BW4" s="16">
        <v>480</v>
      </c>
      <c r="BX4" s="16">
        <v>987100</v>
      </c>
      <c r="BY4" s="16">
        <v>-15</v>
      </c>
      <c r="BZ4" s="16">
        <f>BY4/BS4*100</f>
        <v>-3.0303030303030303</v>
      </c>
      <c r="CA4" s="19">
        <f>CA3/CA2*100</f>
        <v>20</v>
      </c>
      <c r="CB4" s="18">
        <v>44046</v>
      </c>
      <c r="CC4" s="16">
        <v>490</v>
      </c>
      <c r="CD4" s="16">
        <v>727</v>
      </c>
      <c r="CE4" s="16">
        <v>484</v>
      </c>
      <c r="CF4" s="16">
        <v>629</v>
      </c>
      <c r="CG4" s="16">
        <v>629</v>
      </c>
      <c r="CH4" s="16">
        <v>4754200</v>
      </c>
      <c r="CI4" s="16">
        <v>139</v>
      </c>
      <c r="CJ4" s="16">
        <f>CI4/CC4*100</f>
        <v>28.367346938775512</v>
      </c>
      <c r="CK4" s="19">
        <f>CK3/CK2*100</f>
        <v>60</v>
      </c>
      <c r="CL4" s="18">
        <v>44075</v>
      </c>
      <c r="CM4" s="16">
        <v>619</v>
      </c>
      <c r="CN4" s="16">
        <v>684</v>
      </c>
      <c r="CO4" s="16">
        <v>594</v>
      </c>
      <c r="CP4" s="16">
        <v>671</v>
      </c>
      <c r="CQ4" s="16">
        <v>671</v>
      </c>
      <c r="CR4" s="16">
        <v>1861500</v>
      </c>
      <c r="CS4" s="16">
        <v>52</v>
      </c>
      <c r="CT4" s="16">
        <f>CS4/CM4*100</f>
        <v>8.4006462035541194</v>
      </c>
      <c r="CU4" s="19">
        <f>CU3/CU2*100</f>
        <v>40</v>
      </c>
      <c r="CV4" s="18">
        <v>44106</v>
      </c>
      <c r="CW4" s="16">
        <v>668</v>
      </c>
      <c r="CX4" s="16">
        <v>739</v>
      </c>
      <c r="CY4" s="16">
        <v>642</v>
      </c>
      <c r="CZ4" s="16">
        <v>654</v>
      </c>
      <c r="DA4" s="16">
        <v>654</v>
      </c>
      <c r="DB4" s="16">
        <v>1314100</v>
      </c>
      <c r="DC4" s="16">
        <v>-14</v>
      </c>
      <c r="DD4" s="16">
        <f>DC4/CW4*100</f>
        <v>-2.0958083832335328</v>
      </c>
      <c r="DE4" s="19">
        <f>DE3/DE2*100</f>
        <v>40</v>
      </c>
      <c r="DF4" s="18">
        <v>44137</v>
      </c>
      <c r="DG4" s="16">
        <v>650</v>
      </c>
      <c r="DH4" s="16">
        <v>968</v>
      </c>
      <c r="DI4" s="16">
        <v>640</v>
      </c>
      <c r="DJ4" s="16">
        <v>805</v>
      </c>
      <c r="DK4" s="16">
        <v>805</v>
      </c>
      <c r="DL4" s="16">
        <v>4802200</v>
      </c>
      <c r="DM4" s="16">
        <v>155</v>
      </c>
      <c r="DN4" s="16">
        <f>DM4/DG4*100</f>
        <v>23.846153846153847</v>
      </c>
      <c r="DO4" s="19">
        <f>DO3/DO2*100</f>
        <v>60</v>
      </c>
      <c r="DP4" s="18">
        <v>44166</v>
      </c>
      <c r="DQ4" s="16">
        <v>814</v>
      </c>
      <c r="DR4" s="16">
        <v>907</v>
      </c>
      <c r="DS4" s="16">
        <v>765</v>
      </c>
      <c r="DT4" s="16">
        <v>895</v>
      </c>
      <c r="DU4" s="16">
        <v>895</v>
      </c>
      <c r="DV4" s="16">
        <v>3974100</v>
      </c>
      <c r="DW4" s="16">
        <v>81</v>
      </c>
      <c r="DX4" s="16">
        <f>DW4/DQ4*100</f>
        <v>9.950859950859952</v>
      </c>
      <c r="DY4" s="19">
        <f>DY3/DY2*100</f>
        <v>60</v>
      </c>
    </row>
    <row r="5" spans="1:129">
      <c r="A5" s="17">
        <v>43192</v>
      </c>
      <c r="B5" s="16">
        <v>450</v>
      </c>
      <c r="C5" s="16">
        <v>475</v>
      </c>
      <c r="D5" s="16">
        <v>440</v>
      </c>
      <c r="E5" s="16">
        <v>472</v>
      </c>
      <c r="F5" s="16">
        <v>472</v>
      </c>
      <c r="G5" s="16">
        <v>265000</v>
      </c>
      <c r="H5" s="16">
        <f t="shared" si="0"/>
        <v>22</v>
      </c>
      <c r="J5" s="18">
        <v>44200</v>
      </c>
      <c r="K5" s="16">
        <v>899</v>
      </c>
      <c r="L5" s="16">
        <v>902</v>
      </c>
      <c r="M5" s="16">
        <v>763</v>
      </c>
      <c r="N5" s="16">
        <v>763</v>
      </c>
      <c r="O5" s="16">
        <v>763</v>
      </c>
      <c r="P5" s="16">
        <v>4868400</v>
      </c>
      <c r="Q5" s="16">
        <v>-136</v>
      </c>
      <c r="R5" s="16">
        <f>Q5/K5*100</f>
        <v>-15.127919911012237</v>
      </c>
      <c r="S5" s="16">
        <f>AVERAGE(R2:R6)</f>
        <v>-10.831621014248395</v>
      </c>
      <c r="T5" s="18">
        <v>44228</v>
      </c>
      <c r="U5" s="16">
        <v>759</v>
      </c>
      <c r="V5" s="16">
        <v>827</v>
      </c>
      <c r="W5" s="16">
        <v>740</v>
      </c>
      <c r="X5" s="16">
        <v>771</v>
      </c>
      <c r="Y5" s="16">
        <v>771</v>
      </c>
      <c r="Z5" s="16">
        <v>2102600</v>
      </c>
      <c r="AA5" s="16">
        <v>12</v>
      </c>
      <c r="AB5" s="16">
        <f>AA5/U5*100</f>
        <v>1.5810276679841897</v>
      </c>
      <c r="AC5" s="16">
        <f>AVERAGE(AB2:AB6)</f>
        <v>-1.9321945232085791</v>
      </c>
      <c r="AD5" s="18">
        <v>44256</v>
      </c>
      <c r="AE5" s="16">
        <v>770</v>
      </c>
      <c r="AF5" s="16">
        <v>794</v>
      </c>
      <c r="AG5" s="16">
        <v>670</v>
      </c>
      <c r="AH5" s="16">
        <v>764</v>
      </c>
      <c r="AI5" s="16">
        <v>764</v>
      </c>
      <c r="AJ5" s="16">
        <v>2799600</v>
      </c>
      <c r="AK5" s="16">
        <v>-6</v>
      </c>
      <c r="AL5" s="16">
        <f>AK5/AE5*100</f>
        <v>-0.77922077922077926</v>
      </c>
      <c r="AM5" s="16">
        <f>AVERAGE(AL2:AL6)</f>
        <v>1.4296680769475438</v>
      </c>
      <c r="AN5" s="18">
        <v>44287</v>
      </c>
      <c r="AO5" s="16">
        <v>764</v>
      </c>
      <c r="AP5" s="16">
        <v>786</v>
      </c>
      <c r="AQ5" s="16">
        <v>742</v>
      </c>
      <c r="AR5" s="16">
        <v>742</v>
      </c>
      <c r="AS5" s="16">
        <v>742</v>
      </c>
      <c r="AT5" s="16">
        <v>823100</v>
      </c>
      <c r="AU5" s="16">
        <v>-22</v>
      </c>
      <c r="AV5" s="16">
        <f>AU5/AO5*100</f>
        <v>-2.8795811518324608</v>
      </c>
      <c r="AW5" s="16">
        <f>AVERAGE(AV2:AV6)</f>
        <v>2.4955931860196165</v>
      </c>
      <c r="AX5" s="18">
        <v>44322</v>
      </c>
      <c r="AY5" s="16">
        <v>744</v>
      </c>
      <c r="AZ5" s="16">
        <v>882</v>
      </c>
      <c r="BA5" s="16">
        <v>726</v>
      </c>
      <c r="BB5" s="16">
        <v>787</v>
      </c>
      <c r="BC5" s="16">
        <v>787</v>
      </c>
      <c r="BD5" s="16">
        <v>1827800</v>
      </c>
      <c r="BE5" s="16">
        <v>43</v>
      </c>
      <c r="BF5" s="16">
        <f>BE5/AY5*100</f>
        <v>5.779569892473118</v>
      </c>
      <c r="BG5" s="16">
        <f>AVERAGE(BF2:BF6)</f>
        <v>3.9669612876786431</v>
      </c>
      <c r="BH5" s="18">
        <v>44348</v>
      </c>
      <c r="BI5" s="16">
        <v>794</v>
      </c>
      <c r="BJ5" s="16">
        <v>839</v>
      </c>
      <c r="BK5" s="16">
        <v>770</v>
      </c>
      <c r="BL5" s="16">
        <v>826</v>
      </c>
      <c r="BM5" s="16">
        <v>826</v>
      </c>
      <c r="BN5" s="16">
        <v>1043600</v>
      </c>
      <c r="BO5" s="16">
        <v>32</v>
      </c>
      <c r="BP5" s="16">
        <f>BO5/BI5*100</f>
        <v>4.0302267002518892</v>
      </c>
      <c r="BQ5" s="16">
        <f>AVERAGE(BP2:BP6)</f>
        <v>2.3607138713666695</v>
      </c>
      <c r="BR5" s="18">
        <v>44378</v>
      </c>
      <c r="BS5" s="16">
        <v>827</v>
      </c>
      <c r="BT5" s="16">
        <v>908</v>
      </c>
      <c r="BU5" s="16">
        <v>819</v>
      </c>
      <c r="BV5" s="16">
        <v>880</v>
      </c>
      <c r="BW5" s="16">
        <v>880</v>
      </c>
      <c r="BX5" s="16">
        <v>1955700</v>
      </c>
      <c r="BY5" s="16">
        <v>53</v>
      </c>
      <c r="BZ5" s="16">
        <f>BY5/BS5*100</f>
        <v>6.4087061668681988</v>
      </c>
      <c r="CA5" s="16">
        <f>AVERAGE(BZ2:BZ6)</f>
        <v>-2.6488256178587846</v>
      </c>
      <c r="CB5" s="18">
        <v>44410</v>
      </c>
      <c r="CC5" s="16">
        <v>883</v>
      </c>
      <c r="CD5" s="16">
        <v>1180</v>
      </c>
      <c r="CE5" s="16">
        <v>883</v>
      </c>
      <c r="CF5" s="16">
        <v>1001</v>
      </c>
      <c r="CG5" s="16">
        <v>1001</v>
      </c>
      <c r="CH5" s="16">
        <v>3716500</v>
      </c>
      <c r="CI5" s="16">
        <v>118</v>
      </c>
      <c r="CJ5" s="16">
        <f>CI5/CC5*100</f>
        <v>13.363533408833522</v>
      </c>
      <c r="CK5" s="16">
        <f>AVERAGE(CJ2:CJ6)</f>
        <v>8.8891636096330409</v>
      </c>
      <c r="CL5" s="18">
        <v>44440</v>
      </c>
      <c r="CM5" s="16">
        <v>1021</v>
      </c>
      <c r="CN5" s="16">
        <v>1130</v>
      </c>
      <c r="CO5" s="16">
        <v>893</v>
      </c>
      <c r="CP5" s="16">
        <v>910</v>
      </c>
      <c r="CQ5" s="16">
        <v>910</v>
      </c>
      <c r="CR5" s="16">
        <v>4562600</v>
      </c>
      <c r="CS5" s="16">
        <v>-111</v>
      </c>
      <c r="CT5" s="16">
        <f>CS5/CM5*100</f>
        <v>-10.871694417238002</v>
      </c>
      <c r="CU5" s="16">
        <f>AVERAGE(CT2:CT6)</f>
        <v>-0.67229673809393908</v>
      </c>
      <c r="CV5" s="18">
        <v>44470</v>
      </c>
      <c r="CW5" s="16">
        <v>897</v>
      </c>
      <c r="CX5" s="16">
        <v>925</v>
      </c>
      <c r="CY5" s="16">
        <v>803</v>
      </c>
      <c r="CZ5" s="16">
        <v>827</v>
      </c>
      <c r="DA5" s="16">
        <v>827</v>
      </c>
      <c r="DB5" s="16">
        <v>3045600</v>
      </c>
      <c r="DC5" s="16">
        <v>-70</v>
      </c>
      <c r="DD5" s="16">
        <f>DC5/CW5*100</f>
        <v>-7.8037904124860642</v>
      </c>
      <c r="DE5" s="16">
        <f>AVERAGE(DD2:DD6)</f>
        <v>-0.90003531603077658</v>
      </c>
      <c r="DF5" s="18">
        <v>44501</v>
      </c>
      <c r="DG5" s="16">
        <v>839</v>
      </c>
      <c r="DH5" s="16">
        <v>913</v>
      </c>
      <c r="DI5" s="16">
        <v>714</v>
      </c>
      <c r="DJ5" s="16">
        <v>715</v>
      </c>
      <c r="DK5" s="16">
        <v>715</v>
      </c>
      <c r="DL5" s="16">
        <v>5540100</v>
      </c>
      <c r="DM5" s="16">
        <v>-124</v>
      </c>
      <c r="DN5" s="16">
        <f>DM5/DG5*100</f>
        <v>-14.779499404052443</v>
      </c>
      <c r="DO5" s="16">
        <f>AVERAGE(DN2:DN6)</f>
        <v>3.2692132413614572</v>
      </c>
      <c r="DP5" s="18">
        <v>44531</v>
      </c>
      <c r="DQ5" s="16">
        <v>728</v>
      </c>
      <c r="DR5" s="16">
        <v>778</v>
      </c>
      <c r="DS5" s="16">
        <v>685</v>
      </c>
      <c r="DT5" s="16">
        <v>748</v>
      </c>
      <c r="DU5" s="16">
        <v>748</v>
      </c>
      <c r="DV5" s="16">
        <v>4522100</v>
      </c>
      <c r="DW5" s="16">
        <v>20</v>
      </c>
      <c r="DX5" s="16">
        <f>DW5/DQ5*100</f>
        <v>2.7472527472527473</v>
      </c>
      <c r="DY5" s="16">
        <f>AVERAGE(DX2:DX6)</f>
        <v>2.4901092955277893</v>
      </c>
    </row>
    <row r="6" spans="1:129">
      <c r="A6" s="17">
        <v>43221</v>
      </c>
      <c r="B6" s="16">
        <v>473</v>
      </c>
      <c r="C6" s="16">
        <v>502</v>
      </c>
      <c r="D6" s="16">
        <v>463</v>
      </c>
      <c r="E6" s="16">
        <v>475</v>
      </c>
      <c r="F6" s="16">
        <v>475</v>
      </c>
      <c r="G6" s="16">
        <v>490300</v>
      </c>
      <c r="H6" s="16">
        <f t="shared" si="0"/>
        <v>2</v>
      </c>
      <c r="J6" s="18">
        <v>44565</v>
      </c>
      <c r="K6" s="16">
        <v>755</v>
      </c>
      <c r="L6" s="16">
        <v>774</v>
      </c>
      <c r="M6" s="16">
        <v>631</v>
      </c>
      <c r="N6" s="16">
        <v>647</v>
      </c>
      <c r="O6" s="16">
        <v>647</v>
      </c>
      <c r="P6" s="16">
        <v>3264200</v>
      </c>
      <c r="Q6" s="16">
        <v>-108</v>
      </c>
      <c r="R6" s="16">
        <f>Q6/K6*100</f>
        <v>-14.304635761589404</v>
      </c>
      <c r="S6" s="16">
        <f>MEDIAN(R2:R6)</f>
        <v>-11.80952380952381</v>
      </c>
      <c r="T6" s="18">
        <v>44593</v>
      </c>
      <c r="U6" s="16">
        <v>655</v>
      </c>
      <c r="V6" s="16">
        <v>681</v>
      </c>
      <c r="W6" s="16">
        <v>645</v>
      </c>
      <c r="X6" s="16">
        <v>680</v>
      </c>
      <c r="Y6" s="16">
        <v>680</v>
      </c>
      <c r="Z6" s="16">
        <v>1364800</v>
      </c>
      <c r="AA6" s="16">
        <v>25</v>
      </c>
      <c r="AB6" s="16">
        <f>AA6/U6*100</f>
        <v>3.8167938931297711</v>
      </c>
      <c r="AC6" s="16">
        <f>MEDIAN(AB2:AB6)</f>
        <v>1.5810276679841897</v>
      </c>
      <c r="AD6" s="18">
        <v>44621</v>
      </c>
      <c r="AE6" s="16">
        <v>682</v>
      </c>
      <c r="AF6" s="16">
        <v>719</v>
      </c>
      <c r="AG6" s="16">
        <v>590</v>
      </c>
      <c r="AH6" s="16">
        <v>694</v>
      </c>
      <c r="AI6" s="16">
        <v>694</v>
      </c>
      <c r="AJ6" s="16">
        <v>2953900</v>
      </c>
      <c r="AK6" s="16">
        <v>12</v>
      </c>
      <c r="AL6" s="16">
        <f>AK6/AE6*100</f>
        <v>1.7595307917888565</v>
      </c>
      <c r="AM6" s="16">
        <f>MEDIAN(AL2:AL6)</f>
        <v>1.7595307917888565</v>
      </c>
      <c r="AN6" s="18">
        <v>44652</v>
      </c>
      <c r="AO6" s="16">
        <v>685</v>
      </c>
      <c r="AP6" s="16">
        <v>719</v>
      </c>
      <c r="AQ6" s="16">
        <v>660</v>
      </c>
      <c r="AR6" s="16">
        <v>691</v>
      </c>
      <c r="AS6" s="16">
        <v>691</v>
      </c>
      <c r="AT6" s="16">
        <v>1505800</v>
      </c>
      <c r="AU6" s="16">
        <v>6</v>
      </c>
      <c r="AV6" s="16">
        <f>AU6/AO6*100</f>
        <v>0.87591240875912413</v>
      </c>
      <c r="AW6" s="16">
        <f>MEDIAN(AV2:AV6)</f>
        <v>2.4498886414253898</v>
      </c>
      <c r="AX6" s="18">
        <v>44683</v>
      </c>
      <c r="AY6" s="16">
        <v>681</v>
      </c>
      <c r="AZ6" s="16">
        <v>776</v>
      </c>
      <c r="BA6" s="16">
        <v>673</v>
      </c>
      <c r="BB6" s="16">
        <v>753</v>
      </c>
      <c r="BC6" s="16">
        <v>753</v>
      </c>
      <c r="BD6" s="16">
        <v>2704700</v>
      </c>
      <c r="BE6" s="16">
        <v>72</v>
      </c>
      <c r="BF6" s="16">
        <f>BE6/AY6*100</f>
        <v>10.572687224669604</v>
      </c>
      <c r="BG6" s="16">
        <f>MEDIAN(BF2:BF6)</f>
        <v>1.9867549668874174</v>
      </c>
      <c r="BH6" s="18">
        <v>44713</v>
      </c>
      <c r="BI6" s="16">
        <v>753</v>
      </c>
      <c r="BJ6" s="16">
        <v>839</v>
      </c>
      <c r="BK6" s="16">
        <v>725</v>
      </c>
      <c r="BL6" s="16">
        <v>750</v>
      </c>
      <c r="BM6" s="16">
        <v>750</v>
      </c>
      <c r="BN6" s="16">
        <v>2256800</v>
      </c>
      <c r="BO6" s="16">
        <v>-3</v>
      </c>
      <c r="BP6" s="16">
        <f>BO6/BI6*100</f>
        <v>-0.39840637450199201</v>
      </c>
      <c r="BQ6" s="16">
        <f>MEDIAN(BP2:BP6)</f>
        <v>3.1512605042016806</v>
      </c>
      <c r="BR6" s="18">
        <v>44743</v>
      </c>
      <c r="BS6" s="16">
        <v>750</v>
      </c>
      <c r="BT6" s="16">
        <v>750</v>
      </c>
      <c r="BU6" s="16">
        <v>701</v>
      </c>
      <c r="BV6" s="16">
        <v>704</v>
      </c>
      <c r="BW6" s="16">
        <v>704</v>
      </c>
      <c r="BX6" s="16">
        <v>1843400</v>
      </c>
      <c r="BY6" s="16">
        <v>-46</v>
      </c>
      <c r="BZ6" s="16">
        <f>BY6/BS6*100</f>
        <v>-6.1333333333333329</v>
      </c>
      <c r="CA6" s="16">
        <f>MEDIAN(BZ2:BZ6)</f>
        <v>-3.0303030303030303</v>
      </c>
      <c r="CB6" s="18">
        <v>44774</v>
      </c>
      <c r="CC6" s="16">
        <v>709</v>
      </c>
      <c r="CD6" s="16">
        <v>804</v>
      </c>
      <c r="CE6" s="16">
        <v>688</v>
      </c>
      <c r="CF6" s="16">
        <v>688</v>
      </c>
      <c r="CG6" s="16">
        <v>688</v>
      </c>
      <c r="CH6" s="16">
        <v>5162500</v>
      </c>
      <c r="CI6" s="16">
        <v>-21</v>
      </c>
      <c r="CJ6" s="16">
        <f>CI6/CC6*100</f>
        <v>-2.9619181946403383</v>
      </c>
      <c r="CK6" s="16">
        <f>MEDIAN(CJ2:CJ6)</f>
        <v>5.6768558951965069</v>
      </c>
      <c r="CL6" s="18">
        <v>44805</v>
      </c>
      <c r="CM6" s="16">
        <v>685</v>
      </c>
      <c r="CN6" s="16">
        <v>702</v>
      </c>
      <c r="CO6" s="16">
        <v>665</v>
      </c>
      <c r="CP6" s="16">
        <v>674</v>
      </c>
      <c r="CQ6" s="16">
        <v>674</v>
      </c>
      <c r="CR6" s="16">
        <v>1831000</v>
      </c>
      <c r="CS6" s="16">
        <v>-11</v>
      </c>
      <c r="CT6" s="16">
        <f>CS6/CM6*100</f>
        <v>-1.6058394160583942</v>
      </c>
      <c r="CU6" s="16">
        <f>MEDIAN(CT2:CT6)</f>
        <v>-0.82644628099173556</v>
      </c>
      <c r="CV6" s="18">
        <v>44837</v>
      </c>
      <c r="CW6" s="16">
        <v>669</v>
      </c>
      <c r="CX6" s="16">
        <v>687</v>
      </c>
      <c r="CY6" s="16">
        <v>653</v>
      </c>
      <c r="CZ6" s="16">
        <v>679</v>
      </c>
      <c r="DA6" s="16">
        <v>679</v>
      </c>
      <c r="DB6" s="16">
        <v>1420400</v>
      </c>
      <c r="DC6" s="16">
        <v>10</v>
      </c>
      <c r="DD6" s="16">
        <f>DC6/CW6*100</f>
        <v>1.4947683109118086</v>
      </c>
      <c r="DE6" s="16">
        <f>MEDIAN(DD2:DD6)</f>
        <v>-0.20790020790020791</v>
      </c>
      <c r="DF6" s="18">
        <v>44866</v>
      </c>
      <c r="DG6" s="16">
        <v>680</v>
      </c>
      <c r="DH6" s="16">
        <v>726</v>
      </c>
      <c r="DI6" s="16">
        <v>658</v>
      </c>
      <c r="DJ6" s="16">
        <v>704</v>
      </c>
      <c r="DK6" s="16">
        <v>704</v>
      </c>
      <c r="DL6" s="16">
        <v>3030500</v>
      </c>
      <c r="DM6" s="16">
        <v>24</v>
      </c>
      <c r="DN6" s="16">
        <f>DM6/DG6*100</f>
        <v>3.5294117647058822</v>
      </c>
      <c r="DO6" s="16">
        <f>MEDIAN(DN2:DN6)</f>
        <v>3.5294117647058822</v>
      </c>
      <c r="DP6" s="18">
        <v>44896</v>
      </c>
      <c r="DQ6" s="16">
        <v>717</v>
      </c>
      <c r="DR6" s="16">
        <v>717</v>
      </c>
      <c r="DS6" s="16">
        <v>681</v>
      </c>
      <c r="DT6" s="16">
        <v>709</v>
      </c>
      <c r="DU6" s="16">
        <v>709</v>
      </c>
      <c r="DV6" s="16">
        <v>1872500</v>
      </c>
      <c r="DW6" s="16">
        <v>-8</v>
      </c>
      <c r="DX6" s="16">
        <f>DW6/DQ6*100</f>
        <v>-1.1157601115760112</v>
      </c>
      <c r="DY6" s="16">
        <f>MEDIAN(DX2:DX6)</f>
        <v>2.7472527472527473</v>
      </c>
    </row>
    <row r="7" spans="1:129">
      <c r="A7" s="17">
        <v>43252</v>
      </c>
      <c r="B7" s="16">
        <v>479</v>
      </c>
      <c r="C7" s="16">
        <v>543</v>
      </c>
      <c r="D7" s="16">
        <v>472</v>
      </c>
      <c r="E7" s="16">
        <v>502</v>
      </c>
      <c r="F7" s="16">
        <v>502</v>
      </c>
      <c r="G7" s="16">
        <v>1593900</v>
      </c>
      <c r="H7" s="16">
        <f t="shared" si="0"/>
        <v>23</v>
      </c>
    </row>
    <row r="8" spans="1:129">
      <c r="A8" s="17">
        <v>43283</v>
      </c>
      <c r="B8" s="16">
        <v>502</v>
      </c>
      <c r="C8" s="16">
        <v>502</v>
      </c>
      <c r="D8" s="16">
        <v>450</v>
      </c>
      <c r="E8" s="16">
        <v>457</v>
      </c>
      <c r="F8" s="16">
        <v>457</v>
      </c>
      <c r="G8" s="16">
        <v>1285900</v>
      </c>
      <c r="H8" s="16">
        <f t="shared" si="0"/>
        <v>-45</v>
      </c>
    </row>
    <row r="9" spans="1:129">
      <c r="A9" s="17">
        <v>43313</v>
      </c>
      <c r="B9" s="16">
        <v>458</v>
      </c>
      <c r="C9" s="16">
        <v>485</v>
      </c>
      <c r="D9" s="16">
        <v>445</v>
      </c>
      <c r="E9" s="16">
        <v>484</v>
      </c>
      <c r="F9" s="16">
        <v>484</v>
      </c>
      <c r="G9" s="16">
        <v>2023500</v>
      </c>
      <c r="H9" s="16">
        <f t="shared" si="0"/>
        <v>26</v>
      </c>
    </row>
    <row r="10" spans="1:129">
      <c r="A10" s="17">
        <v>43346</v>
      </c>
      <c r="B10" s="16">
        <v>484</v>
      </c>
      <c r="C10" s="16">
        <v>484</v>
      </c>
      <c r="D10" s="16">
        <v>461</v>
      </c>
      <c r="E10" s="16">
        <v>480</v>
      </c>
      <c r="F10" s="16">
        <v>480</v>
      </c>
      <c r="G10" s="16">
        <v>708600</v>
      </c>
      <c r="H10" s="16">
        <f t="shared" si="0"/>
        <v>-4</v>
      </c>
    </row>
    <row r="11" spans="1:129">
      <c r="A11" s="17">
        <v>43374</v>
      </c>
      <c r="B11" s="16">
        <v>481</v>
      </c>
      <c r="C11" s="16">
        <v>485</v>
      </c>
      <c r="D11" s="16">
        <v>463</v>
      </c>
      <c r="E11" s="16">
        <v>480</v>
      </c>
      <c r="F11" s="16">
        <v>480</v>
      </c>
      <c r="G11" s="16">
        <v>779200</v>
      </c>
      <c r="H11" s="16">
        <f t="shared" si="0"/>
        <v>-1</v>
      </c>
    </row>
    <row r="12" spans="1:129">
      <c r="A12" s="17">
        <v>43405</v>
      </c>
      <c r="B12" s="16">
        <v>478</v>
      </c>
      <c r="C12" s="16">
        <v>481</v>
      </c>
      <c r="D12" s="16">
        <v>470</v>
      </c>
      <c r="E12" s="16">
        <v>478</v>
      </c>
      <c r="F12" s="16">
        <v>478</v>
      </c>
      <c r="G12" s="16">
        <v>530300</v>
      </c>
      <c r="H12" s="16">
        <f t="shared" si="0"/>
        <v>0</v>
      </c>
    </row>
    <row r="13" spans="1:129">
      <c r="A13" s="17">
        <v>43437</v>
      </c>
      <c r="B13" s="16">
        <v>480</v>
      </c>
      <c r="C13" s="16">
        <v>480</v>
      </c>
      <c r="D13" s="16">
        <v>390</v>
      </c>
      <c r="E13" s="16">
        <v>466</v>
      </c>
      <c r="F13" s="16">
        <v>466</v>
      </c>
      <c r="G13" s="16">
        <v>1119500</v>
      </c>
      <c r="H13" s="16">
        <f t="shared" si="0"/>
        <v>-14</v>
      </c>
    </row>
    <row r="14" spans="1:129">
      <c r="A14" s="17">
        <v>43469</v>
      </c>
      <c r="B14" s="16">
        <v>466</v>
      </c>
      <c r="C14" s="16">
        <v>491</v>
      </c>
      <c r="D14" s="16">
        <v>417</v>
      </c>
      <c r="E14" s="16">
        <v>419</v>
      </c>
      <c r="F14" s="16">
        <v>419</v>
      </c>
      <c r="G14" s="16">
        <v>1754100</v>
      </c>
      <c r="H14" s="16">
        <f t="shared" si="0"/>
        <v>-47</v>
      </c>
    </row>
    <row r="15" spans="1:129">
      <c r="A15" s="17">
        <v>43497</v>
      </c>
      <c r="B15" s="16">
        <v>418</v>
      </c>
      <c r="C15" s="16">
        <v>440</v>
      </c>
      <c r="D15" s="16">
        <v>416</v>
      </c>
      <c r="E15" s="16">
        <v>431</v>
      </c>
      <c r="F15" s="16">
        <v>431</v>
      </c>
      <c r="G15" s="16">
        <v>417100</v>
      </c>
      <c r="H15" s="16">
        <f t="shared" si="0"/>
        <v>13</v>
      </c>
    </row>
    <row r="16" spans="1:129">
      <c r="A16" s="17">
        <v>43525</v>
      </c>
      <c r="B16" s="16">
        <v>430</v>
      </c>
      <c r="C16" s="16">
        <v>475</v>
      </c>
      <c r="D16" s="16">
        <v>428</v>
      </c>
      <c r="E16" s="16">
        <v>448</v>
      </c>
      <c r="F16" s="16">
        <v>448</v>
      </c>
      <c r="G16" s="16">
        <v>655100</v>
      </c>
      <c r="H16" s="16">
        <f t="shared" si="0"/>
        <v>18</v>
      </c>
    </row>
    <row r="17" spans="1:8">
      <c r="A17" s="17">
        <v>43556</v>
      </c>
      <c r="B17" s="16">
        <v>449</v>
      </c>
      <c r="C17" s="16">
        <v>464</v>
      </c>
      <c r="D17" s="16">
        <v>442</v>
      </c>
      <c r="E17" s="16">
        <v>460</v>
      </c>
      <c r="F17" s="16">
        <v>460</v>
      </c>
      <c r="G17" s="16">
        <v>310500</v>
      </c>
      <c r="H17" s="16">
        <f t="shared" si="0"/>
        <v>11</v>
      </c>
    </row>
    <row r="18" spans="1:8">
      <c r="A18" s="17">
        <v>43592</v>
      </c>
      <c r="B18" s="16">
        <v>453</v>
      </c>
      <c r="C18" s="16">
        <v>490</v>
      </c>
      <c r="D18" s="16">
        <v>447</v>
      </c>
      <c r="E18" s="16">
        <v>462</v>
      </c>
      <c r="F18" s="16">
        <v>462</v>
      </c>
      <c r="G18" s="16">
        <v>485900</v>
      </c>
      <c r="H18" s="16">
        <f t="shared" si="0"/>
        <v>9</v>
      </c>
    </row>
    <row r="19" spans="1:8">
      <c r="A19" s="17">
        <v>43619</v>
      </c>
      <c r="B19" s="16">
        <v>457</v>
      </c>
      <c r="C19" s="16">
        <v>471</v>
      </c>
      <c r="D19" s="16">
        <v>451</v>
      </c>
      <c r="E19" s="16">
        <v>458</v>
      </c>
      <c r="F19" s="16">
        <v>458</v>
      </c>
      <c r="G19" s="16">
        <v>274700</v>
      </c>
      <c r="H19" s="16">
        <f t="shared" si="0"/>
        <v>1</v>
      </c>
    </row>
    <row r="20" spans="1:8">
      <c r="A20" s="17">
        <v>43647</v>
      </c>
      <c r="B20" s="16">
        <v>459</v>
      </c>
      <c r="C20" s="16">
        <v>470</v>
      </c>
      <c r="D20" s="16">
        <v>450</v>
      </c>
      <c r="E20" s="16">
        <v>452</v>
      </c>
      <c r="F20" s="16">
        <v>452</v>
      </c>
      <c r="G20" s="16">
        <v>598100</v>
      </c>
      <c r="H20" s="16">
        <f t="shared" si="0"/>
        <v>-7</v>
      </c>
    </row>
    <row r="21" spans="1:8">
      <c r="A21" s="17">
        <v>43678</v>
      </c>
      <c r="B21" s="16">
        <v>454</v>
      </c>
      <c r="C21" s="16">
        <v>463</v>
      </c>
      <c r="D21" s="16">
        <v>440</v>
      </c>
      <c r="E21" s="16">
        <v>454</v>
      </c>
      <c r="F21" s="16">
        <v>454</v>
      </c>
      <c r="G21" s="16">
        <v>389500</v>
      </c>
      <c r="H21" s="16">
        <f t="shared" si="0"/>
        <v>0</v>
      </c>
    </row>
    <row r="22" spans="1:8">
      <c r="A22" s="17">
        <v>43710</v>
      </c>
      <c r="B22" s="16">
        <v>454</v>
      </c>
      <c r="C22" s="16">
        <v>465</v>
      </c>
      <c r="D22" s="16">
        <v>447</v>
      </c>
      <c r="E22" s="16">
        <v>461</v>
      </c>
      <c r="F22" s="16">
        <v>461</v>
      </c>
      <c r="G22" s="16">
        <v>289200</v>
      </c>
      <c r="H22" s="16">
        <f t="shared" si="0"/>
        <v>7</v>
      </c>
    </row>
    <row r="23" spans="1:8">
      <c r="A23" s="17">
        <v>43739</v>
      </c>
      <c r="B23" s="16">
        <v>462</v>
      </c>
      <c r="C23" s="16">
        <v>483</v>
      </c>
      <c r="D23" s="16">
        <v>458</v>
      </c>
      <c r="E23" s="16">
        <v>481</v>
      </c>
      <c r="F23" s="16">
        <v>481</v>
      </c>
      <c r="G23" s="16">
        <v>364600</v>
      </c>
      <c r="H23" s="16">
        <f t="shared" si="0"/>
        <v>19</v>
      </c>
    </row>
    <row r="24" spans="1:8">
      <c r="A24" s="17">
        <v>43770</v>
      </c>
      <c r="B24" s="16">
        <v>480</v>
      </c>
      <c r="C24" s="16">
        <v>504</v>
      </c>
      <c r="D24" s="16">
        <v>479</v>
      </c>
      <c r="E24" s="16">
        <v>498</v>
      </c>
      <c r="F24" s="16">
        <v>498</v>
      </c>
      <c r="G24" s="16">
        <v>689200</v>
      </c>
      <c r="H24" s="16">
        <f t="shared" si="0"/>
        <v>18</v>
      </c>
    </row>
    <row r="25" spans="1:8">
      <c r="A25" s="17">
        <v>43801</v>
      </c>
      <c r="B25" s="16">
        <v>502</v>
      </c>
      <c r="C25" s="16">
        <v>522</v>
      </c>
      <c r="D25" s="16">
        <v>499</v>
      </c>
      <c r="E25" s="16">
        <v>521</v>
      </c>
      <c r="F25" s="16">
        <v>521</v>
      </c>
      <c r="G25" s="16">
        <v>935300</v>
      </c>
      <c r="H25" s="16">
        <f t="shared" si="0"/>
        <v>19</v>
      </c>
    </row>
    <row r="26" spans="1:8">
      <c r="A26" s="17">
        <v>43836</v>
      </c>
      <c r="B26" s="16">
        <v>525</v>
      </c>
      <c r="C26" s="16">
        <v>533</v>
      </c>
      <c r="D26" s="16">
        <v>461</v>
      </c>
      <c r="E26" s="16">
        <v>463</v>
      </c>
      <c r="F26" s="16">
        <v>463</v>
      </c>
      <c r="G26" s="16">
        <v>2711300</v>
      </c>
      <c r="H26" s="16">
        <f t="shared" si="0"/>
        <v>-62</v>
      </c>
    </row>
    <row r="27" spans="1:8">
      <c r="A27" s="17">
        <v>43864</v>
      </c>
      <c r="B27" s="16">
        <v>453</v>
      </c>
      <c r="C27" s="16">
        <v>475</v>
      </c>
      <c r="D27" s="16">
        <v>404</v>
      </c>
      <c r="E27" s="16">
        <v>405</v>
      </c>
      <c r="F27" s="16">
        <v>405</v>
      </c>
      <c r="G27" s="16">
        <v>574600</v>
      </c>
      <c r="H27" s="16">
        <f t="shared" si="0"/>
        <v>-48</v>
      </c>
    </row>
    <row r="28" spans="1:8">
      <c r="A28" s="17">
        <v>43892</v>
      </c>
      <c r="B28" s="16">
        <v>403</v>
      </c>
      <c r="C28" s="16">
        <v>448</v>
      </c>
      <c r="D28" s="16">
        <v>350</v>
      </c>
      <c r="E28" s="16">
        <v>433</v>
      </c>
      <c r="F28" s="16">
        <v>433</v>
      </c>
      <c r="G28" s="16">
        <v>1250500</v>
      </c>
      <c r="H28" s="16">
        <f t="shared" si="0"/>
        <v>30</v>
      </c>
    </row>
    <row r="29" spans="1:8">
      <c r="A29" s="17">
        <v>43922</v>
      </c>
      <c r="B29" s="16">
        <v>434</v>
      </c>
      <c r="C29" s="16">
        <v>515</v>
      </c>
      <c r="D29" s="16">
        <v>378</v>
      </c>
      <c r="E29" s="16">
        <v>465</v>
      </c>
      <c r="F29" s="16">
        <v>465</v>
      </c>
      <c r="G29" s="16">
        <v>1734600</v>
      </c>
      <c r="H29" s="16">
        <f t="shared" si="0"/>
        <v>31</v>
      </c>
    </row>
    <row r="30" spans="1:8">
      <c r="A30" s="17">
        <v>43952</v>
      </c>
      <c r="B30" s="16">
        <v>466</v>
      </c>
      <c r="C30" s="16">
        <v>510</v>
      </c>
      <c r="D30" s="16">
        <v>459</v>
      </c>
      <c r="E30" s="16">
        <v>471</v>
      </c>
      <c r="F30" s="16">
        <v>471</v>
      </c>
      <c r="G30" s="16">
        <v>750100</v>
      </c>
      <c r="H30" s="16">
        <f t="shared" si="0"/>
        <v>5</v>
      </c>
    </row>
    <row r="31" spans="1:8">
      <c r="A31" s="17">
        <v>43983</v>
      </c>
      <c r="B31" s="16">
        <v>476</v>
      </c>
      <c r="C31" s="16">
        <v>501</v>
      </c>
      <c r="D31" s="16">
        <v>462</v>
      </c>
      <c r="E31" s="16">
        <v>491</v>
      </c>
      <c r="F31" s="16">
        <v>491</v>
      </c>
      <c r="G31" s="16">
        <v>776700</v>
      </c>
      <c r="H31" s="16">
        <f t="shared" si="0"/>
        <v>15</v>
      </c>
    </row>
    <row r="32" spans="1:8">
      <c r="A32" s="17">
        <v>44013</v>
      </c>
      <c r="B32" s="16">
        <v>495</v>
      </c>
      <c r="C32" s="16">
        <v>499</v>
      </c>
      <c r="D32" s="16">
        <v>478</v>
      </c>
      <c r="E32" s="16">
        <v>480</v>
      </c>
      <c r="F32" s="16">
        <v>480</v>
      </c>
      <c r="G32" s="16">
        <v>987100</v>
      </c>
      <c r="H32" s="16">
        <f t="shared" si="0"/>
        <v>-15</v>
      </c>
    </row>
    <row r="33" spans="1:8">
      <c r="A33" s="17">
        <v>44046</v>
      </c>
      <c r="B33" s="16">
        <v>490</v>
      </c>
      <c r="C33" s="16">
        <v>727</v>
      </c>
      <c r="D33" s="16">
        <v>484</v>
      </c>
      <c r="E33" s="16">
        <v>629</v>
      </c>
      <c r="F33" s="16">
        <v>629</v>
      </c>
      <c r="G33" s="16">
        <v>4754200</v>
      </c>
      <c r="H33" s="16">
        <f t="shared" si="0"/>
        <v>139</v>
      </c>
    </row>
    <row r="34" spans="1:8">
      <c r="A34" s="17">
        <v>44075</v>
      </c>
      <c r="B34" s="16">
        <v>619</v>
      </c>
      <c r="C34" s="16">
        <v>684</v>
      </c>
      <c r="D34" s="16">
        <v>594</v>
      </c>
      <c r="E34" s="16">
        <v>671</v>
      </c>
      <c r="F34" s="16">
        <v>671</v>
      </c>
      <c r="G34" s="16">
        <v>1861500</v>
      </c>
      <c r="H34" s="16">
        <f t="shared" ref="H34:H61" si="1">E34-B34</f>
        <v>52</v>
      </c>
    </row>
    <row r="35" spans="1:8">
      <c r="A35" s="17">
        <v>44106</v>
      </c>
      <c r="B35" s="16">
        <v>668</v>
      </c>
      <c r="C35" s="16">
        <v>739</v>
      </c>
      <c r="D35" s="16">
        <v>642</v>
      </c>
      <c r="E35" s="16">
        <v>654</v>
      </c>
      <c r="F35" s="16">
        <v>654</v>
      </c>
      <c r="G35" s="16">
        <v>1314100</v>
      </c>
      <c r="H35" s="16">
        <f t="shared" si="1"/>
        <v>-14</v>
      </c>
    </row>
    <row r="36" spans="1:8">
      <c r="A36" s="17">
        <v>44137</v>
      </c>
      <c r="B36" s="16">
        <v>650</v>
      </c>
      <c r="C36" s="16">
        <v>968</v>
      </c>
      <c r="D36" s="16">
        <v>640</v>
      </c>
      <c r="E36" s="16">
        <v>805</v>
      </c>
      <c r="F36" s="16">
        <v>805</v>
      </c>
      <c r="G36" s="16">
        <v>4802200</v>
      </c>
      <c r="H36" s="16">
        <f t="shared" si="1"/>
        <v>155</v>
      </c>
    </row>
    <row r="37" spans="1:8">
      <c r="A37" s="17">
        <v>44166</v>
      </c>
      <c r="B37" s="16">
        <v>814</v>
      </c>
      <c r="C37" s="16">
        <v>907</v>
      </c>
      <c r="D37" s="16">
        <v>765</v>
      </c>
      <c r="E37" s="16">
        <v>895</v>
      </c>
      <c r="F37" s="16">
        <v>895</v>
      </c>
      <c r="G37" s="16">
        <v>3974100</v>
      </c>
      <c r="H37" s="16">
        <f t="shared" si="1"/>
        <v>81</v>
      </c>
    </row>
    <row r="38" spans="1:8">
      <c r="A38" s="17">
        <v>44200</v>
      </c>
      <c r="B38" s="16">
        <v>899</v>
      </c>
      <c r="C38" s="16">
        <v>902</v>
      </c>
      <c r="D38" s="16">
        <v>763</v>
      </c>
      <c r="E38" s="16">
        <v>763</v>
      </c>
      <c r="F38" s="16">
        <v>763</v>
      </c>
      <c r="G38" s="16">
        <v>4868400</v>
      </c>
      <c r="H38" s="16">
        <f t="shared" si="1"/>
        <v>-136</v>
      </c>
    </row>
    <row r="39" spans="1:8">
      <c r="A39" s="17">
        <v>44228</v>
      </c>
      <c r="B39" s="16">
        <v>759</v>
      </c>
      <c r="C39" s="16">
        <v>827</v>
      </c>
      <c r="D39" s="16">
        <v>740</v>
      </c>
      <c r="E39" s="16">
        <v>771</v>
      </c>
      <c r="F39" s="16">
        <v>771</v>
      </c>
      <c r="G39" s="16">
        <v>2102600</v>
      </c>
      <c r="H39" s="16">
        <f t="shared" si="1"/>
        <v>12</v>
      </c>
    </row>
    <row r="40" spans="1:8">
      <c r="A40" s="17">
        <v>44256</v>
      </c>
      <c r="B40" s="16">
        <v>770</v>
      </c>
      <c r="C40" s="16">
        <v>794</v>
      </c>
      <c r="D40" s="16">
        <v>670</v>
      </c>
      <c r="E40" s="16">
        <v>764</v>
      </c>
      <c r="F40" s="16">
        <v>764</v>
      </c>
      <c r="G40" s="16">
        <v>2799600</v>
      </c>
      <c r="H40" s="16">
        <f t="shared" si="1"/>
        <v>-6</v>
      </c>
    </row>
    <row r="41" spans="1:8">
      <c r="A41" s="17">
        <v>44287</v>
      </c>
      <c r="B41" s="16">
        <v>764</v>
      </c>
      <c r="C41" s="16">
        <v>786</v>
      </c>
      <c r="D41" s="16">
        <v>742</v>
      </c>
      <c r="E41" s="16">
        <v>742</v>
      </c>
      <c r="F41" s="16">
        <v>742</v>
      </c>
      <c r="G41" s="16">
        <v>823100</v>
      </c>
      <c r="H41" s="16">
        <f t="shared" si="1"/>
        <v>-22</v>
      </c>
    </row>
    <row r="42" spans="1:8">
      <c r="A42" s="17">
        <v>44322</v>
      </c>
      <c r="B42" s="16">
        <v>744</v>
      </c>
      <c r="C42" s="16">
        <v>882</v>
      </c>
      <c r="D42" s="16">
        <v>726</v>
      </c>
      <c r="E42" s="16">
        <v>787</v>
      </c>
      <c r="F42" s="16">
        <v>787</v>
      </c>
      <c r="G42" s="16">
        <v>1827800</v>
      </c>
      <c r="H42" s="16">
        <f t="shared" si="1"/>
        <v>43</v>
      </c>
    </row>
    <row r="43" spans="1:8">
      <c r="A43" s="17">
        <v>44348</v>
      </c>
      <c r="B43" s="16">
        <v>794</v>
      </c>
      <c r="C43" s="16">
        <v>839</v>
      </c>
      <c r="D43" s="16">
        <v>770</v>
      </c>
      <c r="E43" s="16">
        <v>826</v>
      </c>
      <c r="F43" s="16">
        <v>826</v>
      </c>
      <c r="G43" s="16">
        <v>1043600</v>
      </c>
      <c r="H43" s="16">
        <f t="shared" si="1"/>
        <v>32</v>
      </c>
    </row>
    <row r="44" spans="1:8">
      <c r="A44" s="17">
        <v>44378</v>
      </c>
      <c r="B44" s="16">
        <v>827</v>
      </c>
      <c r="C44" s="16">
        <v>908</v>
      </c>
      <c r="D44" s="16">
        <v>819</v>
      </c>
      <c r="E44" s="16">
        <v>880</v>
      </c>
      <c r="F44" s="16">
        <v>880</v>
      </c>
      <c r="G44" s="16">
        <v>1955700</v>
      </c>
      <c r="H44" s="16">
        <f t="shared" si="1"/>
        <v>53</v>
      </c>
    </row>
    <row r="45" spans="1:8">
      <c r="A45" s="17">
        <v>44410</v>
      </c>
      <c r="B45" s="16">
        <v>883</v>
      </c>
      <c r="C45" s="16">
        <v>1180</v>
      </c>
      <c r="D45" s="16">
        <v>883</v>
      </c>
      <c r="E45" s="16">
        <v>1001</v>
      </c>
      <c r="F45" s="16">
        <v>1001</v>
      </c>
      <c r="G45" s="16">
        <v>3716500</v>
      </c>
      <c r="H45" s="16">
        <f t="shared" si="1"/>
        <v>118</v>
      </c>
    </row>
    <row r="46" spans="1:8">
      <c r="A46" s="17">
        <v>44440</v>
      </c>
      <c r="B46" s="16">
        <v>1021</v>
      </c>
      <c r="C46" s="16">
        <v>1130</v>
      </c>
      <c r="D46" s="16">
        <v>893</v>
      </c>
      <c r="E46" s="16">
        <v>910</v>
      </c>
      <c r="F46" s="16">
        <v>910</v>
      </c>
      <c r="G46" s="16">
        <v>4562600</v>
      </c>
      <c r="H46" s="16">
        <f t="shared" si="1"/>
        <v>-111</v>
      </c>
    </row>
    <row r="47" spans="1:8">
      <c r="A47" s="17">
        <v>44470</v>
      </c>
      <c r="B47" s="16">
        <v>897</v>
      </c>
      <c r="C47" s="16">
        <v>925</v>
      </c>
      <c r="D47" s="16">
        <v>803</v>
      </c>
      <c r="E47" s="16">
        <v>827</v>
      </c>
      <c r="F47" s="16">
        <v>827</v>
      </c>
      <c r="G47" s="16">
        <v>3045600</v>
      </c>
      <c r="H47" s="16">
        <f t="shared" si="1"/>
        <v>-70</v>
      </c>
    </row>
    <row r="48" spans="1:8">
      <c r="A48" s="17">
        <v>44501</v>
      </c>
      <c r="B48" s="16">
        <v>839</v>
      </c>
      <c r="C48" s="16">
        <v>913</v>
      </c>
      <c r="D48" s="16">
        <v>714</v>
      </c>
      <c r="E48" s="16">
        <v>715</v>
      </c>
      <c r="F48" s="16">
        <v>715</v>
      </c>
      <c r="G48" s="16">
        <v>5540100</v>
      </c>
      <c r="H48" s="16">
        <f t="shared" si="1"/>
        <v>-124</v>
      </c>
    </row>
    <row r="49" spans="1:8">
      <c r="A49" s="17">
        <v>44531</v>
      </c>
      <c r="B49" s="16">
        <v>728</v>
      </c>
      <c r="C49" s="16">
        <v>778</v>
      </c>
      <c r="D49" s="16">
        <v>685</v>
      </c>
      <c r="E49" s="16">
        <v>748</v>
      </c>
      <c r="F49" s="16">
        <v>748</v>
      </c>
      <c r="G49" s="16">
        <v>4522100</v>
      </c>
      <c r="H49" s="16">
        <f t="shared" si="1"/>
        <v>20</v>
      </c>
    </row>
    <row r="50" spans="1:8">
      <c r="A50" s="17">
        <v>44565</v>
      </c>
      <c r="B50" s="16">
        <v>755</v>
      </c>
      <c r="C50" s="16">
        <v>774</v>
      </c>
      <c r="D50" s="16">
        <v>631</v>
      </c>
      <c r="E50" s="16">
        <v>647</v>
      </c>
      <c r="F50" s="16">
        <v>647</v>
      </c>
      <c r="G50" s="16">
        <v>3264200</v>
      </c>
      <c r="H50" s="16">
        <f t="shared" si="1"/>
        <v>-108</v>
      </c>
    </row>
    <row r="51" spans="1:8">
      <c r="A51" s="17">
        <v>44593</v>
      </c>
      <c r="B51" s="16">
        <v>655</v>
      </c>
      <c r="C51" s="16">
        <v>681</v>
      </c>
      <c r="D51" s="16">
        <v>645</v>
      </c>
      <c r="E51" s="16">
        <v>680</v>
      </c>
      <c r="F51" s="16">
        <v>680</v>
      </c>
      <c r="G51" s="16">
        <v>1364800</v>
      </c>
      <c r="H51" s="16">
        <f t="shared" si="1"/>
        <v>25</v>
      </c>
    </row>
    <row r="52" spans="1:8">
      <c r="A52" s="17">
        <v>44621</v>
      </c>
      <c r="B52" s="16">
        <v>682</v>
      </c>
      <c r="C52" s="16">
        <v>719</v>
      </c>
      <c r="D52" s="16">
        <v>590</v>
      </c>
      <c r="E52" s="16">
        <v>694</v>
      </c>
      <c r="F52" s="16">
        <v>694</v>
      </c>
      <c r="G52" s="16">
        <v>2953900</v>
      </c>
      <c r="H52" s="16">
        <f t="shared" si="1"/>
        <v>12</v>
      </c>
    </row>
    <row r="53" spans="1:8">
      <c r="A53" s="17">
        <v>44652</v>
      </c>
      <c r="B53" s="16">
        <v>685</v>
      </c>
      <c r="C53" s="16">
        <v>719</v>
      </c>
      <c r="D53" s="16">
        <v>660</v>
      </c>
      <c r="E53" s="16">
        <v>691</v>
      </c>
      <c r="F53" s="16">
        <v>691</v>
      </c>
      <c r="G53" s="16">
        <v>1505800</v>
      </c>
      <c r="H53" s="16">
        <f t="shared" si="1"/>
        <v>6</v>
      </c>
    </row>
    <row r="54" spans="1:8">
      <c r="A54" s="17">
        <v>44683</v>
      </c>
      <c r="B54" s="16">
        <v>681</v>
      </c>
      <c r="C54" s="16">
        <v>776</v>
      </c>
      <c r="D54" s="16">
        <v>673</v>
      </c>
      <c r="E54" s="16">
        <v>753</v>
      </c>
      <c r="F54" s="16">
        <v>753</v>
      </c>
      <c r="G54" s="16">
        <v>2704700</v>
      </c>
      <c r="H54" s="16">
        <f t="shared" si="1"/>
        <v>72</v>
      </c>
    </row>
    <row r="55" spans="1:8">
      <c r="A55" s="17">
        <v>44713</v>
      </c>
      <c r="B55" s="16">
        <v>753</v>
      </c>
      <c r="C55" s="16">
        <v>839</v>
      </c>
      <c r="D55" s="16">
        <v>725</v>
      </c>
      <c r="E55" s="16">
        <v>750</v>
      </c>
      <c r="F55" s="16">
        <v>750</v>
      </c>
      <c r="G55" s="16">
        <v>2256800</v>
      </c>
      <c r="H55" s="16">
        <f t="shared" si="1"/>
        <v>-3</v>
      </c>
    </row>
    <row r="56" spans="1:8">
      <c r="A56" s="17">
        <v>44743</v>
      </c>
      <c r="B56" s="16">
        <v>750</v>
      </c>
      <c r="C56" s="16">
        <v>750</v>
      </c>
      <c r="D56" s="16">
        <v>701</v>
      </c>
      <c r="E56" s="16">
        <v>704</v>
      </c>
      <c r="F56" s="16">
        <v>704</v>
      </c>
      <c r="G56" s="16">
        <v>1843400</v>
      </c>
      <c r="H56" s="16">
        <f t="shared" si="1"/>
        <v>-46</v>
      </c>
    </row>
    <row r="57" spans="1:8">
      <c r="A57" s="17">
        <v>44774</v>
      </c>
      <c r="B57" s="16">
        <v>709</v>
      </c>
      <c r="C57" s="16">
        <v>804</v>
      </c>
      <c r="D57" s="16">
        <v>688</v>
      </c>
      <c r="E57" s="16">
        <v>688</v>
      </c>
      <c r="F57" s="16">
        <v>688</v>
      </c>
      <c r="G57" s="16">
        <v>5162500</v>
      </c>
      <c r="H57" s="16">
        <f t="shared" si="1"/>
        <v>-21</v>
      </c>
    </row>
    <row r="58" spans="1:8">
      <c r="A58" s="17">
        <v>44805</v>
      </c>
      <c r="B58" s="16">
        <v>685</v>
      </c>
      <c r="C58" s="16">
        <v>702</v>
      </c>
      <c r="D58" s="16">
        <v>665</v>
      </c>
      <c r="E58" s="16">
        <v>674</v>
      </c>
      <c r="F58" s="16">
        <v>674</v>
      </c>
      <c r="G58" s="16">
        <v>1831000</v>
      </c>
      <c r="H58" s="16">
        <f t="shared" si="1"/>
        <v>-11</v>
      </c>
    </row>
    <row r="59" spans="1:8">
      <c r="A59" s="17">
        <v>44837</v>
      </c>
      <c r="B59" s="16">
        <v>669</v>
      </c>
      <c r="C59" s="16">
        <v>687</v>
      </c>
      <c r="D59" s="16">
        <v>653</v>
      </c>
      <c r="E59" s="16">
        <v>679</v>
      </c>
      <c r="F59" s="16">
        <v>679</v>
      </c>
      <c r="G59" s="16">
        <v>1420400</v>
      </c>
      <c r="H59" s="16">
        <f t="shared" si="1"/>
        <v>10</v>
      </c>
    </row>
    <row r="60" spans="1:8">
      <c r="A60" s="17">
        <v>44866</v>
      </c>
      <c r="B60" s="16">
        <v>680</v>
      </c>
      <c r="C60" s="16">
        <v>726</v>
      </c>
      <c r="D60" s="16">
        <v>658</v>
      </c>
      <c r="E60" s="16">
        <v>704</v>
      </c>
      <c r="F60" s="16">
        <v>704</v>
      </c>
      <c r="G60" s="16">
        <v>3030500</v>
      </c>
      <c r="H60" s="16">
        <f t="shared" si="1"/>
        <v>24</v>
      </c>
    </row>
    <row r="61" spans="1:8">
      <c r="A61" s="17">
        <v>44896</v>
      </c>
      <c r="B61" s="16">
        <v>717</v>
      </c>
      <c r="C61" s="16">
        <v>717</v>
      </c>
      <c r="D61" s="16">
        <v>681</v>
      </c>
      <c r="E61" s="16">
        <v>709</v>
      </c>
      <c r="F61" s="16">
        <v>709</v>
      </c>
      <c r="G61" s="16">
        <v>1872500</v>
      </c>
      <c r="H61" s="16">
        <f t="shared" si="1"/>
        <v>-8</v>
      </c>
    </row>
  </sheetData>
  <phoneticPr fontId="32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BF800-D867-474F-A185-F30335AB8836}">
  <sheetPr codeName="Sheet24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1445</v>
      </c>
      <c r="C2" s="16">
        <v>1458</v>
      </c>
      <c r="D2" s="16">
        <v>1386</v>
      </c>
      <c r="E2" s="16">
        <v>1386</v>
      </c>
      <c r="F2" s="16">
        <v>1386</v>
      </c>
      <c r="G2" s="16">
        <v>607000</v>
      </c>
      <c r="H2" s="16">
        <f t="shared" ref="H2:H33" si="0">E2-B2</f>
        <v>-59</v>
      </c>
      <c r="J2" s="18" cm="1">
        <f t="array" ref="J2:Q6">_xlfn._xlws.FILTER(A2:H61,MONTH(A2:A61)=1,"")</f>
        <v>43104</v>
      </c>
      <c r="K2" s="16">
        <v>1445</v>
      </c>
      <c r="L2" s="16">
        <v>1458</v>
      </c>
      <c r="M2" s="16">
        <v>1386</v>
      </c>
      <c r="N2" s="16">
        <v>1386</v>
      </c>
      <c r="O2" s="16">
        <v>1386</v>
      </c>
      <c r="P2" s="16">
        <v>607000</v>
      </c>
      <c r="Q2" s="16">
        <v>-59</v>
      </c>
      <c r="R2" s="16">
        <f>Q2/K2*100</f>
        <v>-4.0830449826989623</v>
      </c>
      <c r="S2" s="16">
        <f>COUNT(Q2:Q6)</f>
        <v>5</v>
      </c>
      <c r="T2" s="18" cm="1">
        <f t="array" ref="T2:AA6">_xlfn._xlws.FILTER(A2:H61,MONTH(A2:A61)=2,"")</f>
        <v>43132</v>
      </c>
      <c r="U2" s="16">
        <v>1387</v>
      </c>
      <c r="V2" s="16">
        <v>1400</v>
      </c>
      <c r="W2" s="16">
        <v>1300</v>
      </c>
      <c r="X2" s="16">
        <v>1381</v>
      </c>
      <c r="Y2" s="16">
        <v>1381</v>
      </c>
      <c r="Z2" s="16">
        <v>191300</v>
      </c>
      <c r="AA2" s="16">
        <v>-6</v>
      </c>
      <c r="AB2" s="16">
        <f>AA2/U2*100</f>
        <v>-0.43258832011535686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1371</v>
      </c>
      <c r="AF2" s="16">
        <v>1437</v>
      </c>
      <c r="AG2" s="16">
        <v>1321</v>
      </c>
      <c r="AH2" s="16">
        <v>1370</v>
      </c>
      <c r="AI2" s="16">
        <v>1370</v>
      </c>
      <c r="AJ2" s="16">
        <v>247100</v>
      </c>
      <c r="AK2" s="16">
        <v>-1</v>
      </c>
      <c r="AL2" s="16">
        <f>AK2/AE2*100</f>
        <v>-7.2939460247994164E-2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1385</v>
      </c>
      <c r="AP2" s="16">
        <v>1405</v>
      </c>
      <c r="AQ2" s="16">
        <v>1371</v>
      </c>
      <c r="AR2" s="16">
        <v>1392</v>
      </c>
      <c r="AS2" s="16">
        <v>1392</v>
      </c>
      <c r="AT2" s="16">
        <v>106000</v>
      </c>
      <c r="AU2" s="16">
        <v>7</v>
      </c>
      <c r="AV2" s="16">
        <f>AU2/AO2*100</f>
        <v>0.50541516245487361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1398</v>
      </c>
      <c r="AZ2" s="16">
        <v>1427</v>
      </c>
      <c r="BA2" s="16">
        <v>1391</v>
      </c>
      <c r="BB2" s="16">
        <v>1406</v>
      </c>
      <c r="BC2" s="16">
        <v>1406</v>
      </c>
      <c r="BD2" s="16">
        <v>82700</v>
      </c>
      <c r="BE2" s="16">
        <v>8</v>
      </c>
      <c r="BF2" s="16">
        <f>BE2/AY2*100</f>
        <v>0.57224606580829751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1400</v>
      </c>
      <c r="BJ2" s="16">
        <v>1489</v>
      </c>
      <c r="BK2" s="16">
        <v>1398</v>
      </c>
      <c r="BL2" s="16">
        <v>1421</v>
      </c>
      <c r="BM2" s="16">
        <v>1421</v>
      </c>
      <c r="BN2" s="16">
        <v>246600</v>
      </c>
      <c r="BO2" s="16">
        <v>21</v>
      </c>
      <c r="BP2" s="16">
        <f>BO2/BI2*100</f>
        <v>1.5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1416</v>
      </c>
      <c r="BT2" s="16">
        <v>1458</v>
      </c>
      <c r="BU2" s="16">
        <v>1380</v>
      </c>
      <c r="BV2" s="16">
        <v>1384</v>
      </c>
      <c r="BW2" s="16">
        <v>1384</v>
      </c>
      <c r="BX2" s="16">
        <v>418500</v>
      </c>
      <c r="BY2" s="16">
        <v>-32</v>
      </c>
      <c r="BZ2" s="16">
        <f>BY2/BS2*100</f>
        <v>-2.2598870056497176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1391</v>
      </c>
      <c r="CD2" s="16">
        <v>1399</v>
      </c>
      <c r="CE2" s="16">
        <v>1336</v>
      </c>
      <c r="CF2" s="16">
        <v>1369</v>
      </c>
      <c r="CG2" s="16">
        <v>1369</v>
      </c>
      <c r="CH2" s="16">
        <v>140200</v>
      </c>
      <c r="CI2" s="16">
        <v>-22</v>
      </c>
      <c r="CJ2" s="16">
        <f>CI2/CC2*100</f>
        <v>-1.5815959741193386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1387</v>
      </c>
      <c r="CN2" s="16">
        <v>1406</v>
      </c>
      <c r="CO2" s="16">
        <v>1334</v>
      </c>
      <c r="CP2" s="16">
        <v>1375</v>
      </c>
      <c r="CQ2" s="16">
        <v>1375</v>
      </c>
      <c r="CR2" s="16">
        <v>136900</v>
      </c>
      <c r="CS2" s="16">
        <v>-12</v>
      </c>
      <c r="CT2" s="16">
        <f>CS2/CM2*100</f>
        <v>-0.86517664023071372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1373</v>
      </c>
      <c r="CX2" s="16">
        <v>1394</v>
      </c>
      <c r="CY2" s="16">
        <v>1303</v>
      </c>
      <c r="CZ2" s="16">
        <v>1345</v>
      </c>
      <c r="DA2" s="16">
        <v>1345</v>
      </c>
      <c r="DB2" s="16">
        <v>80600</v>
      </c>
      <c r="DC2" s="16">
        <v>-28</v>
      </c>
      <c r="DD2" s="16">
        <f>DC2/CW2*100</f>
        <v>-2.0393299344501092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1348</v>
      </c>
      <c r="DH2" s="16">
        <v>1385</v>
      </c>
      <c r="DI2" s="16">
        <v>1329</v>
      </c>
      <c r="DJ2" s="16">
        <v>1373</v>
      </c>
      <c r="DK2" s="16">
        <v>1373</v>
      </c>
      <c r="DL2" s="16">
        <v>63500</v>
      </c>
      <c r="DM2" s="16">
        <v>25</v>
      </c>
      <c r="DN2" s="16">
        <f>DM2/DG2*100</f>
        <v>1.8545994065281897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1366</v>
      </c>
      <c r="DR2" s="16">
        <v>1420</v>
      </c>
      <c r="DS2" s="16">
        <v>1110</v>
      </c>
      <c r="DT2" s="16">
        <v>1284</v>
      </c>
      <c r="DU2" s="16">
        <v>1284</v>
      </c>
      <c r="DV2" s="16">
        <v>218800</v>
      </c>
      <c r="DW2" s="16">
        <v>-82</v>
      </c>
      <c r="DX2" s="16">
        <f>DW2/DQ2*100</f>
        <v>-6.0029282576866763</v>
      </c>
      <c r="DY2" s="16">
        <f>COUNT(DW2:DW6)</f>
        <v>5</v>
      </c>
    </row>
    <row r="3" spans="1:129">
      <c r="A3" s="17">
        <v>43132</v>
      </c>
      <c r="B3" s="16">
        <v>1387</v>
      </c>
      <c r="C3" s="16">
        <v>1400</v>
      </c>
      <c r="D3" s="16">
        <v>1300</v>
      </c>
      <c r="E3" s="16">
        <v>1381</v>
      </c>
      <c r="F3" s="16">
        <v>1381</v>
      </c>
      <c r="G3" s="16">
        <v>191300</v>
      </c>
      <c r="H3" s="16">
        <f t="shared" si="0"/>
        <v>-6</v>
      </c>
      <c r="J3" s="18">
        <v>43469</v>
      </c>
      <c r="K3" s="16">
        <v>1257</v>
      </c>
      <c r="L3" s="16">
        <v>1326</v>
      </c>
      <c r="M3" s="16">
        <v>1250</v>
      </c>
      <c r="N3" s="16">
        <v>1277</v>
      </c>
      <c r="O3" s="16">
        <v>1277</v>
      </c>
      <c r="P3" s="16">
        <v>380200</v>
      </c>
      <c r="Q3" s="16">
        <v>20</v>
      </c>
      <c r="R3" s="16">
        <f>Q3/K3*100</f>
        <v>1.5910898965791569</v>
      </c>
      <c r="S3" s="16">
        <f>COUNTIF(Q2:Q6,"&gt;0")</f>
        <v>1</v>
      </c>
      <c r="T3" s="18">
        <v>43497</v>
      </c>
      <c r="U3" s="16">
        <v>1275</v>
      </c>
      <c r="V3" s="16">
        <v>1320</v>
      </c>
      <c r="W3" s="16">
        <v>1263</v>
      </c>
      <c r="X3" s="16">
        <v>1317</v>
      </c>
      <c r="Y3" s="16">
        <v>1317</v>
      </c>
      <c r="Z3" s="16">
        <v>96900</v>
      </c>
      <c r="AA3" s="16">
        <v>42</v>
      </c>
      <c r="AB3" s="16">
        <f>AA3/U3*100</f>
        <v>3.2941176470588238</v>
      </c>
      <c r="AC3" s="16">
        <f>COUNTIF(AA2:AA6,"&gt;0")</f>
        <v>1</v>
      </c>
      <c r="AD3" s="18">
        <v>43525</v>
      </c>
      <c r="AE3" s="16">
        <v>1302</v>
      </c>
      <c r="AF3" s="16">
        <v>1325</v>
      </c>
      <c r="AG3" s="16">
        <v>1264</v>
      </c>
      <c r="AH3" s="16">
        <v>1308</v>
      </c>
      <c r="AI3" s="16">
        <v>1308</v>
      </c>
      <c r="AJ3" s="16">
        <v>92500</v>
      </c>
      <c r="AK3" s="16">
        <v>6</v>
      </c>
      <c r="AL3" s="16">
        <f>AK3/AE3*100</f>
        <v>0.46082949308755761</v>
      </c>
      <c r="AM3" s="16">
        <f>COUNTIF(AK2:AK6,"&gt;0")</f>
        <v>4</v>
      </c>
      <c r="AN3" s="18">
        <v>43556</v>
      </c>
      <c r="AO3" s="16">
        <v>1314</v>
      </c>
      <c r="AP3" s="16">
        <v>1321</v>
      </c>
      <c r="AQ3" s="16">
        <v>1281</v>
      </c>
      <c r="AR3" s="16">
        <v>1298</v>
      </c>
      <c r="AS3" s="16">
        <v>1298</v>
      </c>
      <c r="AT3" s="16">
        <v>57700</v>
      </c>
      <c r="AU3" s="16">
        <v>-16</v>
      </c>
      <c r="AV3" s="16">
        <f>AU3/AO3*100</f>
        <v>-1.2176560121765601</v>
      </c>
      <c r="AW3" s="16">
        <f>COUNTIF(AU2:AU6,"&gt;0")</f>
        <v>3</v>
      </c>
      <c r="AX3" s="18">
        <v>43592</v>
      </c>
      <c r="AY3" s="16">
        <v>1302</v>
      </c>
      <c r="AZ3" s="16">
        <v>1313</v>
      </c>
      <c r="BA3" s="16">
        <v>1266</v>
      </c>
      <c r="BB3" s="16">
        <v>1296</v>
      </c>
      <c r="BC3" s="16">
        <v>1296</v>
      </c>
      <c r="BD3" s="16">
        <v>46800</v>
      </c>
      <c r="BE3" s="16">
        <v>-6</v>
      </c>
      <c r="BF3" s="16">
        <f>BE3/AY3*100</f>
        <v>-0.46082949308755761</v>
      </c>
      <c r="BG3" s="16">
        <f>COUNTIF(BE2:BE6,"&gt;0")</f>
        <v>4</v>
      </c>
      <c r="BH3" s="18">
        <v>43619</v>
      </c>
      <c r="BI3" s="16">
        <v>1283</v>
      </c>
      <c r="BJ3" s="16">
        <v>1295</v>
      </c>
      <c r="BK3" s="16">
        <v>1204</v>
      </c>
      <c r="BL3" s="16">
        <v>1260</v>
      </c>
      <c r="BM3" s="16">
        <v>1260</v>
      </c>
      <c r="BN3" s="16">
        <v>130500</v>
      </c>
      <c r="BO3" s="16">
        <v>-23</v>
      </c>
      <c r="BP3" s="16">
        <f>BO3/BI3*100</f>
        <v>-1.7926734216679656</v>
      </c>
      <c r="BQ3" s="16">
        <f>COUNTIF(BO2:BO6,"&gt;0")</f>
        <v>3</v>
      </c>
      <c r="BR3" s="18">
        <v>43647</v>
      </c>
      <c r="BS3" s="16">
        <v>1265</v>
      </c>
      <c r="BT3" s="16">
        <v>1287</v>
      </c>
      <c r="BU3" s="16">
        <v>1218</v>
      </c>
      <c r="BV3" s="16">
        <v>1218</v>
      </c>
      <c r="BW3" s="16">
        <v>1218</v>
      </c>
      <c r="BX3" s="16">
        <v>423600</v>
      </c>
      <c r="BY3" s="16">
        <v>-47</v>
      </c>
      <c r="BZ3" s="16">
        <f>BY3/BS3*100</f>
        <v>-3.7154150197628457</v>
      </c>
      <c r="CA3" s="16">
        <f>COUNTIF(BY2:BY6,"&gt;0")</f>
        <v>0</v>
      </c>
      <c r="CB3" s="18">
        <v>43678</v>
      </c>
      <c r="CC3" s="16">
        <v>1221</v>
      </c>
      <c r="CD3" s="16">
        <v>1230</v>
      </c>
      <c r="CE3" s="16">
        <v>1175</v>
      </c>
      <c r="CF3" s="16">
        <v>1191</v>
      </c>
      <c r="CG3" s="16">
        <v>1191</v>
      </c>
      <c r="CH3" s="16">
        <v>113300</v>
      </c>
      <c r="CI3" s="16">
        <v>-30</v>
      </c>
      <c r="CJ3" s="16">
        <f>CI3/CC3*100</f>
        <v>-2.4570024570024569</v>
      </c>
      <c r="CK3" s="16">
        <f>COUNTIF(CI2:CI6,"&gt;0")</f>
        <v>2</v>
      </c>
      <c r="CL3" s="18">
        <v>43710</v>
      </c>
      <c r="CM3" s="16">
        <v>1191</v>
      </c>
      <c r="CN3" s="16">
        <v>1233</v>
      </c>
      <c r="CO3" s="16">
        <v>1165</v>
      </c>
      <c r="CP3" s="16">
        <v>1226</v>
      </c>
      <c r="CQ3" s="16">
        <v>1226</v>
      </c>
      <c r="CR3" s="16">
        <v>112400</v>
      </c>
      <c r="CS3" s="16">
        <v>35</v>
      </c>
      <c r="CT3" s="16">
        <f>CS3/CM3*100</f>
        <v>2.9387069689336691</v>
      </c>
      <c r="CU3" s="16">
        <f>COUNTIF(CS2:CS6,"&gt;0")</f>
        <v>2</v>
      </c>
      <c r="CV3" s="18">
        <v>43739</v>
      </c>
      <c r="CW3" s="16">
        <v>1230</v>
      </c>
      <c r="CX3" s="16">
        <v>1253</v>
      </c>
      <c r="CY3" s="16">
        <v>1208</v>
      </c>
      <c r="CZ3" s="16">
        <v>1247</v>
      </c>
      <c r="DA3" s="16">
        <v>1247</v>
      </c>
      <c r="DB3" s="16">
        <v>93500</v>
      </c>
      <c r="DC3" s="16">
        <v>17</v>
      </c>
      <c r="DD3" s="16">
        <f>DC3/CW3*100</f>
        <v>1.3821138211382114</v>
      </c>
      <c r="DE3" s="16">
        <f>COUNTIF(DC2:DC6,"&gt;0")</f>
        <v>2</v>
      </c>
      <c r="DF3" s="18">
        <v>43770</v>
      </c>
      <c r="DG3" s="16">
        <v>1250</v>
      </c>
      <c r="DH3" s="16">
        <v>1273</v>
      </c>
      <c r="DI3" s="16">
        <v>1235</v>
      </c>
      <c r="DJ3" s="16">
        <v>1262</v>
      </c>
      <c r="DK3" s="16">
        <v>1262</v>
      </c>
      <c r="DL3" s="16">
        <v>84300</v>
      </c>
      <c r="DM3" s="16">
        <v>12</v>
      </c>
      <c r="DN3" s="16">
        <f>DM3/DG3*100</f>
        <v>0.96</v>
      </c>
      <c r="DO3" s="16">
        <f>COUNTIF(DM2:DM6,"&gt;0")</f>
        <v>4</v>
      </c>
      <c r="DP3" s="18">
        <v>43801</v>
      </c>
      <c r="DQ3" s="16">
        <v>1266</v>
      </c>
      <c r="DR3" s="16">
        <v>1320</v>
      </c>
      <c r="DS3" s="16">
        <v>1261</v>
      </c>
      <c r="DT3" s="16">
        <v>1302</v>
      </c>
      <c r="DU3" s="16">
        <v>1302</v>
      </c>
      <c r="DV3" s="16">
        <v>180600</v>
      </c>
      <c r="DW3" s="16">
        <v>36</v>
      </c>
      <c r="DX3" s="16">
        <f>DW3/DQ3*100</f>
        <v>2.8436018957345972</v>
      </c>
      <c r="DY3" s="16">
        <f>COUNTIF(DW2:DW6,"&gt;0")</f>
        <v>2</v>
      </c>
    </row>
    <row r="4" spans="1:129">
      <c r="A4" s="17">
        <v>43160</v>
      </c>
      <c r="B4" s="16">
        <v>1371</v>
      </c>
      <c r="C4" s="16">
        <v>1437</v>
      </c>
      <c r="D4" s="16">
        <v>1321</v>
      </c>
      <c r="E4" s="16">
        <v>1370</v>
      </c>
      <c r="F4" s="16">
        <v>1370</v>
      </c>
      <c r="G4" s="16">
        <v>247100</v>
      </c>
      <c r="H4" s="16">
        <f t="shared" si="0"/>
        <v>-1</v>
      </c>
      <c r="J4" s="18">
        <v>43836</v>
      </c>
      <c r="K4" s="16">
        <v>1300</v>
      </c>
      <c r="L4" s="16">
        <v>1309</v>
      </c>
      <c r="M4" s="16">
        <v>1240</v>
      </c>
      <c r="N4" s="16">
        <v>1271</v>
      </c>
      <c r="O4" s="16">
        <v>1271</v>
      </c>
      <c r="P4" s="16">
        <v>493000</v>
      </c>
      <c r="Q4" s="16">
        <v>-29</v>
      </c>
      <c r="R4" s="16">
        <f>Q4/K4*100</f>
        <v>-2.2307692307692308</v>
      </c>
      <c r="S4" s="19">
        <f>S3/S2*100</f>
        <v>20</v>
      </c>
      <c r="T4" s="18">
        <v>43864</v>
      </c>
      <c r="U4" s="16">
        <v>1247</v>
      </c>
      <c r="V4" s="16">
        <v>1265</v>
      </c>
      <c r="W4" s="16">
        <v>1055</v>
      </c>
      <c r="X4" s="16">
        <v>1062</v>
      </c>
      <c r="Y4" s="16">
        <v>1062</v>
      </c>
      <c r="Z4" s="16">
        <v>161700</v>
      </c>
      <c r="AA4" s="16">
        <v>-185</v>
      </c>
      <c r="AB4" s="16">
        <f>AA4/U4*100</f>
        <v>-14.83560545308741</v>
      </c>
      <c r="AC4" s="19">
        <f>AC3/AC2*100</f>
        <v>20</v>
      </c>
      <c r="AD4" s="18">
        <v>43892</v>
      </c>
      <c r="AE4" s="16">
        <v>1056</v>
      </c>
      <c r="AF4" s="16">
        <v>1148</v>
      </c>
      <c r="AG4" s="16">
        <v>834</v>
      </c>
      <c r="AH4" s="16">
        <v>1105</v>
      </c>
      <c r="AI4" s="16">
        <v>1105</v>
      </c>
      <c r="AJ4" s="16">
        <v>250400</v>
      </c>
      <c r="AK4" s="16">
        <v>49</v>
      </c>
      <c r="AL4" s="16">
        <f>AK4/AE4*100</f>
        <v>4.6401515151515156</v>
      </c>
      <c r="AM4" s="19">
        <f>AM3/AM2*100</f>
        <v>80</v>
      </c>
      <c r="AN4" s="18">
        <v>43922</v>
      </c>
      <c r="AO4" s="16">
        <v>1095</v>
      </c>
      <c r="AP4" s="16">
        <v>1263</v>
      </c>
      <c r="AQ4" s="16">
        <v>1047</v>
      </c>
      <c r="AR4" s="16">
        <v>1240</v>
      </c>
      <c r="AS4" s="16">
        <v>1240</v>
      </c>
      <c r="AT4" s="16">
        <v>191200</v>
      </c>
      <c r="AU4" s="16">
        <v>145</v>
      </c>
      <c r="AV4" s="16">
        <f>AU4/AO4*100</f>
        <v>13.24200913242009</v>
      </c>
      <c r="AW4" s="19">
        <f>AW3/AW2*100</f>
        <v>60</v>
      </c>
      <c r="AX4" s="18">
        <v>43952</v>
      </c>
      <c r="AY4" s="16">
        <v>1246</v>
      </c>
      <c r="AZ4" s="16">
        <v>1289</v>
      </c>
      <c r="BA4" s="16">
        <v>1225</v>
      </c>
      <c r="BB4" s="16">
        <v>1284</v>
      </c>
      <c r="BC4" s="16">
        <v>1284</v>
      </c>
      <c r="BD4" s="16">
        <v>75000</v>
      </c>
      <c r="BE4" s="16">
        <v>38</v>
      </c>
      <c r="BF4" s="16">
        <f>BE4/AY4*100</f>
        <v>3.0497592295345104</v>
      </c>
      <c r="BG4" s="19">
        <f>BG3/BG2*100</f>
        <v>80</v>
      </c>
      <c r="BH4" s="18">
        <v>43983</v>
      </c>
      <c r="BI4" s="16">
        <v>1277</v>
      </c>
      <c r="BJ4" s="16">
        <v>1416</v>
      </c>
      <c r="BK4" s="16">
        <v>1270</v>
      </c>
      <c r="BL4" s="16">
        <v>1338</v>
      </c>
      <c r="BM4" s="16">
        <v>1338</v>
      </c>
      <c r="BN4" s="16">
        <v>322400</v>
      </c>
      <c r="BO4" s="16">
        <v>61</v>
      </c>
      <c r="BP4" s="16">
        <f>BO4/BI4*100</f>
        <v>4.7768206734534067</v>
      </c>
      <c r="BQ4" s="19">
        <f>BQ3/BQ2*100</f>
        <v>60</v>
      </c>
      <c r="BR4" s="18">
        <v>44013</v>
      </c>
      <c r="BS4" s="16">
        <v>1345</v>
      </c>
      <c r="BT4" s="16">
        <v>1352</v>
      </c>
      <c r="BU4" s="16">
        <v>1277</v>
      </c>
      <c r="BV4" s="16">
        <v>1286</v>
      </c>
      <c r="BW4" s="16">
        <v>1286</v>
      </c>
      <c r="BX4" s="16">
        <v>363500</v>
      </c>
      <c r="BY4" s="16">
        <v>-59</v>
      </c>
      <c r="BZ4" s="16">
        <f>BY4/BS4*100</f>
        <v>-4.3866171003717476</v>
      </c>
      <c r="CA4" s="19">
        <f>CA3/CA2*100</f>
        <v>0</v>
      </c>
      <c r="CB4" s="18">
        <v>44046</v>
      </c>
      <c r="CC4" s="16">
        <v>1280</v>
      </c>
      <c r="CD4" s="16">
        <v>1342</v>
      </c>
      <c r="CE4" s="16">
        <v>1275</v>
      </c>
      <c r="CF4" s="16">
        <v>1292</v>
      </c>
      <c r="CG4" s="16">
        <v>1292</v>
      </c>
      <c r="CH4" s="16">
        <v>124800</v>
      </c>
      <c r="CI4" s="16">
        <v>12</v>
      </c>
      <c r="CJ4" s="16">
        <f>CI4/CC4*100</f>
        <v>0.9375</v>
      </c>
      <c r="CK4" s="19">
        <f>CK3/CK2*100</f>
        <v>40</v>
      </c>
      <c r="CL4" s="18">
        <v>44075</v>
      </c>
      <c r="CM4" s="16">
        <v>1292</v>
      </c>
      <c r="CN4" s="16">
        <v>1333</v>
      </c>
      <c r="CO4" s="16">
        <v>1281</v>
      </c>
      <c r="CP4" s="16">
        <v>1328</v>
      </c>
      <c r="CQ4" s="16">
        <v>1328</v>
      </c>
      <c r="CR4" s="16">
        <v>158100</v>
      </c>
      <c r="CS4" s="16">
        <v>36</v>
      </c>
      <c r="CT4" s="16">
        <f>CS4/CM4*100</f>
        <v>2.7863777089783279</v>
      </c>
      <c r="CU4" s="19">
        <f>CU3/CU2*100</f>
        <v>40</v>
      </c>
      <c r="CV4" s="18">
        <v>44106</v>
      </c>
      <c r="CW4" s="16">
        <v>1330</v>
      </c>
      <c r="CX4" s="16">
        <v>1331</v>
      </c>
      <c r="CY4" s="16">
        <v>1287</v>
      </c>
      <c r="CZ4" s="16">
        <v>1289</v>
      </c>
      <c r="DA4" s="16">
        <v>1289</v>
      </c>
      <c r="DB4" s="16">
        <v>69100</v>
      </c>
      <c r="DC4" s="16">
        <v>-41</v>
      </c>
      <c r="DD4" s="16">
        <f>DC4/CW4*100</f>
        <v>-3.0827067669172932</v>
      </c>
      <c r="DE4" s="19">
        <f>DE3/DE2*100</f>
        <v>40</v>
      </c>
      <c r="DF4" s="18">
        <v>44137</v>
      </c>
      <c r="DG4" s="16">
        <v>1283</v>
      </c>
      <c r="DH4" s="16">
        <v>1315</v>
      </c>
      <c r="DI4" s="16">
        <v>1283</v>
      </c>
      <c r="DJ4" s="16">
        <v>1301</v>
      </c>
      <c r="DK4" s="16">
        <v>1301</v>
      </c>
      <c r="DL4" s="16">
        <v>80500</v>
      </c>
      <c r="DM4" s="16">
        <v>18</v>
      </c>
      <c r="DN4" s="16">
        <f>DM4/DG4*100</f>
        <v>1.4029618082618862</v>
      </c>
      <c r="DO4" s="19">
        <f>DO3/DO2*100</f>
        <v>80</v>
      </c>
      <c r="DP4" s="18">
        <v>44166</v>
      </c>
      <c r="DQ4" s="16">
        <v>1301</v>
      </c>
      <c r="DR4" s="16">
        <v>1319</v>
      </c>
      <c r="DS4" s="16">
        <v>1295</v>
      </c>
      <c r="DT4" s="16">
        <v>1313</v>
      </c>
      <c r="DU4" s="16">
        <v>1313</v>
      </c>
      <c r="DV4" s="16">
        <v>179600</v>
      </c>
      <c r="DW4" s="16">
        <v>12</v>
      </c>
      <c r="DX4" s="16">
        <f>DW4/DQ4*100</f>
        <v>0.92236740968485775</v>
      </c>
      <c r="DY4" s="19">
        <f>DY3/DY2*100</f>
        <v>40</v>
      </c>
    </row>
    <row r="5" spans="1:129">
      <c r="A5" s="17">
        <v>43192</v>
      </c>
      <c r="B5" s="16">
        <v>1385</v>
      </c>
      <c r="C5" s="16">
        <v>1405</v>
      </c>
      <c r="D5" s="16">
        <v>1371</v>
      </c>
      <c r="E5" s="16">
        <v>1392</v>
      </c>
      <c r="F5" s="16">
        <v>1392</v>
      </c>
      <c r="G5" s="16">
        <v>106000</v>
      </c>
      <c r="H5" s="16">
        <f t="shared" si="0"/>
        <v>7</v>
      </c>
      <c r="J5" s="18">
        <v>44200</v>
      </c>
      <c r="K5" s="16">
        <v>1322</v>
      </c>
      <c r="L5" s="16">
        <v>1332</v>
      </c>
      <c r="M5" s="16">
        <v>1276</v>
      </c>
      <c r="N5" s="16">
        <v>1294</v>
      </c>
      <c r="O5" s="16">
        <v>1294</v>
      </c>
      <c r="P5" s="16">
        <v>527800</v>
      </c>
      <c r="Q5" s="16">
        <v>-28</v>
      </c>
      <c r="R5" s="16">
        <f>Q5/K5*100</f>
        <v>-2.118003025718608</v>
      </c>
      <c r="S5" s="16">
        <f>AVERAGE(R2:R6)</f>
        <v>-2.33753322362357</v>
      </c>
      <c r="T5" s="18">
        <v>44228</v>
      </c>
      <c r="U5" s="16">
        <v>1290</v>
      </c>
      <c r="V5" s="16">
        <v>1297</v>
      </c>
      <c r="W5" s="16">
        <v>1258</v>
      </c>
      <c r="X5" s="16">
        <v>1258</v>
      </c>
      <c r="Y5" s="16">
        <v>1258</v>
      </c>
      <c r="Z5" s="16">
        <v>141300</v>
      </c>
      <c r="AA5" s="16">
        <v>-32</v>
      </c>
      <c r="AB5" s="16">
        <f>AA5/U5*100</f>
        <v>-2.4806201550387597</v>
      </c>
      <c r="AC5" s="16">
        <f>AVERAGE(AB2:AB6)</f>
        <v>-3.3752441889719664</v>
      </c>
      <c r="AD5" s="18">
        <v>44256</v>
      </c>
      <c r="AE5" s="16">
        <v>1258</v>
      </c>
      <c r="AF5" s="16">
        <v>1294</v>
      </c>
      <c r="AG5" s="16">
        <v>1252</v>
      </c>
      <c r="AH5" s="16">
        <v>1279</v>
      </c>
      <c r="AI5" s="16">
        <v>1279</v>
      </c>
      <c r="AJ5" s="16">
        <v>151800</v>
      </c>
      <c r="AK5" s="16">
        <v>21</v>
      </c>
      <c r="AL5" s="16">
        <f>AK5/AE5*100</f>
        <v>1.6693163751987281</v>
      </c>
      <c r="AM5" s="16">
        <f>AVERAGE(AL2:AL6)</f>
        <v>1.7067810428565107</v>
      </c>
      <c r="AN5" s="18">
        <v>44287</v>
      </c>
      <c r="AO5" s="16">
        <v>1280</v>
      </c>
      <c r="AP5" s="16">
        <v>1309</v>
      </c>
      <c r="AQ5" s="16">
        <v>1260</v>
      </c>
      <c r="AR5" s="16">
        <v>1273</v>
      </c>
      <c r="AS5" s="16">
        <v>1273</v>
      </c>
      <c r="AT5" s="16">
        <v>85300</v>
      </c>
      <c r="AU5" s="16">
        <v>-7</v>
      </c>
      <c r="AV5" s="16">
        <f>AU5/AO5*100</f>
        <v>-0.546875</v>
      </c>
      <c r="AW5" s="16">
        <f>AVERAGE(AV2:AV6)</f>
        <v>2.558887042472954</v>
      </c>
      <c r="AX5" s="18">
        <v>44322</v>
      </c>
      <c r="AY5" s="16">
        <v>1273</v>
      </c>
      <c r="AZ5" s="16">
        <v>1292</v>
      </c>
      <c r="BA5" s="16">
        <v>1273</v>
      </c>
      <c r="BB5" s="16">
        <v>1285</v>
      </c>
      <c r="BC5" s="16">
        <v>1285</v>
      </c>
      <c r="BD5" s="16">
        <v>64200</v>
      </c>
      <c r="BE5" s="16">
        <v>12</v>
      </c>
      <c r="BF5" s="16">
        <f>BE5/AY5*100</f>
        <v>0.94265514532600159</v>
      </c>
      <c r="BG5" s="16">
        <f>AVERAGE(BF2:BF6)</f>
        <v>1.9298896242210806</v>
      </c>
      <c r="BH5" s="18">
        <v>44348</v>
      </c>
      <c r="BI5" s="16">
        <v>1285</v>
      </c>
      <c r="BJ5" s="16">
        <v>1287</v>
      </c>
      <c r="BK5" s="16">
        <v>1275</v>
      </c>
      <c r="BL5" s="16">
        <v>1280</v>
      </c>
      <c r="BM5" s="16">
        <v>1280</v>
      </c>
      <c r="BN5" s="16">
        <v>175900</v>
      </c>
      <c r="BO5" s="16">
        <v>-5</v>
      </c>
      <c r="BP5" s="16">
        <f>BO5/BI5*100</f>
        <v>-0.38910505836575876</v>
      </c>
      <c r="BQ5" s="16">
        <f>AVERAGE(BP2:BP6)</f>
        <v>0.9576566189265705</v>
      </c>
      <c r="BR5" s="18">
        <v>44378</v>
      </c>
      <c r="BS5" s="16">
        <v>1279</v>
      </c>
      <c r="BT5" s="16">
        <v>1300</v>
      </c>
      <c r="BU5" s="16">
        <v>1263</v>
      </c>
      <c r="BV5" s="16">
        <v>1275</v>
      </c>
      <c r="BW5" s="16">
        <v>1275</v>
      </c>
      <c r="BX5" s="16">
        <v>421500</v>
      </c>
      <c r="BY5" s="16">
        <v>-4</v>
      </c>
      <c r="BZ5" s="16">
        <f>BY5/BS5*100</f>
        <v>-0.31274433150899139</v>
      </c>
      <c r="CA5" s="16">
        <f>AVERAGE(BZ2:BZ6)</f>
        <v>-2.4112712061391441</v>
      </c>
      <c r="CB5" s="18">
        <v>44410</v>
      </c>
      <c r="CC5" s="16">
        <v>1275</v>
      </c>
      <c r="CD5" s="16">
        <v>1284</v>
      </c>
      <c r="CE5" s="16">
        <v>1271</v>
      </c>
      <c r="CF5" s="16">
        <v>1282</v>
      </c>
      <c r="CG5" s="16">
        <v>1282</v>
      </c>
      <c r="CH5" s="16">
        <v>85400</v>
      </c>
      <c r="CI5" s="16">
        <v>7</v>
      </c>
      <c r="CJ5" s="16">
        <f>CI5/CC5*100</f>
        <v>0.5490196078431373</v>
      </c>
      <c r="CK5" s="16">
        <f>AVERAGE(CJ2:CJ6)</f>
        <v>-0.52791357742913503</v>
      </c>
      <c r="CL5" s="18">
        <v>44440</v>
      </c>
      <c r="CM5" s="16">
        <v>1278</v>
      </c>
      <c r="CN5" s="16">
        <v>1285</v>
      </c>
      <c r="CO5" s="16">
        <v>1252</v>
      </c>
      <c r="CP5" s="16">
        <v>1272</v>
      </c>
      <c r="CQ5" s="16">
        <v>1272</v>
      </c>
      <c r="CR5" s="16">
        <v>156000</v>
      </c>
      <c r="CS5" s="16">
        <v>-6</v>
      </c>
      <c r="CT5" s="16">
        <f>CS5/CM5*100</f>
        <v>-0.46948356807511737</v>
      </c>
      <c r="CU5" s="16">
        <f>AVERAGE(CT2:CT6)</f>
        <v>-0.17454668502613516</v>
      </c>
      <c r="CV5" s="18">
        <v>44470</v>
      </c>
      <c r="CW5" s="16">
        <v>1272</v>
      </c>
      <c r="CX5" s="16">
        <v>1288</v>
      </c>
      <c r="CY5" s="16">
        <v>1241</v>
      </c>
      <c r="CZ5" s="16">
        <v>1282</v>
      </c>
      <c r="DA5" s="16">
        <v>1282</v>
      </c>
      <c r="DB5" s="16">
        <v>169200</v>
      </c>
      <c r="DC5" s="16">
        <v>10</v>
      </c>
      <c r="DD5" s="16">
        <f>DC5/CW5*100</f>
        <v>0.78616352201257866</v>
      </c>
      <c r="DE5" s="16">
        <f>AVERAGE(DD2:DD6)</f>
        <v>-0.6281350492134159</v>
      </c>
      <c r="DF5" s="18">
        <v>44501</v>
      </c>
      <c r="DG5" s="16">
        <v>1282</v>
      </c>
      <c r="DH5" s="16">
        <v>1284</v>
      </c>
      <c r="DI5" s="16">
        <v>1252</v>
      </c>
      <c r="DJ5" s="16">
        <v>1257</v>
      </c>
      <c r="DK5" s="16">
        <v>1257</v>
      </c>
      <c r="DL5" s="16">
        <v>51900</v>
      </c>
      <c r="DM5" s="16">
        <v>-25</v>
      </c>
      <c r="DN5" s="16">
        <f>DM5/DG5*100</f>
        <v>-1.9500780031201248</v>
      </c>
      <c r="DO5" s="16">
        <f>AVERAGE(DN2:DN6)</f>
        <v>1.6707251067534656</v>
      </c>
      <c r="DP5" s="18">
        <v>44531</v>
      </c>
      <c r="DQ5" s="16">
        <v>1258</v>
      </c>
      <c r="DR5" s="16">
        <v>1258</v>
      </c>
      <c r="DS5" s="16">
        <v>1120</v>
      </c>
      <c r="DT5" s="16">
        <v>1170</v>
      </c>
      <c r="DU5" s="16">
        <v>1170</v>
      </c>
      <c r="DV5" s="16">
        <v>331300</v>
      </c>
      <c r="DW5" s="16">
        <v>-88</v>
      </c>
      <c r="DX5" s="16">
        <f>DW5/DQ5*100</f>
        <v>-6.995230524642289</v>
      </c>
      <c r="DY5" s="16">
        <f>AVERAGE(DX2:DX6)</f>
        <v>-2.1079897698370025</v>
      </c>
    </row>
    <row r="6" spans="1:129">
      <c r="A6" s="17">
        <v>43221</v>
      </c>
      <c r="B6" s="16">
        <v>1398</v>
      </c>
      <c r="C6" s="16">
        <v>1427</v>
      </c>
      <c r="D6" s="16">
        <v>1391</v>
      </c>
      <c r="E6" s="16">
        <v>1406</v>
      </c>
      <c r="F6" s="16">
        <v>1406</v>
      </c>
      <c r="G6" s="16">
        <v>82700</v>
      </c>
      <c r="H6" s="16">
        <f t="shared" si="0"/>
        <v>8</v>
      </c>
      <c r="J6" s="18">
        <v>44565</v>
      </c>
      <c r="K6" s="16">
        <v>1176</v>
      </c>
      <c r="L6" s="16">
        <v>1218</v>
      </c>
      <c r="M6" s="16">
        <v>1115</v>
      </c>
      <c r="N6" s="16">
        <v>1119</v>
      </c>
      <c r="O6" s="16">
        <v>1119</v>
      </c>
      <c r="P6" s="16">
        <v>695200</v>
      </c>
      <c r="Q6" s="16">
        <v>-57</v>
      </c>
      <c r="R6" s="16">
        <f>Q6/K6*100</f>
        <v>-4.8469387755102042</v>
      </c>
      <c r="S6" s="16">
        <f>MEDIAN(R2:R6)</f>
        <v>-2.2307692307692308</v>
      </c>
      <c r="T6" s="18">
        <v>44593</v>
      </c>
      <c r="U6" s="16">
        <v>1115</v>
      </c>
      <c r="V6" s="16">
        <v>1152</v>
      </c>
      <c r="W6" s="16">
        <v>1050</v>
      </c>
      <c r="X6" s="16">
        <v>1088</v>
      </c>
      <c r="Y6" s="16">
        <v>1088</v>
      </c>
      <c r="Z6" s="16">
        <v>269200</v>
      </c>
      <c r="AA6" s="16">
        <v>-27</v>
      </c>
      <c r="AB6" s="16">
        <f>AA6/U6*100</f>
        <v>-2.4215246636771304</v>
      </c>
      <c r="AC6" s="16">
        <f>MEDIAN(AB2:AB6)</f>
        <v>-2.4215246636771304</v>
      </c>
      <c r="AD6" s="18">
        <v>44621</v>
      </c>
      <c r="AE6" s="16">
        <v>1089</v>
      </c>
      <c r="AF6" s="16">
        <v>1119</v>
      </c>
      <c r="AG6" s="16">
        <v>1051</v>
      </c>
      <c r="AH6" s="16">
        <v>1109</v>
      </c>
      <c r="AI6" s="16">
        <v>1109</v>
      </c>
      <c r="AJ6" s="16">
        <v>203100</v>
      </c>
      <c r="AK6" s="16">
        <v>20</v>
      </c>
      <c r="AL6" s="16">
        <f>AK6/AE6*100</f>
        <v>1.8365472910927456</v>
      </c>
      <c r="AM6" s="16">
        <f>MEDIAN(AL2:AL6)</f>
        <v>1.6693163751987281</v>
      </c>
      <c r="AN6" s="18">
        <v>44652</v>
      </c>
      <c r="AO6" s="16">
        <v>1109</v>
      </c>
      <c r="AP6" s="16">
        <v>1125</v>
      </c>
      <c r="AQ6" s="16">
        <v>1070</v>
      </c>
      <c r="AR6" s="16">
        <v>1118</v>
      </c>
      <c r="AS6" s="16">
        <v>1118</v>
      </c>
      <c r="AT6" s="16">
        <v>122700</v>
      </c>
      <c r="AU6" s="16">
        <v>9</v>
      </c>
      <c r="AV6" s="16">
        <f>AU6/AO6*100</f>
        <v>0.81154192966636607</v>
      </c>
      <c r="AW6" s="16">
        <f>MEDIAN(AV2:AV6)</f>
        <v>0.50541516245487361</v>
      </c>
      <c r="AX6" s="18">
        <v>44683</v>
      </c>
      <c r="AY6" s="16">
        <v>1118</v>
      </c>
      <c r="AZ6" s="16">
        <v>1187</v>
      </c>
      <c r="BA6" s="16">
        <v>1115</v>
      </c>
      <c r="BB6" s="16">
        <v>1180</v>
      </c>
      <c r="BC6" s="16">
        <v>1180</v>
      </c>
      <c r="BD6" s="16">
        <v>145500</v>
      </c>
      <c r="BE6" s="16">
        <v>62</v>
      </c>
      <c r="BF6" s="16">
        <f>BE6/AY6*100</f>
        <v>5.5456171735241506</v>
      </c>
      <c r="BG6" s="16">
        <f>MEDIAN(BF2:BF6)</f>
        <v>0.94265514532600159</v>
      </c>
      <c r="BH6" s="18">
        <v>44713</v>
      </c>
      <c r="BI6" s="16">
        <v>1154</v>
      </c>
      <c r="BJ6" s="16">
        <v>1186</v>
      </c>
      <c r="BK6" s="16">
        <v>1092</v>
      </c>
      <c r="BL6" s="16">
        <v>1162</v>
      </c>
      <c r="BM6" s="16">
        <v>1162</v>
      </c>
      <c r="BN6" s="16">
        <v>271500</v>
      </c>
      <c r="BO6" s="16">
        <v>8</v>
      </c>
      <c r="BP6" s="16">
        <f>BO6/BI6*100</f>
        <v>0.6932409012131715</v>
      </c>
      <c r="BQ6" s="16">
        <f>MEDIAN(BP2:BP6)</f>
        <v>0.6932409012131715</v>
      </c>
      <c r="BR6" s="18">
        <v>44743</v>
      </c>
      <c r="BS6" s="16">
        <v>1158</v>
      </c>
      <c r="BT6" s="16">
        <v>1188</v>
      </c>
      <c r="BU6" s="16">
        <v>1130</v>
      </c>
      <c r="BV6" s="16">
        <v>1142</v>
      </c>
      <c r="BW6" s="16">
        <v>1142</v>
      </c>
      <c r="BX6" s="16">
        <v>555900</v>
      </c>
      <c r="BY6" s="16">
        <v>-16</v>
      </c>
      <c r="BZ6" s="16">
        <f>BY6/BS6*100</f>
        <v>-1.3816925734024179</v>
      </c>
      <c r="CA6" s="16">
        <f>MEDIAN(BZ2:BZ6)</f>
        <v>-2.2598870056497176</v>
      </c>
      <c r="CB6" s="18">
        <v>44774</v>
      </c>
      <c r="CC6" s="16">
        <v>1143</v>
      </c>
      <c r="CD6" s="16">
        <v>1222</v>
      </c>
      <c r="CE6" s="16">
        <v>1100</v>
      </c>
      <c r="CF6" s="16">
        <v>1142</v>
      </c>
      <c r="CG6" s="16">
        <v>1142</v>
      </c>
      <c r="CH6" s="16">
        <v>375900</v>
      </c>
      <c r="CI6" s="16">
        <v>-1</v>
      </c>
      <c r="CJ6" s="16">
        <f>CI6/CC6*100</f>
        <v>-8.7489063867016631E-2</v>
      </c>
      <c r="CK6" s="16">
        <f>MEDIAN(CJ2:CJ6)</f>
        <v>-8.7489063867016631E-2</v>
      </c>
      <c r="CL6" s="18">
        <v>44805</v>
      </c>
      <c r="CM6" s="16">
        <v>1140</v>
      </c>
      <c r="CN6" s="16">
        <v>1220</v>
      </c>
      <c r="CO6" s="16">
        <v>1050</v>
      </c>
      <c r="CP6" s="16">
        <v>1080</v>
      </c>
      <c r="CQ6" s="16">
        <v>1080</v>
      </c>
      <c r="CR6" s="16">
        <v>532900</v>
      </c>
      <c r="CS6" s="16">
        <v>-60</v>
      </c>
      <c r="CT6" s="16">
        <f>CS6/CM6*100</f>
        <v>-5.2631578947368416</v>
      </c>
      <c r="CU6" s="16">
        <f>MEDIAN(CT2:CT6)</f>
        <v>-0.46948356807511737</v>
      </c>
      <c r="CV6" s="18">
        <v>44837</v>
      </c>
      <c r="CW6" s="16">
        <v>1070</v>
      </c>
      <c r="CX6" s="16">
        <v>1106</v>
      </c>
      <c r="CY6" s="16">
        <v>1060</v>
      </c>
      <c r="CZ6" s="16">
        <v>1068</v>
      </c>
      <c r="DA6" s="16">
        <v>1068</v>
      </c>
      <c r="DB6" s="16">
        <v>180400</v>
      </c>
      <c r="DC6" s="16">
        <v>-2</v>
      </c>
      <c r="DD6" s="16">
        <f>DC6/CW6*100</f>
        <v>-0.18691588785046731</v>
      </c>
      <c r="DE6" s="16">
        <f>MEDIAN(DD2:DD6)</f>
        <v>-0.18691588785046731</v>
      </c>
      <c r="DF6" s="18">
        <v>44866</v>
      </c>
      <c r="DG6" s="16">
        <v>1068</v>
      </c>
      <c r="DH6" s="16">
        <v>1155</v>
      </c>
      <c r="DI6" s="16">
        <v>1066</v>
      </c>
      <c r="DJ6" s="16">
        <v>1133</v>
      </c>
      <c r="DK6" s="16">
        <v>1133</v>
      </c>
      <c r="DL6" s="16">
        <v>152800</v>
      </c>
      <c r="DM6" s="16">
        <v>65</v>
      </c>
      <c r="DN6" s="16">
        <f>DM6/DG6*100</f>
        <v>6.0861423220973787</v>
      </c>
      <c r="DO6" s="16">
        <f>MEDIAN(DN2:DN6)</f>
        <v>1.4029618082618862</v>
      </c>
      <c r="DP6" s="18">
        <v>44896</v>
      </c>
      <c r="DQ6" s="16">
        <v>1147</v>
      </c>
      <c r="DR6" s="16">
        <v>1181</v>
      </c>
      <c r="DS6" s="16">
        <v>1103</v>
      </c>
      <c r="DT6" s="16">
        <v>1132</v>
      </c>
      <c r="DU6" s="16">
        <v>1132</v>
      </c>
      <c r="DV6" s="16">
        <v>437600</v>
      </c>
      <c r="DW6" s="16">
        <v>-15</v>
      </c>
      <c r="DX6" s="16">
        <f>DW6/DQ6*100</f>
        <v>-1.3077593722755012</v>
      </c>
      <c r="DY6" s="16">
        <f>MEDIAN(DX2:DX6)</f>
        <v>-1.3077593722755012</v>
      </c>
    </row>
    <row r="7" spans="1:129">
      <c r="A7" s="17">
        <v>43252</v>
      </c>
      <c r="B7" s="16">
        <v>1400</v>
      </c>
      <c r="C7" s="16">
        <v>1489</v>
      </c>
      <c r="D7" s="16">
        <v>1398</v>
      </c>
      <c r="E7" s="16">
        <v>1421</v>
      </c>
      <c r="F7" s="16">
        <v>1421</v>
      </c>
      <c r="G7" s="16">
        <v>246600</v>
      </c>
      <c r="H7" s="16">
        <f t="shared" si="0"/>
        <v>21</v>
      </c>
    </row>
    <row r="8" spans="1:129">
      <c r="A8" s="17">
        <v>43283</v>
      </c>
      <c r="B8" s="16">
        <v>1416</v>
      </c>
      <c r="C8" s="16">
        <v>1458</v>
      </c>
      <c r="D8" s="16">
        <v>1380</v>
      </c>
      <c r="E8" s="16">
        <v>1384</v>
      </c>
      <c r="F8" s="16">
        <v>1384</v>
      </c>
      <c r="G8" s="16">
        <v>418500</v>
      </c>
      <c r="H8" s="16">
        <f t="shared" si="0"/>
        <v>-32</v>
      </c>
    </row>
    <row r="9" spans="1:129">
      <c r="A9" s="17">
        <v>43313</v>
      </c>
      <c r="B9" s="16">
        <v>1391</v>
      </c>
      <c r="C9" s="16">
        <v>1399</v>
      </c>
      <c r="D9" s="16">
        <v>1336</v>
      </c>
      <c r="E9" s="16">
        <v>1369</v>
      </c>
      <c r="F9" s="16">
        <v>1369</v>
      </c>
      <c r="G9" s="16">
        <v>140200</v>
      </c>
      <c r="H9" s="16">
        <f t="shared" si="0"/>
        <v>-22</v>
      </c>
    </row>
    <row r="10" spans="1:129">
      <c r="A10" s="17">
        <v>43346</v>
      </c>
      <c r="B10" s="16">
        <v>1387</v>
      </c>
      <c r="C10" s="16">
        <v>1406</v>
      </c>
      <c r="D10" s="16">
        <v>1334</v>
      </c>
      <c r="E10" s="16">
        <v>1375</v>
      </c>
      <c r="F10" s="16">
        <v>1375</v>
      </c>
      <c r="G10" s="16">
        <v>136900</v>
      </c>
      <c r="H10" s="16">
        <f t="shared" si="0"/>
        <v>-12</v>
      </c>
    </row>
    <row r="11" spans="1:129">
      <c r="A11" s="17">
        <v>43374</v>
      </c>
      <c r="B11" s="16">
        <v>1373</v>
      </c>
      <c r="C11" s="16">
        <v>1394</v>
      </c>
      <c r="D11" s="16">
        <v>1303</v>
      </c>
      <c r="E11" s="16">
        <v>1345</v>
      </c>
      <c r="F11" s="16">
        <v>1345</v>
      </c>
      <c r="G11" s="16">
        <v>80600</v>
      </c>
      <c r="H11" s="16">
        <f t="shared" si="0"/>
        <v>-28</v>
      </c>
    </row>
    <row r="12" spans="1:129">
      <c r="A12" s="17">
        <v>43405</v>
      </c>
      <c r="B12" s="16">
        <v>1348</v>
      </c>
      <c r="C12" s="16">
        <v>1385</v>
      </c>
      <c r="D12" s="16">
        <v>1329</v>
      </c>
      <c r="E12" s="16">
        <v>1373</v>
      </c>
      <c r="F12" s="16">
        <v>1373</v>
      </c>
      <c r="G12" s="16">
        <v>63500</v>
      </c>
      <c r="H12" s="16">
        <f t="shared" si="0"/>
        <v>25</v>
      </c>
    </row>
    <row r="13" spans="1:129">
      <c r="A13" s="17">
        <v>43437</v>
      </c>
      <c r="B13" s="16">
        <v>1366</v>
      </c>
      <c r="C13" s="16">
        <v>1420</v>
      </c>
      <c r="D13" s="16">
        <v>1110</v>
      </c>
      <c r="E13" s="16">
        <v>1284</v>
      </c>
      <c r="F13" s="16">
        <v>1284</v>
      </c>
      <c r="G13" s="16">
        <v>218800</v>
      </c>
      <c r="H13" s="16">
        <f t="shared" si="0"/>
        <v>-82</v>
      </c>
    </row>
    <row r="14" spans="1:129">
      <c r="A14" s="17">
        <v>43469</v>
      </c>
      <c r="B14" s="16">
        <v>1257</v>
      </c>
      <c r="C14" s="16">
        <v>1326</v>
      </c>
      <c r="D14" s="16">
        <v>1250</v>
      </c>
      <c r="E14" s="16">
        <v>1277</v>
      </c>
      <c r="F14" s="16">
        <v>1277</v>
      </c>
      <c r="G14" s="16">
        <v>380200</v>
      </c>
      <c r="H14" s="16">
        <f t="shared" si="0"/>
        <v>20</v>
      </c>
    </row>
    <row r="15" spans="1:129">
      <c r="A15" s="17">
        <v>43497</v>
      </c>
      <c r="B15" s="16">
        <v>1275</v>
      </c>
      <c r="C15" s="16">
        <v>1320</v>
      </c>
      <c r="D15" s="16">
        <v>1263</v>
      </c>
      <c r="E15" s="16">
        <v>1317</v>
      </c>
      <c r="F15" s="16">
        <v>1317</v>
      </c>
      <c r="G15" s="16">
        <v>96900</v>
      </c>
      <c r="H15" s="16">
        <f t="shared" si="0"/>
        <v>42</v>
      </c>
    </row>
    <row r="16" spans="1:129">
      <c r="A16" s="17">
        <v>43525</v>
      </c>
      <c r="B16" s="16">
        <v>1302</v>
      </c>
      <c r="C16" s="16">
        <v>1325</v>
      </c>
      <c r="D16" s="16">
        <v>1264</v>
      </c>
      <c r="E16" s="16">
        <v>1308</v>
      </c>
      <c r="F16" s="16">
        <v>1308</v>
      </c>
      <c r="G16" s="16">
        <v>92500</v>
      </c>
      <c r="H16" s="16">
        <f t="shared" si="0"/>
        <v>6</v>
      </c>
    </row>
    <row r="17" spans="1:8">
      <c r="A17" s="17">
        <v>43556</v>
      </c>
      <c r="B17" s="16">
        <v>1314</v>
      </c>
      <c r="C17" s="16">
        <v>1321</v>
      </c>
      <c r="D17" s="16">
        <v>1281</v>
      </c>
      <c r="E17" s="16">
        <v>1298</v>
      </c>
      <c r="F17" s="16">
        <v>1298</v>
      </c>
      <c r="G17" s="16">
        <v>57700</v>
      </c>
      <c r="H17" s="16">
        <f t="shared" si="0"/>
        <v>-16</v>
      </c>
    </row>
    <row r="18" spans="1:8">
      <c r="A18" s="17">
        <v>43592</v>
      </c>
      <c r="B18" s="16">
        <v>1302</v>
      </c>
      <c r="C18" s="16">
        <v>1313</v>
      </c>
      <c r="D18" s="16">
        <v>1266</v>
      </c>
      <c r="E18" s="16">
        <v>1296</v>
      </c>
      <c r="F18" s="16">
        <v>1296</v>
      </c>
      <c r="G18" s="16">
        <v>46800</v>
      </c>
      <c r="H18" s="16">
        <f t="shared" si="0"/>
        <v>-6</v>
      </c>
    </row>
    <row r="19" spans="1:8">
      <c r="A19" s="17">
        <v>43619</v>
      </c>
      <c r="B19" s="16">
        <v>1283</v>
      </c>
      <c r="C19" s="16">
        <v>1295</v>
      </c>
      <c r="D19" s="16">
        <v>1204</v>
      </c>
      <c r="E19" s="16">
        <v>1260</v>
      </c>
      <c r="F19" s="16">
        <v>1260</v>
      </c>
      <c r="G19" s="16">
        <v>130500</v>
      </c>
      <c r="H19" s="16">
        <f t="shared" si="0"/>
        <v>-23</v>
      </c>
    </row>
    <row r="20" spans="1:8">
      <c r="A20" s="17">
        <v>43647</v>
      </c>
      <c r="B20" s="16">
        <v>1265</v>
      </c>
      <c r="C20" s="16">
        <v>1287</v>
      </c>
      <c r="D20" s="16">
        <v>1218</v>
      </c>
      <c r="E20" s="16">
        <v>1218</v>
      </c>
      <c r="F20" s="16">
        <v>1218</v>
      </c>
      <c r="G20" s="16">
        <v>423600</v>
      </c>
      <c r="H20" s="16">
        <f t="shared" si="0"/>
        <v>-47</v>
      </c>
    </row>
    <row r="21" spans="1:8">
      <c r="A21" s="17">
        <v>43678</v>
      </c>
      <c r="B21" s="16">
        <v>1221</v>
      </c>
      <c r="C21" s="16">
        <v>1230</v>
      </c>
      <c r="D21" s="16">
        <v>1175</v>
      </c>
      <c r="E21" s="16">
        <v>1191</v>
      </c>
      <c r="F21" s="16">
        <v>1191</v>
      </c>
      <c r="G21" s="16">
        <v>113300</v>
      </c>
      <c r="H21" s="16">
        <f t="shared" si="0"/>
        <v>-30</v>
      </c>
    </row>
    <row r="22" spans="1:8">
      <c r="A22" s="17">
        <v>43710</v>
      </c>
      <c r="B22" s="16">
        <v>1191</v>
      </c>
      <c r="C22" s="16">
        <v>1233</v>
      </c>
      <c r="D22" s="16">
        <v>1165</v>
      </c>
      <c r="E22" s="16">
        <v>1226</v>
      </c>
      <c r="F22" s="16">
        <v>1226</v>
      </c>
      <c r="G22" s="16">
        <v>112400</v>
      </c>
      <c r="H22" s="16">
        <f t="shared" si="0"/>
        <v>35</v>
      </c>
    </row>
    <row r="23" spans="1:8">
      <c r="A23" s="17">
        <v>43739</v>
      </c>
      <c r="B23" s="16">
        <v>1230</v>
      </c>
      <c r="C23" s="16">
        <v>1253</v>
      </c>
      <c r="D23" s="16">
        <v>1208</v>
      </c>
      <c r="E23" s="16">
        <v>1247</v>
      </c>
      <c r="F23" s="16">
        <v>1247</v>
      </c>
      <c r="G23" s="16">
        <v>93500</v>
      </c>
      <c r="H23" s="16">
        <f t="shared" si="0"/>
        <v>17</v>
      </c>
    </row>
    <row r="24" spans="1:8">
      <c r="A24" s="17">
        <v>43770</v>
      </c>
      <c r="B24" s="16">
        <v>1250</v>
      </c>
      <c r="C24" s="16">
        <v>1273</v>
      </c>
      <c r="D24" s="16">
        <v>1235</v>
      </c>
      <c r="E24" s="16">
        <v>1262</v>
      </c>
      <c r="F24" s="16">
        <v>1262</v>
      </c>
      <c r="G24" s="16">
        <v>84300</v>
      </c>
      <c r="H24" s="16">
        <f t="shared" si="0"/>
        <v>12</v>
      </c>
    </row>
    <row r="25" spans="1:8">
      <c r="A25" s="17">
        <v>43801</v>
      </c>
      <c r="B25" s="16">
        <v>1266</v>
      </c>
      <c r="C25" s="16">
        <v>1320</v>
      </c>
      <c r="D25" s="16">
        <v>1261</v>
      </c>
      <c r="E25" s="16">
        <v>1302</v>
      </c>
      <c r="F25" s="16">
        <v>1302</v>
      </c>
      <c r="G25" s="16">
        <v>180600</v>
      </c>
      <c r="H25" s="16">
        <f t="shared" si="0"/>
        <v>36</v>
      </c>
    </row>
    <row r="26" spans="1:8">
      <c r="A26" s="17">
        <v>43836</v>
      </c>
      <c r="B26" s="16">
        <v>1300</v>
      </c>
      <c r="C26" s="16">
        <v>1309</v>
      </c>
      <c r="D26" s="16">
        <v>1240</v>
      </c>
      <c r="E26" s="16">
        <v>1271</v>
      </c>
      <c r="F26" s="16">
        <v>1271</v>
      </c>
      <c r="G26" s="16">
        <v>493000</v>
      </c>
      <c r="H26" s="16">
        <f t="shared" si="0"/>
        <v>-29</v>
      </c>
    </row>
    <row r="27" spans="1:8">
      <c r="A27" s="17">
        <v>43864</v>
      </c>
      <c r="B27" s="16">
        <v>1247</v>
      </c>
      <c r="C27" s="16">
        <v>1265</v>
      </c>
      <c r="D27" s="16">
        <v>1055</v>
      </c>
      <c r="E27" s="16">
        <v>1062</v>
      </c>
      <c r="F27" s="16">
        <v>1062</v>
      </c>
      <c r="G27" s="16">
        <v>161700</v>
      </c>
      <c r="H27" s="16">
        <f t="shared" si="0"/>
        <v>-185</v>
      </c>
    </row>
    <row r="28" spans="1:8">
      <c r="A28" s="17">
        <v>43892</v>
      </c>
      <c r="B28" s="16">
        <v>1056</v>
      </c>
      <c r="C28" s="16">
        <v>1148</v>
      </c>
      <c r="D28" s="16">
        <v>834</v>
      </c>
      <c r="E28" s="16">
        <v>1105</v>
      </c>
      <c r="F28" s="16">
        <v>1105</v>
      </c>
      <c r="G28" s="16">
        <v>250400</v>
      </c>
      <c r="H28" s="16">
        <f t="shared" si="0"/>
        <v>49</v>
      </c>
    </row>
    <row r="29" spans="1:8">
      <c r="A29" s="17">
        <v>43922</v>
      </c>
      <c r="B29" s="16">
        <v>1095</v>
      </c>
      <c r="C29" s="16">
        <v>1263</v>
      </c>
      <c r="D29" s="16">
        <v>1047</v>
      </c>
      <c r="E29" s="16">
        <v>1240</v>
      </c>
      <c r="F29" s="16">
        <v>1240</v>
      </c>
      <c r="G29" s="16">
        <v>191200</v>
      </c>
      <c r="H29" s="16">
        <f t="shared" si="0"/>
        <v>145</v>
      </c>
    </row>
    <row r="30" spans="1:8">
      <c r="A30" s="17">
        <v>43952</v>
      </c>
      <c r="B30" s="16">
        <v>1246</v>
      </c>
      <c r="C30" s="16">
        <v>1289</v>
      </c>
      <c r="D30" s="16">
        <v>1225</v>
      </c>
      <c r="E30" s="16">
        <v>1284</v>
      </c>
      <c r="F30" s="16">
        <v>1284</v>
      </c>
      <c r="G30" s="16">
        <v>75000</v>
      </c>
      <c r="H30" s="16">
        <f t="shared" si="0"/>
        <v>38</v>
      </c>
    </row>
    <row r="31" spans="1:8">
      <c r="A31" s="17">
        <v>43983</v>
      </c>
      <c r="B31" s="16">
        <v>1277</v>
      </c>
      <c r="C31" s="16">
        <v>1416</v>
      </c>
      <c r="D31" s="16">
        <v>1270</v>
      </c>
      <c r="E31" s="16">
        <v>1338</v>
      </c>
      <c r="F31" s="16">
        <v>1338</v>
      </c>
      <c r="G31" s="16">
        <v>322400</v>
      </c>
      <c r="H31" s="16">
        <f t="shared" si="0"/>
        <v>61</v>
      </c>
    </row>
    <row r="32" spans="1:8">
      <c r="A32" s="17">
        <v>44013</v>
      </c>
      <c r="B32" s="16">
        <v>1345</v>
      </c>
      <c r="C32" s="16">
        <v>1352</v>
      </c>
      <c r="D32" s="16">
        <v>1277</v>
      </c>
      <c r="E32" s="16">
        <v>1286</v>
      </c>
      <c r="F32" s="16">
        <v>1286</v>
      </c>
      <c r="G32" s="16">
        <v>363500</v>
      </c>
      <c r="H32" s="16">
        <f t="shared" si="0"/>
        <v>-59</v>
      </c>
    </row>
    <row r="33" spans="1:8">
      <c r="A33" s="17">
        <v>44046</v>
      </c>
      <c r="B33" s="16">
        <v>1280</v>
      </c>
      <c r="C33" s="16">
        <v>1342</v>
      </c>
      <c r="D33" s="16">
        <v>1275</v>
      </c>
      <c r="E33" s="16">
        <v>1292</v>
      </c>
      <c r="F33" s="16">
        <v>1292</v>
      </c>
      <c r="G33" s="16">
        <v>124800</v>
      </c>
      <c r="H33" s="16">
        <f t="shared" si="0"/>
        <v>12</v>
      </c>
    </row>
    <row r="34" spans="1:8">
      <c r="A34" s="17">
        <v>44075</v>
      </c>
      <c r="B34" s="16">
        <v>1292</v>
      </c>
      <c r="C34" s="16">
        <v>1333</v>
      </c>
      <c r="D34" s="16">
        <v>1281</v>
      </c>
      <c r="E34" s="16">
        <v>1328</v>
      </c>
      <c r="F34" s="16">
        <v>1328</v>
      </c>
      <c r="G34" s="16">
        <v>158100</v>
      </c>
      <c r="H34" s="16">
        <f t="shared" ref="H34:H61" si="1">E34-B34</f>
        <v>36</v>
      </c>
    </row>
    <row r="35" spans="1:8">
      <c r="A35" s="17">
        <v>44106</v>
      </c>
      <c r="B35" s="16">
        <v>1330</v>
      </c>
      <c r="C35" s="16">
        <v>1331</v>
      </c>
      <c r="D35" s="16">
        <v>1287</v>
      </c>
      <c r="E35" s="16">
        <v>1289</v>
      </c>
      <c r="F35" s="16">
        <v>1289</v>
      </c>
      <c r="G35" s="16">
        <v>69100</v>
      </c>
      <c r="H35" s="16">
        <f t="shared" si="1"/>
        <v>-41</v>
      </c>
    </row>
    <row r="36" spans="1:8">
      <c r="A36" s="17">
        <v>44137</v>
      </c>
      <c r="B36" s="16">
        <v>1283</v>
      </c>
      <c r="C36" s="16">
        <v>1315</v>
      </c>
      <c r="D36" s="16">
        <v>1283</v>
      </c>
      <c r="E36" s="16">
        <v>1301</v>
      </c>
      <c r="F36" s="16">
        <v>1301</v>
      </c>
      <c r="G36" s="16">
        <v>80500</v>
      </c>
      <c r="H36" s="16">
        <f t="shared" si="1"/>
        <v>18</v>
      </c>
    </row>
    <row r="37" spans="1:8">
      <c r="A37" s="17">
        <v>44166</v>
      </c>
      <c r="B37" s="16">
        <v>1301</v>
      </c>
      <c r="C37" s="16">
        <v>1319</v>
      </c>
      <c r="D37" s="16">
        <v>1295</v>
      </c>
      <c r="E37" s="16">
        <v>1313</v>
      </c>
      <c r="F37" s="16">
        <v>1313</v>
      </c>
      <c r="G37" s="16">
        <v>179600</v>
      </c>
      <c r="H37" s="16">
        <f t="shared" si="1"/>
        <v>12</v>
      </c>
    </row>
    <row r="38" spans="1:8">
      <c r="A38" s="17">
        <v>44200</v>
      </c>
      <c r="B38" s="16">
        <v>1322</v>
      </c>
      <c r="C38" s="16">
        <v>1332</v>
      </c>
      <c r="D38" s="16">
        <v>1276</v>
      </c>
      <c r="E38" s="16">
        <v>1294</v>
      </c>
      <c r="F38" s="16">
        <v>1294</v>
      </c>
      <c r="G38" s="16">
        <v>527800</v>
      </c>
      <c r="H38" s="16">
        <f t="shared" si="1"/>
        <v>-28</v>
      </c>
    </row>
    <row r="39" spans="1:8">
      <c r="A39" s="17">
        <v>44228</v>
      </c>
      <c r="B39" s="16">
        <v>1290</v>
      </c>
      <c r="C39" s="16">
        <v>1297</v>
      </c>
      <c r="D39" s="16">
        <v>1258</v>
      </c>
      <c r="E39" s="16">
        <v>1258</v>
      </c>
      <c r="F39" s="16">
        <v>1258</v>
      </c>
      <c r="G39" s="16">
        <v>141300</v>
      </c>
      <c r="H39" s="16">
        <f t="shared" si="1"/>
        <v>-32</v>
      </c>
    </row>
    <row r="40" spans="1:8">
      <c r="A40" s="17">
        <v>44256</v>
      </c>
      <c r="B40" s="16">
        <v>1258</v>
      </c>
      <c r="C40" s="16">
        <v>1294</v>
      </c>
      <c r="D40" s="16">
        <v>1252</v>
      </c>
      <c r="E40" s="16">
        <v>1279</v>
      </c>
      <c r="F40" s="16">
        <v>1279</v>
      </c>
      <c r="G40" s="16">
        <v>151800</v>
      </c>
      <c r="H40" s="16">
        <f t="shared" si="1"/>
        <v>21</v>
      </c>
    </row>
    <row r="41" spans="1:8">
      <c r="A41" s="17">
        <v>44287</v>
      </c>
      <c r="B41" s="16">
        <v>1280</v>
      </c>
      <c r="C41" s="16">
        <v>1309</v>
      </c>
      <c r="D41" s="16">
        <v>1260</v>
      </c>
      <c r="E41" s="16">
        <v>1273</v>
      </c>
      <c r="F41" s="16">
        <v>1273</v>
      </c>
      <c r="G41" s="16">
        <v>85300</v>
      </c>
      <c r="H41" s="16">
        <f t="shared" si="1"/>
        <v>-7</v>
      </c>
    </row>
    <row r="42" spans="1:8">
      <c r="A42" s="17">
        <v>44322</v>
      </c>
      <c r="B42" s="16">
        <v>1273</v>
      </c>
      <c r="C42" s="16">
        <v>1292</v>
      </c>
      <c r="D42" s="16">
        <v>1273</v>
      </c>
      <c r="E42" s="16">
        <v>1285</v>
      </c>
      <c r="F42" s="16">
        <v>1285</v>
      </c>
      <c r="G42" s="16">
        <v>64200</v>
      </c>
      <c r="H42" s="16">
        <f t="shared" si="1"/>
        <v>12</v>
      </c>
    </row>
    <row r="43" spans="1:8">
      <c r="A43" s="17">
        <v>44348</v>
      </c>
      <c r="B43" s="16">
        <v>1285</v>
      </c>
      <c r="C43" s="16">
        <v>1287</v>
      </c>
      <c r="D43" s="16">
        <v>1275</v>
      </c>
      <c r="E43" s="16">
        <v>1280</v>
      </c>
      <c r="F43" s="16">
        <v>1280</v>
      </c>
      <c r="G43" s="16">
        <v>175900</v>
      </c>
      <c r="H43" s="16">
        <f t="shared" si="1"/>
        <v>-5</v>
      </c>
    </row>
    <row r="44" spans="1:8">
      <c r="A44" s="17">
        <v>44378</v>
      </c>
      <c r="B44" s="16">
        <v>1279</v>
      </c>
      <c r="C44" s="16">
        <v>1300</v>
      </c>
      <c r="D44" s="16">
        <v>1263</v>
      </c>
      <c r="E44" s="16">
        <v>1275</v>
      </c>
      <c r="F44" s="16">
        <v>1275</v>
      </c>
      <c r="G44" s="16">
        <v>421500</v>
      </c>
      <c r="H44" s="16">
        <f t="shared" si="1"/>
        <v>-4</v>
      </c>
    </row>
    <row r="45" spans="1:8">
      <c r="A45" s="17">
        <v>44410</v>
      </c>
      <c r="B45" s="16">
        <v>1275</v>
      </c>
      <c r="C45" s="16">
        <v>1284</v>
      </c>
      <c r="D45" s="16">
        <v>1271</v>
      </c>
      <c r="E45" s="16">
        <v>1282</v>
      </c>
      <c r="F45" s="16">
        <v>1282</v>
      </c>
      <c r="G45" s="16">
        <v>85400</v>
      </c>
      <c r="H45" s="16">
        <f t="shared" si="1"/>
        <v>7</v>
      </c>
    </row>
    <row r="46" spans="1:8">
      <c r="A46" s="17">
        <v>44440</v>
      </c>
      <c r="B46" s="16">
        <v>1278</v>
      </c>
      <c r="C46" s="16">
        <v>1285</v>
      </c>
      <c r="D46" s="16">
        <v>1252</v>
      </c>
      <c r="E46" s="16">
        <v>1272</v>
      </c>
      <c r="F46" s="16">
        <v>1272</v>
      </c>
      <c r="G46" s="16">
        <v>156000</v>
      </c>
      <c r="H46" s="16">
        <f t="shared" si="1"/>
        <v>-6</v>
      </c>
    </row>
    <row r="47" spans="1:8">
      <c r="A47" s="17">
        <v>44470</v>
      </c>
      <c r="B47" s="16">
        <v>1272</v>
      </c>
      <c r="C47" s="16">
        <v>1288</v>
      </c>
      <c r="D47" s="16">
        <v>1241</v>
      </c>
      <c r="E47" s="16">
        <v>1282</v>
      </c>
      <c r="F47" s="16">
        <v>1282</v>
      </c>
      <c r="G47" s="16">
        <v>169200</v>
      </c>
      <c r="H47" s="16">
        <f t="shared" si="1"/>
        <v>10</v>
      </c>
    </row>
    <row r="48" spans="1:8">
      <c r="A48" s="17">
        <v>44501</v>
      </c>
      <c r="B48" s="16">
        <v>1282</v>
      </c>
      <c r="C48" s="16">
        <v>1284</v>
      </c>
      <c r="D48" s="16">
        <v>1252</v>
      </c>
      <c r="E48" s="16">
        <v>1257</v>
      </c>
      <c r="F48" s="16">
        <v>1257</v>
      </c>
      <c r="G48" s="16">
        <v>51900</v>
      </c>
      <c r="H48" s="16">
        <f t="shared" si="1"/>
        <v>-25</v>
      </c>
    </row>
    <row r="49" spans="1:8">
      <c r="A49" s="17">
        <v>44531</v>
      </c>
      <c r="B49" s="16">
        <v>1258</v>
      </c>
      <c r="C49" s="16">
        <v>1258</v>
      </c>
      <c r="D49" s="16">
        <v>1120</v>
      </c>
      <c r="E49" s="16">
        <v>1170</v>
      </c>
      <c r="F49" s="16">
        <v>1170</v>
      </c>
      <c r="G49" s="16">
        <v>331300</v>
      </c>
      <c r="H49" s="16">
        <f t="shared" si="1"/>
        <v>-88</v>
      </c>
    </row>
    <row r="50" spans="1:8">
      <c r="A50" s="17">
        <v>44565</v>
      </c>
      <c r="B50" s="16">
        <v>1176</v>
      </c>
      <c r="C50" s="16">
        <v>1218</v>
      </c>
      <c r="D50" s="16">
        <v>1115</v>
      </c>
      <c r="E50" s="16">
        <v>1119</v>
      </c>
      <c r="F50" s="16">
        <v>1119</v>
      </c>
      <c r="G50" s="16">
        <v>695200</v>
      </c>
      <c r="H50" s="16">
        <f t="shared" si="1"/>
        <v>-57</v>
      </c>
    </row>
    <row r="51" spans="1:8">
      <c r="A51" s="17">
        <v>44593</v>
      </c>
      <c r="B51" s="16">
        <v>1115</v>
      </c>
      <c r="C51" s="16">
        <v>1152</v>
      </c>
      <c r="D51" s="16">
        <v>1050</v>
      </c>
      <c r="E51" s="16">
        <v>1088</v>
      </c>
      <c r="F51" s="16">
        <v>1088</v>
      </c>
      <c r="G51" s="16">
        <v>269200</v>
      </c>
      <c r="H51" s="16">
        <f t="shared" si="1"/>
        <v>-27</v>
      </c>
    </row>
    <row r="52" spans="1:8">
      <c r="A52" s="17">
        <v>44621</v>
      </c>
      <c r="B52" s="16">
        <v>1089</v>
      </c>
      <c r="C52" s="16">
        <v>1119</v>
      </c>
      <c r="D52" s="16">
        <v>1051</v>
      </c>
      <c r="E52" s="16">
        <v>1109</v>
      </c>
      <c r="F52" s="16">
        <v>1109</v>
      </c>
      <c r="G52" s="16">
        <v>203100</v>
      </c>
      <c r="H52" s="16">
        <f t="shared" si="1"/>
        <v>20</v>
      </c>
    </row>
    <row r="53" spans="1:8">
      <c r="A53" s="17">
        <v>44652</v>
      </c>
      <c r="B53" s="16">
        <v>1109</v>
      </c>
      <c r="C53" s="16">
        <v>1125</v>
      </c>
      <c r="D53" s="16">
        <v>1070</v>
      </c>
      <c r="E53" s="16">
        <v>1118</v>
      </c>
      <c r="F53" s="16">
        <v>1118</v>
      </c>
      <c r="G53" s="16">
        <v>122700</v>
      </c>
      <c r="H53" s="16">
        <f t="shared" si="1"/>
        <v>9</v>
      </c>
    </row>
    <row r="54" spans="1:8">
      <c r="A54" s="17">
        <v>44683</v>
      </c>
      <c r="B54" s="16">
        <v>1118</v>
      </c>
      <c r="C54" s="16">
        <v>1187</v>
      </c>
      <c r="D54" s="16">
        <v>1115</v>
      </c>
      <c r="E54" s="16">
        <v>1180</v>
      </c>
      <c r="F54" s="16">
        <v>1180</v>
      </c>
      <c r="G54" s="16">
        <v>145500</v>
      </c>
      <c r="H54" s="16">
        <f t="shared" si="1"/>
        <v>62</v>
      </c>
    </row>
    <row r="55" spans="1:8">
      <c r="A55" s="17">
        <v>44713</v>
      </c>
      <c r="B55" s="16">
        <v>1154</v>
      </c>
      <c r="C55" s="16">
        <v>1186</v>
      </c>
      <c r="D55" s="16">
        <v>1092</v>
      </c>
      <c r="E55" s="16">
        <v>1162</v>
      </c>
      <c r="F55" s="16">
        <v>1162</v>
      </c>
      <c r="G55" s="16">
        <v>271500</v>
      </c>
      <c r="H55" s="16">
        <f t="shared" si="1"/>
        <v>8</v>
      </c>
    </row>
    <row r="56" spans="1:8">
      <c r="A56" s="17">
        <v>44743</v>
      </c>
      <c r="B56" s="16">
        <v>1158</v>
      </c>
      <c r="C56" s="16">
        <v>1188</v>
      </c>
      <c r="D56" s="16">
        <v>1130</v>
      </c>
      <c r="E56" s="16">
        <v>1142</v>
      </c>
      <c r="F56" s="16">
        <v>1142</v>
      </c>
      <c r="G56" s="16">
        <v>555900</v>
      </c>
      <c r="H56" s="16">
        <f t="shared" si="1"/>
        <v>-16</v>
      </c>
    </row>
    <row r="57" spans="1:8">
      <c r="A57" s="17">
        <v>44774</v>
      </c>
      <c r="B57" s="16">
        <v>1143</v>
      </c>
      <c r="C57" s="16">
        <v>1222</v>
      </c>
      <c r="D57" s="16">
        <v>1100</v>
      </c>
      <c r="E57" s="16">
        <v>1142</v>
      </c>
      <c r="F57" s="16">
        <v>1142</v>
      </c>
      <c r="G57" s="16">
        <v>375900</v>
      </c>
      <c r="H57" s="16">
        <f t="shared" si="1"/>
        <v>-1</v>
      </c>
    </row>
    <row r="58" spans="1:8">
      <c r="A58" s="17">
        <v>44805</v>
      </c>
      <c r="B58" s="16">
        <v>1140</v>
      </c>
      <c r="C58" s="16">
        <v>1220</v>
      </c>
      <c r="D58" s="16">
        <v>1050</v>
      </c>
      <c r="E58" s="16">
        <v>1080</v>
      </c>
      <c r="F58" s="16">
        <v>1080</v>
      </c>
      <c r="G58" s="16">
        <v>532900</v>
      </c>
      <c r="H58" s="16">
        <f t="shared" si="1"/>
        <v>-60</v>
      </c>
    </row>
    <row r="59" spans="1:8">
      <c r="A59" s="17">
        <v>44837</v>
      </c>
      <c r="B59" s="16">
        <v>1070</v>
      </c>
      <c r="C59" s="16">
        <v>1106</v>
      </c>
      <c r="D59" s="16">
        <v>1060</v>
      </c>
      <c r="E59" s="16">
        <v>1068</v>
      </c>
      <c r="F59" s="16">
        <v>1068</v>
      </c>
      <c r="G59" s="16">
        <v>180400</v>
      </c>
      <c r="H59" s="16">
        <f t="shared" si="1"/>
        <v>-2</v>
      </c>
    </row>
    <row r="60" spans="1:8">
      <c r="A60" s="17">
        <v>44866</v>
      </c>
      <c r="B60" s="16">
        <v>1068</v>
      </c>
      <c r="C60" s="16">
        <v>1155</v>
      </c>
      <c r="D60" s="16">
        <v>1066</v>
      </c>
      <c r="E60" s="16">
        <v>1133</v>
      </c>
      <c r="F60" s="16">
        <v>1133</v>
      </c>
      <c r="G60" s="16">
        <v>152800</v>
      </c>
      <c r="H60" s="16">
        <f t="shared" si="1"/>
        <v>65</v>
      </c>
    </row>
    <row r="61" spans="1:8">
      <c r="A61" s="17">
        <v>44896</v>
      </c>
      <c r="B61" s="16">
        <v>1147</v>
      </c>
      <c r="C61" s="16">
        <v>1181</v>
      </c>
      <c r="D61" s="16">
        <v>1103</v>
      </c>
      <c r="E61" s="16">
        <v>1132</v>
      </c>
      <c r="F61" s="16">
        <v>1132</v>
      </c>
      <c r="G61" s="16">
        <v>437600</v>
      </c>
      <c r="H61" s="16">
        <f t="shared" si="1"/>
        <v>-15</v>
      </c>
    </row>
  </sheetData>
  <phoneticPr fontId="32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9C0F-A609-49D5-BF82-90F24DAFE6B8}">
  <sheetPr codeName="Sheet23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1400</v>
      </c>
      <c r="C2" s="16">
        <v>1895</v>
      </c>
      <c r="D2" s="16">
        <v>1350</v>
      </c>
      <c r="E2" s="16">
        <v>1733</v>
      </c>
      <c r="F2" s="16">
        <v>1733</v>
      </c>
      <c r="G2" s="16">
        <v>4137200</v>
      </c>
      <c r="H2" s="16">
        <f t="shared" ref="H2:H33" si="0">E2-B2</f>
        <v>333</v>
      </c>
      <c r="J2" s="18" cm="1">
        <f t="array" ref="J2:Q6">_xlfn._xlws.FILTER(A2:H61,MONTH(A2:A61)=1,"")</f>
        <v>43104</v>
      </c>
      <c r="K2" s="16">
        <v>1400</v>
      </c>
      <c r="L2" s="16">
        <v>1895</v>
      </c>
      <c r="M2" s="16">
        <v>1350</v>
      </c>
      <c r="N2" s="16">
        <v>1733</v>
      </c>
      <c r="O2" s="16">
        <v>1733</v>
      </c>
      <c r="P2" s="16">
        <v>4137200</v>
      </c>
      <c r="Q2" s="16">
        <v>333</v>
      </c>
      <c r="R2" s="16">
        <f>Q2/K2*100</f>
        <v>23.785714285714285</v>
      </c>
      <c r="S2" s="16">
        <f>COUNT(Q2:Q6)</f>
        <v>5</v>
      </c>
      <c r="T2" s="18" cm="1">
        <f t="array" ref="T2:AA6">_xlfn._xlws.FILTER(A2:H61,MONTH(A2:A61)=2,"")</f>
        <v>43132</v>
      </c>
      <c r="U2" s="16">
        <v>1749</v>
      </c>
      <c r="V2" s="16">
        <v>1973</v>
      </c>
      <c r="W2" s="16">
        <v>1340</v>
      </c>
      <c r="X2" s="16">
        <v>1804</v>
      </c>
      <c r="Y2" s="16">
        <v>1804</v>
      </c>
      <c r="Z2" s="16">
        <v>2320800</v>
      </c>
      <c r="AA2" s="16">
        <v>55</v>
      </c>
      <c r="AB2" s="16">
        <f>AA2/U2*100</f>
        <v>3.1446540880503147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1798</v>
      </c>
      <c r="AF2" s="16">
        <v>2230</v>
      </c>
      <c r="AG2" s="16">
        <v>1432</v>
      </c>
      <c r="AH2" s="16">
        <v>1492</v>
      </c>
      <c r="AI2" s="16">
        <v>1492</v>
      </c>
      <c r="AJ2" s="16">
        <v>2379900</v>
      </c>
      <c r="AK2" s="16">
        <v>-306</v>
      </c>
      <c r="AL2" s="16">
        <f>AK2/AE2*100</f>
        <v>-17.018909899888765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1482</v>
      </c>
      <c r="AP2" s="16">
        <v>1516</v>
      </c>
      <c r="AQ2" s="16">
        <v>1233</v>
      </c>
      <c r="AR2" s="16">
        <v>1239</v>
      </c>
      <c r="AS2" s="16">
        <v>1239</v>
      </c>
      <c r="AT2" s="16">
        <v>1168100</v>
      </c>
      <c r="AU2" s="16">
        <v>-243</v>
      </c>
      <c r="AV2" s="16">
        <f>AU2/AO2*100</f>
        <v>-16.396761133603238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1239</v>
      </c>
      <c r="AZ2" s="16">
        <v>1494</v>
      </c>
      <c r="BA2" s="16">
        <v>1233</v>
      </c>
      <c r="BB2" s="16">
        <v>1456</v>
      </c>
      <c r="BC2" s="16">
        <v>1456</v>
      </c>
      <c r="BD2" s="16">
        <v>954700</v>
      </c>
      <c r="BE2" s="16">
        <v>217</v>
      </c>
      <c r="BF2" s="16">
        <f>BE2/AY2*100</f>
        <v>17.514124293785311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1479</v>
      </c>
      <c r="BJ2" s="16">
        <v>1957</v>
      </c>
      <c r="BK2" s="16">
        <v>1468</v>
      </c>
      <c r="BL2" s="16">
        <v>1764</v>
      </c>
      <c r="BM2" s="16">
        <v>1764</v>
      </c>
      <c r="BN2" s="16">
        <v>2088400</v>
      </c>
      <c r="BO2" s="16">
        <v>285</v>
      </c>
      <c r="BP2" s="16">
        <f>BO2/BI2*100</f>
        <v>19.269776876267748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1715</v>
      </c>
      <c r="BT2" s="16">
        <v>1722</v>
      </c>
      <c r="BU2" s="16">
        <v>1307</v>
      </c>
      <c r="BV2" s="16">
        <v>1352</v>
      </c>
      <c r="BW2" s="16">
        <v>1352</v>
      </c>
      <c r="BX2" s="16">
        <v>1137800</v>
      </c>
      <c r="BY2" s="16">
        <v>-363</v>
      </c>
      <c r="BZ2" s="16">
        <f>BY2/BS2*100</f>
        <v>-21.166180758017493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1353</v>
      </c>
      <c r="CD2" s="16">
        <v>1353</v>
      </c>
      <c r="CE2" s="16">
        <v>1131</v>
      </c>
      <c r="CF2" s="16">
        <v>1207</v>
      </c>
      <c r="CG2" s="16">
        <v>1207</v>
      </c>
      <c r="CH2" s="16">
        <v>1113200</v>
      </c>
      <c r="CI2" s="16">
        <v>-146</v>
      </c>
      <c r="CJ2" s="16">
        <f>CI2/CC2*100</f>
        <v>-10.790835181079084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1240</v>
      </c>
      <c r="CN2" s="16">
        <v>1525</v>
      </c>
      <c r="CO2" s="16">
        <v>1045</v>
      </c>
      <c r="CP2" s="16">
        <v>1073</v>
      </c>
      <c r="CQ2" s="16">
        <v>1073</v>
      </c>
      <c r="CR2" s="16">
        <v>4167000</v>
      </c>
      <c r="CS2" s="16">
        <v>-167</v>
      </c>
      <c r="CT2" s="16">
        <f>CS2/CM2*100</f>
        <v>-13.46774193548387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1079</v>
      </c>
      <c r="CX2" s="16">
        <v>1120</v>
      </c>
      <c r="CY2" s="16">
        <v>836</v>
      </c>
      <c r="CZ2" s="16">
        <v>872</v>
      </c>
      <c r="DA2" s="16">
        <v>872</v>
      </c>
      <c r="DB2" s="16">
        <v>2050700</v>
      </c>
      <c r="DC2" s="16">
        <v>-207</v>
      </c>
      <c r="DD2" s="16">
        <f>DC2/CW2*100</f>
        <v>-19.184430027803522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870</v>
      </c>
      <c r="DH2" s="16">
        <v>959</v>
      </c>
      <c r="DI2" s="16">
        <v>833</v>
      </c>
      <c r="DJ2" s="16">
        <v>906</v>
      </c>
      <c r="DK2" s="16">
        <v>906</v>
      </c>
      <c r="DL2" s="16">
        <v>1018600</v>
      </c>
      <c r="DM2" s="16">
        <v>36</v>
      </c>
      <c r="DN2" s="16">
        <f>DM2/DG2*100</f>
        <v>4.1379310344827589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921</v>
      </c>
      <c r="DR2" s="16">
        <v>985</v>
      </c>
      <c r="DS2" s="16">
        <v>624</v>
      </c>
      <c r="DT2" s="16">
        <v>713</v>
      </c>
      <c r="DU2" s="16">
        <v>713</v>
      </c>
      <c r="DV2" s="16">
        <v>2148400</v>
      </c>
      <c r="DW2" s="16">
        <v>-208</v>
      </c>
      <c r="DX2" s="16">
        <f>DW2/DQ2*100</f>
        <v>-22.58414766558089</v>
      </c>
      <c r="DY2" s="16">
        <f>COUNT(DW2:DW6)</f>
        <v>5</v>
      </c>
    </row>
    <row r="3" spans="1:129">
      <c r="A3" s="17">
        <v>43132</v>
      </c>
      <c r="B3" s="16">
        <v>1749</v>
      </c>
      <c r="C3" s="16">
        <v>1973</v>
      </c>
      <c r="D3" s="16">
        <v>1340</v>
      </c>
      <c r="E3" s="16">
        <v>1804</v>
      </c>
      <c r="F3" s="16">
        <v>1804</v>
      </c>
      <c r="G3" s="16">
        <v>2320800</v>
      </c>
      <c r="H3" s="16">
        <f t="shared" si="0"/>
        <v>55</v>
      </c>
      <c r="J3" s="18">
        <v>43469</v>
      </c>
      <c r="K3" s="16">
        <v>711</v>
      </c>
      <c r="L3" s="16">
        <v>949</v>
      </c>
      <c r="M3" s="16">
        <v>700</v>
      </c>
      <c r="N3" s="16">
        <v>920</v>
      </c>
      <c r="O3" s="16">
        <v>920</v>
      </c>
      <c r="P3" s="16">
        <v>2255400</v>
      </c>
      <c r="Q3" s="16">
        <v>209</v>
      </c>
      <c r="R3" s="16">
        <f>Q3/K3*100</f>
        <v>29.395218002812939</v>
      </c>
      <c r="S3" s="16">
        <f>COUNTIF(Q2:Q6,"&gt;0")</f>
        <v>3</v>
      </c>
      <c r="T3" s="18">
        <v>43497</v>
      </c>
      <c r="U3" s="16">
        <v>915</v>
      </c>
      <c r="V3" s="16">
        <v>1081</v>
      </c>
      <c r="W3" s="16">
        <v>886</v>
      </c>
      <c r="X3" s="16">
        <v>936</v>
      </c>
      <c r="Y3" s="16">
        <v>936</v>
      </c>
      <c r="Z3" s="16">
        <v>1704700</v>
      </c>
      <c r="AA3" s="16">
        <v>21</v>
      </c>
      <c r="AB3" s="16">
        <f>AA3/U3*100</f>
        <v>2.2950819672131146</v>
      </c>
      <c r="AC3" s="16">
        <f>COUNTIF(AA2:AA6,"&gt;0")</f>
        <v>3</v>
      </c>
      <c r="AD3" s="18">
        <v>43525</v>
      </c>
      <c r="AE3" s="16">
        <v>930</v>
      </c>
      <c r="AF3" s="16">
        <v>1070</v>
      </c>
      <c r="AG3" s="16">
        <v>867</v>
      </c>
      <c r="AH3" s="16">
        <v>937</v>
      </c>
      <c r="AI3" s="16">
        <v>937</v>
      </c>
      <c r="AJ3" s="16">
        <v>1366600</v>
      </c>
      <c r="AK3" s="16">
        <v>7</v>
      </c>
      <c r="AL3" s="16">
        <f>AK3/AE3*100</f>
        <v>0.75268817204301075</v>
      </c>
      <c r="AM3" s="16">
        <f>COUNTIF(AK2:AK6,"&gt;0")</f>
        <v>2</v>
      </c>
      <c r="AN3" s="18">
        <v>43556</v>
      </c>
      <c r="AO3" s="16">
        <v>948</v>
      </c>
      <c r="AP3" s="16">
        <v>961</v>
      </c>
      <c r="AQ3" s="16">
        <v>890</v>
      </c>
      <c r="AR3" s="16">
        <v>912</v>
      </c>
      <c r="AS3" s="16">
        <v>912</v>
      </c>
      <c r="AT3" s="16">
        <v>430600</v>
      </c>
      <c r="AU3" s="16">
        <v>-36</v>
      </c>
      <c r="AV3" s="16">
        <f>AU3/AO3*100</f>
        <v>-3.79746835443038</v>
      </c>
      <c r="AW3" s="16">
        <f>COUNTIF(AU2:AU6,"&gt;0")</f>
        <v>2</v>
      </c>
      <c r="AX3" s="18">
        <v>43592</v>
      </c>
      <c r="AY3" s="16">
        <v>920</v>
      </c>
      <c r="AZ3" s="16">
        <v>1000</v>
      </c>
      <c r="BA3" s="16">
        <v>875</v>
      </c>
      <c r="BB3" s="16">
        <v>930</v>
      </c>
      <c r="BC3" s="16">
        <v>930</v>
      </c>
      <c r="BD3" s="16">
        <v>542000</v>
      </c>
      <c r="BE3" s="16">
        <v>10</v>
      </c>
      <c r="BF3" s="16">
        <f>BE3/AY3*100</f>
        <v>1.0869565217391304</v>
      </c>
      <c r="BG3" s="16">
        <f>COUNTIF(BE2:BE6,"&gt;0")</f>
        <v>4</v>
      </c>
      <c r="BH3" s="18">
        <v>43619</v>
      </c>
      <c r="BI3" s="16">
        <v>925</v>
      </c>
      <c r="BJ3" s="16">
        <v>1012</v>
      </c>
      <c r="BK3" s="16">
        <v>877</v>
      </c>
      <c r="BL3" s="16">
        <v>905</v>
      </c>
      <c r="BM3" s="16">
        <v>905</v>
      </c>
      <c r="BN3" s="16">
        <v>999200</v>
      </c>
      <c r="BO3" s="16">
        <v>-20</v>
      </c>
      <c r="BP3" s="16">
        <f>BO3/BI3*100</f>
        <v>-2.1621621621621623</v>
      </c>
      <c r="BQ3" s="16">
        <f>COUNTIF(BO2:BO6,"&gt;0")</f>
        <v>2</v>
      </c>
      <c r="BR3" s="18">
        <v>43647</v>
      </c>
      <c r="BS3" s="16">
        <v>915</v>
      </c>
      <c r="BT3" s="16">
        <v>1114</v>
      </c>
      <c r="BU3" s="16">
        <v>912</v>
      </c>
      <c r="BV3" s="16">
        <v>1020</v>
      </c>
      <c r="BW3" s="16">
        <v>1020</v>
      </c>
      <c r="BX3" s="16">
        <v>1315800</v>
      </c>
      <c r="BY3" s="16">
        <v>105</v>
      </c>
      <c r="BZ3" s="16">
        <f>BY3/BS3*100</f>
        <v>11.475409836065573</v>
      </c>
      <c r="CA3" s="16">
        <f>COUNTIF(BY2:BY6,"&gt;0")</f>
        <v>2</v>
      </c>
      <c r="CB3" s="18">
        <v>43678</v>
      </c>
      <c r="CC3" s="16">
        <v>999</v>
      </c>
      <c r="CD3" s="16">
        <v>1035</v>
      </c>
      <c r="CE3" s="16">
        <v>910</v>
      </c>
      <c r="CF3" s="16">
        <v>1027</v>
      </c>
      <c r="CG3" s="16">
        <v>1027</v>
      </c>
      <c r="CH3" s="16">
        <v>405900</v>
      </c>
      <c r="CI3" s="16">
        <v>28</v>
      </c>
      <c r="CJ3" s="16">
        <f>CI3/CC3*100</f>
        <v>2.8028028028028027</v>
      </c>
      <c r="CK3" s="16">
        <f>COUNTIF(CI2:CI6,"&gt;0")</f>
        <v>3</v>
      </c>
      <c r="CL3" s="18">
        <v>43710</v>
      </c>
      <c r="CM3" s="16">
        <v>1030</v>
      </c>
      <c r="CN3" s="16">
        <v>1059</v>
      </c>
      <c r="CO3" s="16">
        <v>944</v>
      </c>
      <c r="CP3" s="16">
        <v>1026</v>
      </c>
      <c r="CQ3" s="16">
        <v>1026</v>
      </c>
      <c r="CR3" s="16">
        <v>514600</v>
      </c>
      <c r="CS3" s="16">
        <v>-4</v>
      </c>
      <c r="CT3" s="16">
        <f>CS3/CM3*100</f>
        <v>-0.38834951456310679</v>
      </c>
      <c r="CU3" s="16">
        <f>COUNTIF(CS2:CS6,"&gt;0")</f>
        <v>1</v>
      </c>
      <c r="CV3" s="18">
        <v>43739</v>
      </c>
      <c r="CW3" s="16">
        <v>1019</v>
      </c>
      <c r="CX3" s="16">
        <v>1061</v>
      </c>
      <c r="CY3" s="16">
        <v>970</v>
      </c>
      <c r="CZ3" s="16">
        <v>995</v>
      </c>
      <c r="DA3" s="16">
        <v>995</v>
      </c>
      <c r="DB3" s="16">
        <v>277200</v>
      </c>
      <c r="DC3" s="16">
        <v>-24</v>
      </c>
      <c r="DD3" s="16">
        <f>DC3/CW3*100</f>
        <v>-2.3552502453385671</v>
      </c>
      <c r="DE3" s="16">
        <f>COUNTIF(DC2:DC6,"&gt;0")</f>
        <v>2</v>
      </c>
      <c r="DF3" s="18">
        <v>43770</v>
      </c>
      <c r="DG3" s="16">
        <v>991</v>
      </c>
      <c r="DH3" s="16">
        <v>1025</v>
      </c>
      <c r="DI3" s="16">
        <v>975</v>
      </c>
      <c r="DJ3" s="16">
        <v>1018</v>
      </c>
      <c r="DK3" s="16">
        <v>1018</v>
      </c>
      <c r="DL3" s="16">
        <v>343200</v>
      </c>
      <c r="DM3" s="16">
        <v>27</v>
      </c>
      <c r="DN3" s="16">
        <f>DM3/DG3*100</f>
        <v>2.7245206861755804</v>
      </c>
      <c r="DO3" s="16">
        <f>COUNTIF(DM2:DM6,"&gt;0")</f>
        <v>3</v>
      </c>
      <c r="DP3" s="18">
        <v>43801</v>
      </c>
      <c r="DQ3" s="16">
        <v>1035</v>
      </c>
      <c r="DR3" s="16">
        <v>1149</v>
      </c>
      <c r="DS3" s="16">
        <v>990</v>
      </c>
      <c r="DT3" s="16">
        <v>1083</v>
      </c>
      <c r="DU3" s="16">
        <v>1083</v>
      </c>
      <c r="DV3" s="16">
        <v>1035400</v>
      </c>
      <c r="DW3" s="16">
        <v>48</v>
      </c>
      <c r="DX3" s="16">
        <f>DW3/DQ3*100</f>
        <v>4.63768115942029</v>
      </c>
      <c r="DY3" s="16">
        <f>COUNTIF(DW2:DW6,"&gt;0")</f>
        <v>2</v>
      </c>
    </row>
    <row r="4" spans="1:129">
      <c r="A4" s="17">
        <v>43160</v>
      </c>
      <c r="B4" s="16">
        <v>1798</v>
      </c>
      <c r="C4" s="16">
        <v>2230</v>
      </c>
      <c r="D4" s="16">
        <v>1432</v>
      </c>
      <c r="E4" s="16">
        <v>1492</v>
      </c>
      <c r="F4" s="16">
        <v>1492</v>
      </c>
      <c r="G4" s="16">
        <v>2379900</v>
      </c>
      <c r="H4" s="16">
        <f t="shared" si="0"/>
        <v>-306</v>
      </c>
      <c r="J4" s="18">
        <v>43836</v>
      </c>
      <c r="K4" s="16">
        <v>1086</v>
      </c>
      <c r="L4" s="16">
        <v>1298</v>
      </c>
      <c r="M4" s="16">
        <v>1067</v>
      </c>
      <c r="N4" s="16">
        <v>1174</v>
      </c>
      <c r="O4" s="16">
        <v>1174</v>
      </c>
      <c r="P4" s="16">
        <v>1371300</v>
      </c>
      <c r="Q4" s="16">
        <v>88</v>
      </c>
      <c r="R4" s="16">
        <f>Q4/K4*100</f>
        <v>8.1031307550644573</v>
      </c>
      <c r="S4" s="19">
        <f>S3/S2*100</f>
        <v>60</v>
      </c>
      <c r="T4" s="18">
        <v>43864</v>
      </c>
      <c r="U4" s="16">
        <v>1135</v>
      </c>
      <c r="V4" s="16">
        <v>1414</v>
      </c>
      <c r="W4" s="16">
        <v>1066</v>
      </c>
      <c r="X4" s="16">
        <v>1077</v>
      </c>
      <c r="Y4" s="16">
        <v>1077</v>
      </c>
      <c r="Z4" s="16">
        <v>1071600</v>
      </c>
      <c r="AA4" s="16">
        <v>-58</v>
      </c>
      <c r="AB4" s="16">
        <f>AA4/U4*100</f>
        <v>-5.1101321585903081</v>
      </c>
      <c r="AC4" s="19">
        <f>AC3/AC2*100</f>
        <v>60</v>
      </c>
      <c r="AD4" s="18">
        <v>43892</v>
      </c>
      <c r="AE4" s="16">
        <v>1047</v>
      </c>
      <c r="AF4" s="16">
        <v>1192</v>
      </c>
      <c r="AG4" s="16">
        <v>815</v>
      </c>
      <c r="AH4" s="16">
        <v>1030</v>
      </c>
      <c r="AI4" s="16">
        <v>1030</v>
      </c>
      <c r="AJ4" s="16">
        <v>1387200</v>
      </c>
      <c r="AK4" s="16">
        <v>-17</v>
      </c>
      <c r="AL4" s="16">
        <f>AK4/AE4*100</f>
        <v>-1.6236867239732569</v>
      </c>
      <c r="AM4" s="19">
        <f>AM3/AM2*100</f>
        <v>40</v>
      </c>
      <c r="AN4" s="18">
        <v>43922</v>
      </c>
      <c r="AO4" s="16">
        <v>1020</v>
      </c>
      <c r="AP4" s="16">
        <v>1380</v>
      </c>
      <c r="AQ4" s="16">
        <v>924</v>
      </c>
      <c r="AR4" s="16">
        <v>1224</v>
      </c>
      <c r="AS4" s="16">
        <v>1224</v>
      </c>
      <c r="AT4" s="16">
        <v>1845100</v>
      </c>
      <c r="AU4" s="16">
        <v>204</v>
      </c>
      <c r="AV4" s="16">
        <f>AU4/AO4*100</f>
        <v>20</v>
      </c>
      <c r="AW4" s="19">
        <f>AW3/AW2*100</f>
        <v>40</v>
      </c>
      <c r="AX4" s="18">
        <v>43952</v>
      </c>
      <c r="AY4" s="16">
        <v>1224</v>
      </c>
      <c r="AZ4" s="16">
        <v>1438</v>
      </c>
      <c r="BA4" s="16">
        <v>1214</v>
      </c>
      <c r="BB4" s="16">
        <v>1372</v>
      </c>
      <c r="BC4" s="16">
        <v>1372</v>
      </c>
      <c r="BD4" s="16">
        <v>809000</v>
      </c>
      <c r="BE4" s="16">
        <v>148</v>
      </c>
      <c r="BF4" s="16">
        <f>BE4/AY4*100</f>
        <v>12.091503267973856</v>
      </c>
      <c r="BG4" s="19">
        <f>BG3/BG2*100</f>
        <v>80</v>
      </c>
      <c r="BH4" s="18">
        <v>43983</v>
      </c>
      <c r="BI4" s="16">
        <v>1399</v>
      </c>
      <c r="BJ4" s="16">
        <v>2470</v>
      </c>
      <c r="BK4" s="16">
        <v>1317</v>
      </c>
      <c r="BL4" s="16">
        <v>2362</v>
      </c>
      <c r="BM4" s="16">
        <v>2362</v>
      </c>
      <c r="BN4" s="16">
        <v>4704200</v>
      </c>
      <c r="BO4" s="16">
        <v>963</v>
      </c>
      <c r="BP4" s="16">
        <f>BO4/BI4*100</f>
        <v>68.834882058613303</v>
      </c>
      <c r="BQ4" s="19">
        <f>BQ3/BQ2*100</f>
        <v>40</v>
      </c>
      <c r="BR4" s="18">
        <v>44013</v>
      </c>
      <c r="BS4" s="16">
        <v>2352</v>
      </c>
      <c r="BT4" s="16">
        <v>2486</v>
      </c>
      <c r="BU4" s="16">
        <v>2030</v>
      </c>
      <c r="BV4" s="16">
        <v>2338</v>
      </c>
      <c r="BW4" s="16">
        <v>2338</v>
      </c>
      <c r="BX4" s="16">
        <v>2672200</v>
      </c>
      <c r="BY4" s="16">
        <v>-14</v>
      </c>
      <c r="BZ4" s="16">
        <f>BY4/BS4*100</f>
        <v>-0.59523809523809523</v>
      </c>
      <c r="CA4" s="19">
        <f>CA3/CA2*100</f>
        <v>40</v>
      </c>
      <c r="CB4" s="18">
        <v>44046</v>
      </c>
      <c r="CC4" s="16">
        <v>2398</v>
      </c>
      <c r="CD4" s="16">
        <v>3010</v>
      </c>
      <c r="CE4" s="16">
        <v>2286</v>
      </c>
      <c r="CF4" s="16">
        <v>2768</v>
      </c>
      <c r="CG4" s="16">
        <v>2768</v>
      </c>
      <c r="CH4" s="16">
        <v>2052600</v>
      </c>
      <c r="CI4" s="16">
        <v>370</v>
      </c>
      <c r="CJ4" s="16">
        <f>CI4/CC4*100</f>
        <v>15.42952460383653</v>
      </c>
      <c r="CK4" s="19">
        <f>CK3/CK2*100</f>
        <v>60</v>
      </c>
      <c r="CL4" s="18">
        <v>44075</v>
      </c>
      <c r="CM4" s="16">
        <v>2797</v>
      </c>
      <c r="CN4" s="16">
        <v>3090</v>
      </c>
      <c r="CO4" s="16">
        <v>2134</v>
      </c>
      <c r="CP4" s="16">
        <v>2290</v>
      </c>
      <c r="CQ4" s="16">
        <v>2290</v>
      </c>
      <c r="CR4" s="16">
        <v>3714200</v>
      </c>
      <c r="CS4" s="16">
        <v>-507</v>
      </c>
      <c r="CT4" s="16">
        <f>CS4/CM4*100</f>
        <v>-18.126564175902754</v>
      </c>
      <c r="CU4" s="19">
        <f>CU3/CU2*100</f>
        <v>20</v>
      </c>
      <c r="CV4" s="18">
        <v>44106</v>
      </c>
      <c r="CW4" s="16">
        <v>2310</v>
      </c>
      <c r="CX4" s="16">
        <v>2868</v>
      </c>
      <c r="CY4" s="16">
        <v>2066</v>
      </c>
      <c r="CZ4" s="16">
        <v>2347</v>
      </c>
      <c r="DA4" s="16">
        <v>2347</v>
      </c>
      <c r="DB4" s="16">
        <v>3771200</v>
      </c>
      <c r="DC4" s="16">
        <v>37</v>
      </c>
      <c r="DD4" s="16">
        <f>DC4/CW4*100</f>
        <v>1.6017316017316017</v>
      </c>
      <c r="DE4" s="19">
        <f>DE3/DE2*100</f>
        <v>40</v>
      </c>
      <c r="DF4" s="18">
        <v>44137</v>
      </c>
      <c r="DG4" s="16">
        <v>2324</v>
      </c>
      <c r="DH4" s="16">
        <v>2805</v>
      </c>
      <c r="DI4" s="16">
        <v>2227</v>
      </c>
      <c r="DJ4" s="16">
        <v>2756</v>
      </c>
      <c r="DK4" s="16">
        <v>2756</v>
      </c>
      <c r="DL4" s="16">
        <v>1567800</v>
      </c>
      <c r="DM4" s="16">
        <v>432</v>
      </c>
      <c r="DN4" s="16">
        <f>DM4/DG4*100</f>
        <v>18.588640275387263</v>
      </c>
      <c r="DO4" s="19">
        <f>DO3/DO2*100</f>
        <v>60</v>
      </c>
      <c r="DP4" s="18">
        <v>44166</v>
      </c>
      <c r="DQ4" s="16">
        <v>2740</v>
      </c>
      <c r="DR4" s="16">
        <v>2887</v>
      </c>
      <c r="DS4" s="16">
        <v>1964</v>
      </c>
      <c r="DT4" s="16">
        <v>1999</v>
      </c>
      <c r="DU4" s="16">
        <v>1999</v>
      </c>
      <c r="DV4" s="16">
        <v>4512500</v>
      </c>
      <c r="DW4" s="16">
        <v>-741</v>
      </c>
      <c r="DX4" s="16">
        <f>DW4/DQ4*100</f>
        <v>-27.043795620437955</v>
      </c>
      <c r="DY4" s="19">
        <f>DY3/DY2*100</f>
        <v>40</v>
      </c>
    </row>
    <row r="5" spans="1:129">
      <c r="A5" s="17">
        <v>43192</v>
      </c>
      <c r="B5" s="16">
        <v>1482</v>
      </c>
      <c r="C5" s="16">
        <v>1516</v>
      </c>
      <c r="D5" s="16">
        <v>1233</v>
      </c>
      <c r="E5" s="16">
        <v>1239</v>
      </c>
      <c r="F5" s="16">
        <v>1239</v>
      </c>
      <c r="G5" s="16">
        <v>1168100</v>
      </c>
      <c r="H5" s="16">
        <f t="shared" si="0"/>
        <v>-243</v>
      </c>
      <c r="J5" s="18">
        <v>44200</v>
      </c>
      <c r="K5" s="16">
        <v>2047</v>
      </c>
      <c r="L5" s="16">
        <v>2158</v>
      </c>
      <c r="M5" s="16">
        <v>1843</v>
      </c>
      <c r="N5" s="16">
        <v>1843</v>
      </c>
      <c r="O5" s="16">
        <v>1843</v>
      </c>
      <c r="P5" s="16">
        <v>2452900</v>
      </c>
      <c r="Q5" s="16">
        <v>-204</v>
      </c>
      <c r="R5" s="16">
        <f>Q5/K5*100</f>
        <v>-9.9658036150464095</v>
      </c>
      <c r="S5" s="16">
        <f>AVERAGE(R2:R6)</f>
        <v>4.3255075558121465</v>
      </c>
      <c r="T5" s="18">
        <v>44228</v>
      </c>
      <c r="U5" s="16">
        <v>1805</v>
      </c>
      <c r="V5" s="16">
        <v>1884</v>
      </c>
      <c r="W5" s="16">
        <v>1692</v>
      </c>
      <c r="X5" s="16">
        <v>1714</v>
      </c>
      <c r="Y5" s="16">
        <v>1714</v>
      </c>
      <c r="Z5" s="16">
        <v>1705900</v>
      </c>
      <c r="AA5" s="16">
        <v>-91</v>
      </c>
      <c r="AB5" s="16">
        <f>AA5/U5*100</f>
        <v>-5.0415512465373968</v>
      </c>
      <c r="AC5" s="16">
        <f>AVERAGE(AB2:AB6)</f>
        <v>1.0556706658176398</v>
      </c>
      <c r="AD5" s="18">
        <v>44256</v>
      </c>
      <c r="AE5" s="16">
        <v>1737</v>
      </c>
      <c r="AF5" s="16">
        <v>1781</v>
      </c>
      <c r="AG5" s="16">
        <v>1564</v>
      </c>
      <c r="AH5" s="16">
        <v>1655</v>
      </c>
      <c r="AI5" s="16">
        <v>1655</v>
      </c>
      <c r="AJ5" s="16">
        <v>2825200</v>
      </c>
      <c r="AK5" s="16">
        <v>-82</v>
      </c>
      <c r="AL5" s="16">
        <f>AK5/AE5*100</f>
        <v>-4.7207829591249277</v>
      </c>
      <c r="AM5" s="16">
        <f>AVERAGE(AL2:AL6)</f>
        <v>-3.2841260764346467</v>
      </c>
      <c r="AN5" s="18">
        <v>44287</v>
      </c>
      <c r="AO5" s="16">
        <v>1673</v>
      </c>
      <c r="AP5" s="16">
        <v>1870</v>
      </c>
      <c r="AQ5" s="16">
        <v>1616</v>
      </c>
      <c r="AR5" s="16">
        <v>1760</v>
      </c>
      <c r="AS5" s="16">
        <v>1760</v>
      </c>
      <c r="AT5" s="16">
        <v>1913200</v>
      </c>
      <c r="AU5" s="16">
        <v>87</v>
      </c>
      <c r="AV5" s="16">
        <f>AU5/AO5*100</f>
        <v>5.200239091452481</v>
      </c>
      <c r="AW5" s="16">
        <f>AVERAGE(AV2:AV6)</f>
        <v>-0.10167873775244125</v>
      </c>
      <c r="AX5" s="18">
        <v>44322</v>
      </c>
      <c r="AY5" s="16">
        <v>1765</v>
      </c>
      <c r="AZ5" s="16">
        <v>1797</v>
      </c>
      <c r="BA5" s="16">
        <v>1625</v>
      </c>
      <c r="BB5" s="16">
        <v>1668</v>
      </c>
      <c r="BC5" s="16">
        <v>1668</v>
      </c>
      <c r="BD5" s="16">
        <v>975200</v>
      </c>
      <c r="BE5" s="16">
        <v>-97</v>
      </c>
      <c r="BF5" s="16">
        <f>BE5/AY5*100</f>
        <v>-5.4957507082152972</v>
      </c>
      <c r="BG5" s="16">
        <f>AVERAGE(BF2:BF6)</f>
        <v>6.6595757342900495</v>
      </c>
      <c r="BH5" s="18">
        <v>44348</v>
      </c>
      <c r="BI5" s="16">
        <v>1691</v>
      </c>
      <c r="BJ5" s="16">
        <v>1736</v>
      </c>
      <c r="BK5" s="16">
        <v>1515</v>
      </c>
      <c r="BL5" s="16">
        <v>1585</v>
      </c>
      <c r="BM5" s="16">
        <v>1585</v>
      </c>
      <c r="BN5" s="16">
        <v>1187000</v>
      </c>
      <c r="BO5" s="16">
        <v>-106</v>
      </c>
      <c r="BP5" s="16">
        <f>BO5/BI5*100</f>
        <v>-6.2684801892371382</v>
      </c>
      <c r="BQ5" s="16">
        <f>AVERAGE(BP2:BP6)</f>
        <v>14.01699509751827</v>
      </c>
      <c r="BR5" s="18">
        <v>44378</v>
      </c>
      <c r="BS5" s="16">
        <v>1585</v>
      </c>
      <c r="BT5" s="16">
        <v>1614</v>
      </c>
      <c r="BU5" s="16">
        <v>1384</v>
      </c>
      <c r="BV5" s="16">
        <v>1386</v>
      </c>
      <c r="BW5" s="16">
        <v>1386</v>
      </c>
      <c r="BX5" s="16">
        <v>1099600</v>
      </c>
      <c r="BY5" s="16">
        <v>-199</v>
      </c>
      <c r="BZ5" s="16">
        <f>BY5/BS5*100</f>
        <v>-12.555205047318612</v>
      </c>
      <c r="CA5" s="16">
        <f>AVERAGE(BZ2:BZ6)</f>
        <v>-3.9225029025878242</v>
      </c>
      <c r="CB5" s="18">
        <v>44410</v>
      </c>
      <c r="CC5" s="16">
        <v>1387</v>
      </c>
      <c r="CD5" s="16">
        <v>1573</v>
      </c>
      <c r="CE5" s="16">
        <v>1288</v>
      </c>
      <c r="CF5" s="16">
        <v>1555</v>
      </c>
      <c r="CG5" s="16">
        <v>1555</v>
      </c>
      <c r="CH5" s="16">
        <v>991800</v>
      </c>
      <c r="CI5" s="16">
        <v>168</v>
      </c>
      <c r="CJ5" s="16">
        <f>CI5/CC5*100</f>
        <v>12.112472963229992</v>
      </c>
      <c r="CK5" s="16">
        <f>AVERAGE(CJ2:CJ6)</f>
        <v>3.4962852657373227</v>
      </c>
      <c r="CL5" s="18">
        <v>44440</v>
      </c>
      <c r="CM5" s="16">
        <v>1559</v>
      </c>
      <c r="CN5" s="16">
        <v>1814</v>
      </c>
      <c r="CO5" s="16">
        <v>1486</v>
      </c>
      <c r="CP5" s="16">
        <v>1644</v>
      </c>
      <c r="CQ5" s="16">
        <v>1644</v>
      </c>
      <c r="CR5" s="16">
        <v>1651500</v>
      </c>
      <c r="CS5" s="16">
        <v>85</v>
      </c>
      <c r="CT5" s="16">
        <f>CS5/CM5*100</f>
        <v>5.4522129570237334</v>
      </c>
      <c r="CU5" s="16">
        <f>AVERAGE(CT2:CT6)</f>
        <v>-8.4006950766676063</v>
      </c>
      <c r="CV5" s="18">
        <v>44470</v>
      </c>
      <c r="CW5" s="16">
        <v>1635</v>
      </c>
      <c r="CX5" s="16">
        <v>1644</v>
      </c>
      <c r="CY5" s="16">
        <v>1280</v>
      </c>
      <c r="CZ5" s="16">
        <v>1312</v>
      </c>
      <c r="DA5" s="16">
        <v>1312</v>
      </c>
      <c r="DB5" s="16">
        <v>1751800</v>
      </c>
      <c r="DC5" s="16">
        <v>-323</v>
      </c>
      <c r="DD5" s="16">
        <f>DC5/CW5*100</f>
        <v>-19.755351681957187</v>
      </c>
      <c r="DE5" s="16">
        <f>AVERAGE(DD2:DD6)</f>
        <v>-6.792826737340202</v>
      </c>
      <c r="DF5" s="18">
        <v>44501</v>
      </c>
      <c r="DG5" s="16">
        <v>1336</v>
      </c>
      <c r="DH5" s="16">
        <v>1407</v>
      </c>
      <c r="DI5" s="16">
        <v>1264</v>
      </c>
      <c r="DJ5" s="16">
        <v>1303</v>
      </c>
      <c r="DK5" s="16">
        <v>1303</v>
      </c>
      <c r="DL5" s="16">
        <v>969100</v>
      </c>
      <c r="DM5" s="16">
        <v>-33</v>
      </c>
      <c r="DN5" s="16">
        <f>DM5/DG5*100</f>
        <v>-2.4700598802395208</v>
      </c>
      <c r="DO5" s="16">
        <f>AVERAGE(DN2:DN6)</f>
        <v>4.2429188863604308</v>
      </c>
      <c r="DP5" s="18">
        <v>44531</v>
      </c>
      <c r="DQ5" s="16">
        <v>1300</v>
      </c>
      <c r="DR5" s="16">
        <v>1457</v>
      </c>
      <c r="DS5" s="16">
        <v>1193</v>
      </c>
      <c r="DT5" s="16">
        <v>1445</v>
      </c>
      <c r="DU5" s="16">
        <v>1445</v>
      </c>
      <c r="DV5" s="16">
        <v>2001300</v>
      </c>
      <c r="DW5" s="16">
        <v>145</v>
      </c>
      <c r="DX5" s="16">
        <f>DW5/DQ5*100</f>
        <v>11.153846153846155</v>
      </c>
      <c r="DY5" s="16">
        <f>AVERAGE(DX2:DX6)</f>
        <v>-7.142036646227008</v>
      </c>
    </row>
    <row r="6" spans="1:129">
      <c r="A6" s="17">
        <v>43221</v>
      </c>
      <c r="B6" s="16">
        <v>1239</v>
      </c>
      <c r="C6" s="16">
        <v>1494</v>
      </c>
      <c r="D6" s="16">
        <v>1233</v>
      </c>
      <c r="E6" s="16">
        <v>1456</v>
      </c>
      <c r="F6" s="16">
        <v>1456</v>
      </c>
      <c r="G6" s="16">
        <v>954700</v>
      </c>
      <c r="H6" s="16">
        <f t="shared" si="0"/>
        <v>217</v>
      </c>
      <c r="J6" s="18">
        <v>44565</v>
      </c>
      <c r="K6" s="16">
        <v>1455</v>
      </c>
      <c r="L6" s="16">
        <v>1459</v>
      </c>
      <c r="M6" s="16">
        <v>983</v>
      </c>
      <c r="N6" s="16">
        <v>1023</v>
      </c>
      <c r="O6" s="16">
        <v>1023</v>
      </c>
      <c r="P6" s="16">
        <v>2075900</v>
      </c>
      <c r="Q6" s="16">
        <v>-432</v>
      </c>
      <c r="R6" s="16">
        <f>Q6/K6*100</f>
        <v>-29.690721649484537</v>
      </c>
      <c r="S6" s="16">
        <f>MEDIAN(R2:R6)</f>
        <v>8.1031307550644573</v>
      </c>
      <c r="T6" s="18">
        <v>44593</v>
      </c>
      <c r="U6" s="16">
        <v>1031</v>
      </c>
      <c r="V6" s="16">
        <v>1140</v>
      </c>
      <c r="W6" s="16">
        <v>1025</v>
      </c>
      <c r="X6" s="16">
        <v>1134</v>
      </c>
      <c r="Y6" s="16">
        <v>1134</v>
      </c>
      <c r="Z6" s="16">
        <v>906100</v>
      </c>
      <c r="AA6" s="16">
        <v>103</v>
      </c>
      <c r="AB6" s="16">
        <f>AA6/U6*100</f>
        <v>9.9903006789524742</v>
      </c>
      <c r="AC6" s="16">
        <f>MEDIAN(AB2:AB6)</f>
        <v>2.2950819672131146</v>
      </c>
      <c r="AD6" s="18">
        <v>44621</v>
      </c>
      <c r="AE6" s="16">
        <v>1147</v>
      </c>
      <c r="AF6" s="16">
        <v>1255</v>
      </c>
      <c r="AG6" s="16">
        <v>1020</v>
      </c>
      <c r="AH6" s="16">
        <v>1218</v>
      </c>
      <c r="AI6" s="16">
        <v>1218</v>
      </c>
      <c r="AJ6" s="16">
        <v>2104700</v>
      </c>
      <c r="AK6" s="16">
        <v>71</v>
      </c>
      <c r="AL6" s="16">
        <f>AK6/AE6*100</f>
        <v>6.1900610287707059</v>
      </c>
      <c r="AM6" s="16">
        <f>MEDIAN(AL2:AL6)</f>
        <v>-1.6236867239732569</v>
      </c>
      <c r="AN6" s="18">
        <v>44652</v>
      </c>
      <c r="AO6" s="16">
        <v>1215</v>
      </c>
      <c r="AP6" s="16">
        <v>1339</v>
      </c>
      <c r="AQ6" s="16">
        <v>1102</v>
      </c>
      <c r="AR6" s="16">
        <v>1148</v>
      </c>
      <c r="AS6" s="16">
        <v>1148</v>
      </c>
      <c r="AT6" s="16">
        <v>1267700</v>
      </c>
      <c r="AU6" s="16">
        <v>-67</v>
      </c>
      <c r="AV6" s="16">
        <f>AU6/AO6*100</f>
        <v>-5.5144032921810702</v>
      </c>
      <c r="AW6" s="16">
        <f>MEDIAN(AV2:AV6)</f>
        <v>-3.79746835443038</v>
      </c>
      <c r="AX6" s="18">
        <v>44683</v>
      </c>
      <c r="AY6" s="16">
        <v>1148</v>
      </c>
      <c r="AZ6" s="16">
        <v>1291</v>
      </c>
      <c r="BA6" s="16">
        <v>1110</v>
      </c>
      <c r="BB6" s="16">
        <v>1241</v>
      </c>
      <c r="BC6" s="16">
        <v>1241</v>
      </c>
      <c r="BD6" s="16">
        <v>851600</v>
      </c>
      <c r="BE6" s="16">
        <v>93</v>
      </c>
      <c r="BF6" s="16">
        <f>BE6/AY6*100</f>
        <v>8.1010452961672481</v>
      </c>
      <c r="BG6" s="16">
        <f>MEDIAN(BF2:BF6)</f>
        <v>8.1010452961672481</v>
      </c>
      <c r="BH6" s="18">
        <v>44713</v>
      </c>
      <c r="BI6" s="16">
        <v>1241</v>
      </c>
      <c r="BJ6" s="16">
        <v>1279</v>
      </c>
      <c r="BK6" s="16">
        <v>1003</v>
      </c>
      <c r="BL6" s="16">
        <v>1122</v>
      </c>
      <c r="BM6" s="16">
        <v>1122</v>
      </c>
      <c r="BN6" s="16">
        <v>990600</v>
      </c>
      <c r="BO6" s="16">
        <v>-119</v>
      </c>
      <c r="BP6" s="16">
        <f>BO6/BI6*100</f>
        <v>-9.5890410958904102</v>
      </c>
      <c r="BQ6" s="16">
        <f>MEDIAN(BP2:BP6)</f>
        <v>-2.1621621621621623</v>
      </c>
      <c r="BR6" s="18">
        <v>44743</v>
      </c>
      <c r="BS6" s="16">
        <v>1115</v>
      </c>
      <c r="BT6" s="16">
        <v>1179</v>
      </c>
      <c r="BU6" s="16">
        <v>1078</v>
      </c>
      <c r="BV6" s="16">
        <v>1151</v>
      </c>
      <c r="BW6" s="16">
        <v>1151</v>
      </c>
      <c r="BX6" s="16">
        <v>1237000</v>
      </c>
      <c r="BY6" s="16">
        <v>36</v>
      </c>
      <c r="BZ6" s="16">
        <f>BY6/BS6*100</f>
        <v>3.2286995515695067</v>
      </c>
      <c r="CA6" s="16">
        <f>MEDIAN(BZ2:BZ6)</f>
        <v>-0.59523809523809523</v>
      </c>
      <c r="CB6" s="18">
        <v>44774</v>
      </c>
      <c r="CC6" s="16">
        <v>1158</v>
      </c>
      <c r="CD6" s="16">
        <v>1171</v>
      </c>
      <c r="CE6" s="16">
        <v>1076</v>
      </c>
      <c r="CF6" s="16">
        <v>1134</v>
      </c>
      <c r="CG6" s="16">
        <v>1134</v>
      </c>
      <c r="CH6" s="16">
        <v>486000</v>
      </c>
      <c r="CI6" s="16">
        <v>-24</v>
      </c>
      <c r="CJ6" s="16">
        <f>CI6/CC6*100</f>
        <v>-2.0725388601036272</v>
      </c>
      <c r="CK6" s="16">
        <f>MEDIAN(CJ2:CJ6)</f>
        <v>2.8028028028028027</v>
      </c>
      <c r="CL6" s="18">
        <v>44805</v>
      </c>
      <c r="CM6" s="16">
        <v>1131</v>
      </c>
      <c r="CN6" s="16">
        <v>1142</v>
      </c>
      <c r="CO6" s="16">
        <v>937</v>
      </c>
      <c r="CP6" s="16">
        <v>956</v>
      </c>
      <c r="CQ6" s="16">
        <v>956</v>
      </c>
      <c r="CR6" s="16">
        <v>928200</v>
      </c>
      <c r="CS6" s="16">
        <v>-175</v>
      </c>
      <c r="CT6" s="16">
        <f>CS6/CM6*100</f>
        <v>-15.473032714412025</v>
      </c>
      <c r="CU6" s="16">
        <f>MEDIAN(CT2:CT6)</f>
        <v>-13.46774193548387</v>
      </c>
      <c r="CV6" s="18">
        <v>44837</v>
      </c>
      <c r="CW6" s="16">
        <v>960</v>
      </c>
      <c r="CX6" s="16">
        <v>1020</v>
      </c>
      <c r="CY6" s="16">
        <v>923</v>
      </c>
      <c r="CZ6" s="16">
        <v>1015</v>
      </c>
      <c r="DA6" s="16">
        <v>1015</v>
      </c>
      <c r="DB6" s="16">
        <v>508100</v>
      </c>
      <c r="DC6" s="16">
        <v>55</v>
      </c>
      <c r="DD6" s="16">
        <f>DC6/CW6*100</f>
        <v>5.7291666666666661</v>
      </c>
      <c r="DE6" s="16">
        <f>MEDIAN(DD2:DD6)</f>
        <v>-2.3552502453385671</v>
      </c>
      <c r="DF6" s="18">
        <v>44866</v>
      </c>
      <c r="DG6" s="16">
        <v>1019</v>
      </c>
      <c r="DH6" s="16">
        <v>1063</v>
      </c>
      <c r="DI6" s="16">
        <v>999</v>
      </c>
      <c r="DJ6" s="16">
        <v>1001</v>
      </c>
      <c r="DK6" s="16">
        <v>1001</v>
      </c>
      <c r="DL6" s="16">
        <v>480100</v>
      </c>
      <c r="DM6" s="16">
        <v>-18</v>
      </c>
      <c r="DN6" s="16">
        <f>DM6/DG6*100</f>
        <v>-1.7664376840039255</v>
      </c>
      <c r="DO6" s="16">
        <f>MEDIAN(DN2:DN6)</f>
        <v>2.7245206861755804</v>
      </c>
      <c r="DP6" s="18">
        <v>44896</v>
      </c>
      <c r="DQ6" s="16">
        <v>1014</v>
      </c>
      <c r="DR6" s="16">
        <v>1091</v>
      </c>
      <c r="DS6" s="16">
        <v>931</v>
      </c>
      <c r="DT6" s="16">
        <v>995</v>
      </c>
      <c r="DU6" s="16">
        <v>995</v>
      </c>
      <c r="DV6" s="16">
        <v>1184200</v>
      </c>
      <c r="DW6" s="16">
        <v>-19</v>
      </c>
      <c r="DX6" s="16">
        <f>DW6/DQ6*100</f>
        <v>-1.8737672583826428</v>
      </c>
      <c r="DY6" s="16">
        <f>MEDIAN(DX2:DX6)</f>
        <v>-1.8737672583826428</v>
      </c>
    </row>
    <row r="7" spans="1:129">
      <c r="A7" s="17">
        <v>43252</v>
      </c>
      <c r="B7" s="16">
        <v>1479</v>
      </c>
      <c r="C7" s="16">
        <v>1957</v>
      </c>
      <c r="D7" s="16">
        <v>1468</v>
      </c>
      <c r="E7" s="16">
        <v>1764</v>
      </c>
      <c r="F7" s="16">
        <v>1764</v>
      </c>
      <c r="G7" s="16">
        <v>2088400</v>
      </c>
      <c r="H7" s="16">
        <f t="shared" si="0"/>
        <v>285</v>
      </c>
    </row>
    <row r="8" spans="1:129">
      <c r="A8" s="17">
        <v>43283</v>
      </c>
      <c r="B8" s="16">
        <v>1715</v>
      </c>
      <c r="C8" s="16">
        <v>1722</v>
      </c>
      <c r="D8" s="16">
        <v>1307</v>
      </c>
      <c r="E8" s="16">
        <v>1352</v>
      </c>
      <c r="F8" s="16">
        <v>1352</v>
      </c>
      <c r="G8" s="16">
        <v>1137800</v>
      </c>
      <c r="H8" s="16">
        <f t="shared" si="0"/>
        <v>-363</v>
      </c>
    </row>
    <row r="9" spans="1:129">
      <c r="A9" s="17">
        <v>43313</v>
      </c>
      <c r="B9" s="16">
        <v>1353</v>
      </c>
      <c r="C9" s="16">
        <v>1353</v>
      </c>
      <c r="D9" s="16">
        <v>1131</v>
      </c>
      <c r="E9" s="16">
        <v>1207</v>
      </c>
      <c r="F9" s="16">
        <v>1207</v>
      </c>
      <c r="G9" s="16">
        <v>1113200</v>
      </c>
      <c r="H9" s="16">
        <f t="shared" si="0"/>
        <v>-146</v>
      </c>
    </row>
    <row r="10" spans="1:129">
      <c r="A10" s="17">
        <v>43346</v>
      </c>
      <c r="B10" s="16">
        <v>1240</v>
      </c>
      <c r="C10" s="16">
        <v>1525</v>
      </c>
      <c r="D10" s="16">
        <v>1045</v>
      </c>
      <c r="E10" s="16">
        <v>1073</v>
      </c>
      <c r="F10" s="16">
        <v>1073</v>
      </c>
      <c r="G10" s="16">
        <v>4167000</v>
      </c>
      <c r="H10" s="16">
        <f t="shared" si="0"/>
        <v>-167</v>
      </c>
    </row>
    <row r="11" spans="1:129">
      <c r="A11" s="17">
        <v>43374</v>
      </c>
      <c r="B11" s="16">
        <v>1079</v>
      </c>
      <c r="C11" s="16">
        <v>1120</v>
      </c>
      <c r="D11" s="16">
        <v>836</v>
      </c>
      <c r="E11" s="16">
        <v>872</v>
      </c>
      <c r="F11" s="16">
        <v>872</v>
      </c>
      <c r="G11" s="16">
        <v>2050700</v>
      </c>
      <c r="H11" s="16">
        <f t="shared" si="0"/>
        <v>-207</v>
      </c>
    </row>
    <row r="12" spans="1:129">
      <c r="A12" s="17">
        <v>43405</v>
      </c>
      <c r="B12" s="16">
        <v>870</v>
      </c>
      <c r="C12" s="16">
        <v>959</v>
      </c>
      <c r="D12" s="16">
        <v>833</v>
      </c>
      <c r="E12" s="16">
        <v>906</v>
      </c>
      <c r="F12" s="16">
        <v>906</v>
      </c>
      <c r="G12" s="16">
        <v>1018600</v>
      </c>
      <c r="H12" s="16">
        <f t="shared" si="0"/>
        <v>36</v>
      </c>
    </row>
    <row r="13" spans="1:129">
      <c r="A13" s="17">
        <v>43437</v>
      </c>
      <c r="B13" s="16">
        <v>921</v>
      </c>
      <c r="C13" s="16">
        <v>985</v>
      </c>
      <c r="D13" s="16">
        <v>624</v>
      </c>
      <c r="E13" s="16">
        <v>713</v>
      </c>
      <c r="F13" s="16">
        <v>713</v>
      </c>
      <c r="G13" s="16">
        <v>2148400</v>
      </c>
      <c r="H13" s="16">
        <f t="shared" si="0"/>
        <v>-208</v>
      </c>
    </row>
    <row r="14" spans="1:129">
      <c r="A14" s="17">
        <v>43469</v>
      </c>
      <c r="B14" s="16">
        <v>711</v>
      </c>
      <c r="C14" s="16">
        <v>949</v>
      </c>
      <c r="D14" s="16">
        <v>700</v>
      </c>
      <c r="E14" s="16">
        <v>920</v>
      </c>
      <c r="F14" s="16">
        <v>920</v>
      </c>
      <c r="G14" s="16">
        <v>2255400</v>
      </c>
      <c r="H14" s="16">
        <f t="shared" si="0"/>
        <v>209</v>
      </c>
    </row>
    <row r="15" spans="1:129">
      <c r="A15" s="17">
        <v>43497</v>
      </c>
      <c r="B15" s="16">
        <v>915</v>
      </c>
      <c r="C15" s="16">
        <v>1081</v>
      </c>
      <c r="D15" s="16">
        <v>886</v>
      </c>
      <c r="E15" s="16">
        <v>936</v>
      </c>
      <c r="F15" s="16">
        <v>936</v>
      </c>
      <c r="G15" s="16">
        <v>1704700</v>
      </c>
      <c r="H15" s="16">
        <f t="shared" si="0"/>
        <v>21</v>
      </c>
    </row>
    <row r="16" spans="1:129">
      <c r="A16" s="17">
        <v>43525</v>
      </c>
      <c r="B16" s="16">
        <v>930</v>
      </c>
      <c r="C16" s="16">
        <v>1070</v>
      </c>
      <c r="D16" s="16">
        <v>867</v>
      </c>
      <c r="E16" s="16">
        <v>937</v>
      </c>
      <c r="F16" s="16">
        <v>937</v>
      </c>
      <c r="G16" s="16">
        <v>1366600</v>
      </c>
      <c r="H16" s="16">
        <f t="shared" si="0"/>
        <v>7</v>
      </c>
    </row>
    <row r="17" spans="1:8">
      <c r="A17" s="17">
        <v>43556</v>
      </c>
      <c r="B17" s="16">
        <v>948</v>
      </c>
      <c r="C17" s="16">
        <v>961</v>
      </c>
      <c r="D17" s="16">
        <v>890</v>
      </c>
      <c r="E17" s="16">
        <v>912</v>
      </c>
      <c r="F17" s="16">
        <v>912</v>
      </c>
      <c r="G17" s="16">
        <v>430600</v>
      </c>
      <c r="H17" s="16">
        <f t="shared" si="0"/>
        <v>-36</v>
      </c>
    </row>
    <row r="18" spans="1:8">
      <c r="A18" s="17">
        <v>43592</v>
      </c>
      <c r="B18" s="16">
        <v>920</v>
      </c>
      <c r="C18" s="16">
        <v>1000</v>
      </c>
      <c r="D18" s="16">
        <v>875</v>
      </c>
      <c r="E18" s="16">
        <v>930</v>
      </c>
      <c r="F18" s="16">
        <v>930</v>
      </c>
      <c r="G18" s="16">
        <v>542000</v>
      </c>
      <c r="H18" s="16">
        <f t="shared" si="0"/>
        <v>10</v>
      </c>
    </row>
    <row r="19" spans="1:8">
      <c r="A19" s="17">
        <v>43619</v>
      </c>
      <c r="B19" s="16">
        <v>925</v>
      </c>
      <c r="C19" s="16">
        <v>1012</v>
      </c>
      <c r="D19" s="16">
        <v>877</v>
      </c>
      <c r="E19" s="16">
        <v>905</v>
      </c>
      <c r="F19" s="16">
        <v>905</v>
      </c>
      <c r="G19" s="16">
        <v>999200</v>
      </c>
      <c r="H19" s="16">
        <f t="shared" si="0"/>
        <v>-20</v>
      </c>
    </row>
    <row r="20" spans="1:8">
      <c r="A20" s="17">
        <v>43647</v>
      </c>
      <c r="B20" s="16">
        <v>915</v>
      </c>
      <c r="C20" s="16">
        <v>1114</v>
      </c>
      <c r="D20" s="16">
        <v>912</v>
      </c>
      <c r="E20" s="16">
        <v>1020</v>
      </c>
      <c r="F20" s="16">
        <v>1020</v>
      </c>
      <c r="G20" s="16">
        <v>1315800</v>
      </c>
      <c r="H20" s="16">
        <f t="shared" si="0"/>
        <v>105</v>
      </c>
    </row>
    <row r="21" spans="1:8">
      <c r="A21" s="17">
        <v>43678</v>
      </c>
      <c r="B21" s="16">
        <v>999</v>
      </c>
      <c r="C21" s="16">
        <v>1035</v>
      </c>
      <c r="D21" s="16">
        <v>910</v>
      </c>
      <c r="E21" s="16">
        <v>1027</v>
      </c>
      <c r="F21" s="16">
        <v>1027</v>
      </c>
      <c r="G21" s="16">
        <v>405900</v>
      </c>
      <c r="H21" s="16">
        <f t="shared" si="0"/>
        <v>28</v>
      </c>
    </row>
    <row r="22" spans="1:8">
      <c r="A22" s="17">
        <v>43710</v>
      </c>
      <c r="B22" s="16">
        <v>1030</v>
      </c>
      <c r="C22" s="16">
        <v>1059</v>
      </c>
      <c r="D22" s="16">
        <v>944</v>
      </c>
      <c r="E22" s="16">
        <v>1026</v>
      </c>
      <c r="F22" s="16">
        <v>1026</v>
      </c>
      <c r="G22" s="16">
        <v>514600</v>
      </c>
      <c r="H22" s="16">
        <f t="shared" si="0"/>
        <v>-4</v>
      </c>
    </row>
    <row r="23" spans="1:8">
      <c r="A23" s="17">
        <v>43739</v>
      </c>
      <c r="B23" s="16">
        <v>1019</v>
      </c>
      <c r="C23" s="16">
        <v>1061</v>
      </c>
      <c r="D23" s="16">
        <v>970</v>
      </c>
      <c r="E23" s="16">
        <v>995</v>
      </c>
      <c r="F23" s="16">
        <v>995</v>
      </c>
      <c r="G23" s="16">
        <v>277200</v>
      </c>
      <c r="H23" s="16">
        <f t="shared" si="0"/>
        <v>-24</v>
      </c>
    </row>
    <row r="24" spans="1:8">
      <c r="A24" s="17">
        <v>43770</v>
      </c>
      <c r="B24" s="16">
        <v>991</v>
      </c>
      <c r="C24" s="16">
        <v>1025</v>
      </c>
      <c r="D24" s="16">
        <v>975</v>
      </c>
      <c r="E24" s="16">
        <v>1018</v>
      </c>
      <c r="F24" s="16">
        <v>1018</v>
      </c>
      <c r="G24" s="16">
        <v>343200</v>
      </c>
      <c r="H24" s="16">
        <f t="shared" si="0"/>
        <v>27</v>
      </c>
    </row>
    <row r="25" spans="1:8">
      <c r="A25" s="17">
        <v>43801</v>
      </c>
      <c r="B25" s="16">
        <v>1035</v>
      </c>
      <c r="C25" s="16">
        <v>1149</v>
      </c>
      <c r="D25" s="16">
        <v>990</v>
      </c>
      <c r="E25" s="16">
        <v>1083</v>
      </c>
      <c r="F25" s="16">
        <v>1083</v>
      </c>
      <c r="G25" s="16">
        <v>1035400</v>
      </c>
      <c r="H25" s="16">
        <f t="shared" si="0"/>
        <v>48</v>
      </c>
    </row>
    <row r="26" spans="1:8">
      <c r="A26" s="17">
        <v>43836</v>
      </c>
      <c r="B26" s="16">
        <v>1086</v>
      </c>
      <c r="C26" s="16">
        <v>1298</v>
      </c>
      <c r="D26" s="16">
        <v>1067</v>
      </c>
      <c r="E26" s="16">
        <v>1174</v>
      </c>
      <c r="F26" s="16">
        <v>1174</v>
      </c>
      <c r="G26" s="16">
        <v>1371300</v>
      </c>
      <c r="H26" s="16">
        <f t="shared" si="0"/>
        <v>88</v>
      </c>
    </row>
    <row r="27" spans="1:8">
      <c r="A27" s="17">
        <v>43864</v>
      </c>
      <c r="B27" s="16">
        <v>1135</v>
      </c>
      <c r="C27" s="16">
        <v>1414</v>
      </c>
      <c r="D27" s="16">
        <v>1066</v>
      </c>
      <c r="E27" s="16">
        <v>1077</v>
      </c>
      <c r="F27" s="16">
        <v>1077</v>
      </c>
      <c r="G27" s="16">
        <v>1071600</v>
      </c>
      <c r="H27" s="16">
        <f t="shared" si="0"/>
        <v>-58</v>
      </c>
    </row>
    <row r="28" spans="1:8">
      <c r="A28" s="17">
        <v>43892</v>
      </c>
      <c r="B28" s="16">
        <v>1047</v>
      </c>
      <c r="C28" s="16">
        <v>1192</v>
      </c>
      <c r="D28" s="16">
        <v>815</v>
      </c>
      <c r="E28" s="16">
        <v>1030</v>
      </c>
      <c r="F28" s="16">
        <v>1030</v>
      </c>
      <c r="G28" s="16">
        <v>1387200</v>
      </c>
      <c r="H28" s="16">
        <f t="shared" si="0"/>
        <v>-17</v>
      </c>
    </row>
    <row r="29" spans="1:8">
      <c r="A29" s="17">
        <v>43922</v>
      </c>
      <c r="B29" s="16">
        <v>1020</v>
      </c>
      <c r="C29" s="16">
        <v>1380</v>
      </c>
      <c r="D29" s="16">
        <v>924</v>
      </c>
      <c r="E29" s="16">
        <v>1224</v>
      </c>
      <c r="F29" s="16">
        <v>1224</v>
      </c>
      <c r="G29" s="16">
        <v>1845100</v>
      </c>
      <c r="H29" s="16">
        <f t="shared" si="0"/>
        <v>204</v>
      </c>
    </row>
    <row r="30" spans="1:8">
      <c r="A30" s="17">
        <v>43952</v>
      </c>
      <c r="B30" s="16">
        <v>1224</v>
      </c>
      <c r="C30" s="16">
        <v>1438</v>
      </c>
      <c r="D30" s="16">
        <v>1214</v>
      </c>
      <c r="E30" s="16">
        <v>1372</v>
      </c>
      <c r="F30" s="16">
        <v>1372</v>
      </c>
      <c r="G30" s="16">
        <v>809000</v>
      </c>
      <c r="H30" s="16">
        <f t="shared" si="0"/>
        <v>148</v>
      </c>
    </row>
    <row r="31" spans="1:8">
      <c r="A31" s="17">
        <v>43983</v>
      </c>
      <c r="B31" s="16">
        <v>1399</v>
      </c>
      <c r="C31" s="16">
        <v>2470</v>
      </c>
      <c r="D31" s="16">
        <v>1317</v>
      </c>
      <c r="E31" s="16">
        <v>2362</v>
      </c>
      <c r="F31" s="16">
        <v>2362</v>
      </c>
      <c r="G31" s="16">
        <v>4704200</v>
      </c>
      <c r="H31" s="16">
        <f t="shared" si="0"/>
        <v>963</v>
      </c>
    </row>
    <row r="32" spans="1:8">
      <c r="A32" s="17">
        <v>44013</v>
      </c>
      <c r="B32" s="16">
        <v>2352</v>
      </c>
      <c r="C32" s="16">
        <v>2486</v>
      </c>
      <c r="D32" s="16">
        <v>2030</v>
      </c>
      <c r="E32" s="16">
        <v>2338</v>
      </c>
      <c r="F32" s="16">
        <v>2338</v>
      </c>
      <c r="G32" s="16">
        <v>2672200</v>
      </c>
      <c r="H32" s="16">
        <f t="shared" si="0"/>
        <v>-14</v>
      </c>
    </row>
    <row r="33" spans="1:8">
      <c r="A33" s="17">
        <v>44046</v>
      </c>
      <c r="B33" s="16">
        <v>2398</v>
      </c>
      <c r="C33" s="16">
        <v>3010</v>
      </c>
      <c r="D33" s="16">
        <v>2286</v>
      </c>
      <c r="E33" s="16">
        <v>2768</v>
      </c>
      <c r="F33" s="16">
        <v>2768</v>
      </c>
      <c r="G33" s="16">
        <v>2052600</v>
      </c>
      <c r="H33" s="16">
        <f t="shared" si="0"/>
        <v>370</v>
      </c>
    </row>
    <row r="34" spans="1:8">
      <c r="A34" s="17">
        <v>44075</v>
      </c>
      <c r="B34" s="16">
        <v>2797</v>
      </c>
      <c r="C34" s="16">
        <v>3090</v>
      </c>
      <c r="D34" s="16">
        <v>2134</v>
      </c>
      <c r="E34" s="16">
        <v>2290</v>
      </c>
      <c r="F34" s="16">
        <v>2290</v>
      </c>
      <c r="G34" s="16">
        <v>3714200</v>
      </c>
      <c r="H34" s="16">
        <f t="shared" ref="H34:H61" si="1">E34-B34</f>
        <v>-507</v>
      </c>
    </row>
    <row r="35" spans="1:8">
      <c r="A35" s="17">
        <v>44106</v>
      </c>
      <c r="B35" s="16">
        <v>2310</v>
      </c>
      <c r="C35" s="16">
        <v>2868</v>
      </c>
      <c r="D35" s="16">
        <v>2066</v>
      </c>
      <c r="E35" s="16">
        <v>2347</v>
      </c>
      <c r="F35" s="16">
        <v>2347</v>
      </c>
      <c r="G35" s="16">
        <v>3771200</v>
      </c>
      <c r="H35" s="16">
        <f t="shared" si="1"/>
        <v>37</v>
      </c>
    </row>
    <row r="36" spans="1:8">
      <c r="A36" s="17">
        <v>44137</v>
      </c>
      <c r="B36" s="16">
        <v>2324</v>
      </c>
      <c r="C36" s="16">
        <v>2805</v>
      </c>
      <c r="D36" s="16">
        <v>2227</v>
      </c>
      <c r="E36" s="16">
        <v>2756</v>
      </c>
      <c r="F36" s="16">
        <v>2756</v>
      </c>
      <c r="G36" s="16">
        <v>1567800</v>
      </c>
      <c r="H36" s="16">
        <f t="shared" si="1"/>
        <v>432</v>
      </c>
    </row>
    <row r="37" spans="1:8">
      <c r="A37" s="17">
        <v>44166</v>
      </c>
      <c r="B37" s="16">
        <v>2740</v>
      </c>
      <c r="C37" s="16">
        <v>2887</v>
      </c>
      <c r="D37" s="16">
        <v>1964</v>
      </c>
      <c r="E37" s="16">
        <v>1999</v>
      </c>
      <c r="F37" s="16">
        <v>1999</v>
      </c>
      <c r="G37" s="16">
        <v>4512500</v>
      </c>
      <c r="H37" s="16">
        <f t="shared" si="1"/>
        <v>-741</v>
      </c>
    </row>
    <row r="38" spans="1:8">
      <c r="A38" s="17">
        <v>44200</v>
      </c>
      <c r="B38" s="16">
        <v>2047</v>
      </c>
      <c r="C38" s="16">
        <v>2158</v>
      </c>
      <c r="D38" s="16">
        <v>1843</v>
      </c>
      <c r="E38" s="16">
        <v>1843</v>
      </c>
      <c r="F38" s="16">
        <v>1843</v>
      </c>
      <c r="G38" s="16">
        <v>2452900</v>
      </c>
      <c r="H38" s="16">
        <f t="shared" si="1"/>
        <v>-204</v>
      </c>
    </row>
    <row r="39" spans="1:8">
      <c r="A39" s="17">
        <v>44228</v>
      </c>
      <c r="B39" s="16">
        <v>1805</v>
      </c>
      <c r="C39" s="16">
        <v>1884</v>
      </c>
      <c r="D39" s="16">
        <v>1692</v>
      </c>
      <c r="E39" s="16">
        <v>1714</v>
      </c>
      <c r="F39" s="16">
        <v>1714</v>
      </c>
      <c r="G39" s="16">
        <v>1705900</v>
      </c>
      <c r="H39" s="16">
        <f t="shared" si="1"/>
        <v>-91</v>
      </c>
    </row>
    <row r="40" spans="1:8">
      <c r="A40" s="17">
        <v>44256</v>
      </c>
      <c r="B40" s="16">
        <v>1737</v>
      </c>
      <c r="C40" s="16">
        <v>1781</v>
      </c>
      <c r="D40" s="16">
        <v>1564</v>
      </c>
      <c r="E40" s="16">
        <v>1655</v>
      </c>
      <c r="F40" s="16">
        <v>1655</v>
      </c>
      <c r="G40" s="16">
        <v>2825200</v>
      </c>
      <c r="H40" s="16">
        <f t="shared" si="1"/>
        <v>-82</v>
      </c>
    </row>
    <row r="41" spans="1:8">
      <c r="A41" s="17">
        <v>44287</v>
      </c>
      <c r="B41" s="16">
        <v>1673</v>
      </c>
      <c r="C41" s="16">
        <v>1870</v>
      </c>
      <c r="D41" s="16">
        <v>1616</v>
      </c>
      <c r="E41" s="16">
        <v>1760</v>
      </c>
      <c r="F41" s="16">
        <v>1760</v>
      </c>
      <c r="G41" s="16">
        <v>1913200</v>
      </c>
      <c r="H41" s="16">
        <f t="shared" si="1"/>
        <v>87</v>
      </c>
    </row>
    <row r="42" spans="1:8">
      <c r="A42" s="17">
        <v>44322</v>
      </c>
      <c r="B42" s="16">
        <v>1765</v>
      </c>
      <c r="C42" s="16">
        <v>1797</v>
      </c>
      <c r="D42" s="16">
        <v>1625</v>
      </c>
      <c r="E42" s="16">
        <v>1668</v>
      </c>
      <c r="F42" s="16">
        <v>1668</v>
      </c>
      <c r="G42" s="16">
        <v>975200</v>
      </c>
      <c r="H42" s="16">
        <f t="shared" si="1"/>
        <v>-97</v>
      </c>
    </row>
    <row r="43" spans="1:8">
      <c r="A43" s="17">
        <v>44348</v>
      </c>
      <c r="B43" s="16">
        <v>1691</v>
      </c>
      <c r="C43" s="16">
        <v>1736</v>
      </c>
      <c r="D43" s="16">
        <v>1515</v>
      </c>
      <c r="E43" s="16">
        <v>1585</v>
      </c>
      <c r="F43" s="16">
        <v>1585</v>
      </c>
      <c r="G43" s="16">
        <v>1187000</v>
      </c>
      <c r="H43" s="16">
        <f t="shared" si="1"/>
        <v>-106</v>
      </c>
    </row>
    <row r="44" spans="1:8">
      <c r="A44" s="17">
        <v>44378</v>
      </c>
      <c r="B44" s="16">
        <v>1585</v>
      </c>
      <c r="C44" s="16">
        <v>1614</v>
      </c>
      <c r="D44" s="16">
        <v>1384</v>
      </c>
      <c r="E44" s="16">
        <v>1386</v>
      </c>
      <c r="F44" s="16">
        <v>1386</v>
      </c>
      <c r="G44" s="16">
        <v>1099600</v>
      </c>
      <c r="H44" s="16">
        <f t="shared" si="1"/>
        <v>-199</v>
      </c>
    </row>
    <row r="45" spans="1:8">
      <c r="A45" s="17">
        <v>44410</v>
      </c>
      <c r="B45" s="16">
        <v>1387</v>
      </c>
      <c r="C45" s="16">
        <v>1573</v>
      </c>
      <c r="D45" s="16">
        <v>1288</v>
      </c>
      <c r="E45" s="16">
        <v>1555</v>
      </c>
      <c r="F45" s="16">
        <v>1555</v>
      </c>
      <c r="G45" s="16">
        <v>991800</v>
      </c>
      <c r="H45" s="16">
        <f t="shared" si="1"/>
        <v>168</v>
      </c>
    </row>
    <row r="46" spans="1:8">
      <c r="A46" s="17">
        <v>44440</v>
      </c>
      <c r="B46" s="16">
        <v>1559</v>
      </c>
      <c r="C46" s="16">
        <v>1814</v>
      </c>
      <c r="D46" s="16">
        <v>1486</v>
      </c>
      <c r="E46" s="16">
        <v>1644</v>
      </c>
      <c r="F46" s="16">
        <v>1644</v>
      </c>
      <c r="G46" s="16">
        <v>1651500</v>
      </c>
      <c r="H46" s="16">
        <f t="shared" si="1"/>
        <v>85</v>
      </c>
    </row>
    <row r="47" spans="1:8">
      <c r="A47" s="17">
        <v>44470</v>
      </c>
      <c r="B47" s="16">
        <v>1635</v>
      </c>
      <c r="C47" s="16">
        <v>1644</v>
      </c>
      <c r="D47" s="16">
        <v>1280</v>
      </c>
      <c r="E47" s="16">
        <v>1312</v>
      </c>
      <c r="F47" s="16">
        <v>1312</v>
      </c>
      <c r="G47" s="16">
        <v>1751800</v>
      </c>
      <c r="H47" s="16">
        <f t="shared" si="1"/>
        <v>-323</v>
      </c>
    </row>
    <row r="48" spans="1:8">
      <c r="A48" s="17">
        <v>44501</v>
      </c>
      <c r="B48" s="16">
        <v>1336</v>
      </c>
      <c r="C48" s="16">
        <v>1407</v>
      </c>
      <c r="D48" s="16">
        <v>1264</v>
      </c>
      <c r="E48" s="16">
        <v>1303</v>
      </c>
      <c r="F48" s="16">
        <v>1303</v>
      </c>
      <c r="G48" s="16">
        <v>969100</v>
      </c>
      <c r="H48" s="16">
        <f t="shared" si="1"/>
        <v>-33</v>
      </c>
    </row>
    <row r="49" spans="1:8">
      <c r="A49" s="17">
        <v>44531</v>
      </c>
      <c r="B49" s="16">
        <v>1300</v>
      </c>
      <c r="C49" s="16">
        <v>1457</v>
      </c>
      <c r="D49" s="16">
        <v>1193</v>
      </c>
      <c r="E49" s="16">
        <v>1445</v>
      </c>
      <c r="F49" s="16">
        <v>1445</v>
      </c>
      <c r="G49" s="16">
        <v>2001300</v>
      </c>
      <c r="H49" s="16">
        <f t="shared" si="1"/>
        <v>145</v>
      </c>
    </row>
    <row r="50" spans="1:8">
      <c r="A50" s="17">
        <v>44565</v>
      </c>
      <c r="B50" s="16">
        <v>1455</v>
      </c>
      <c r="C50" s="16">
        <v>1459</v>
      </c>
      <c r="D50" s="16">
        <v>983</v>
      </c>
      <c r="E50" s="16">
        <v>1023</v>
      </c>
      <c r="F50" s="16">
        <v>1023</v>
      </c>
      <c r="G50" s="16">
        <v>2075900</v>
      </c>
      <c r="H50" s="16">
        <f t="shared" si="1"/>
        <v>-432</v>
      </c>
    </row>
    <row r="51" spans="1:8">
      <c r="A51" s="17">
        <v>44593</v>
      </c>
      <c r="B51" s="16">
        <v>1031</v>
      </c>
      <c r="C51" s="16">
        <v>1140</v>
      </c>
      <c r="D51" s="16">
        <v>1025</v>
      </c>
      <c r="E51" s="16">
        <v>1134</v>
      </c>
      <c r="F51" s="16">
        <v>1134</v>
      </c>
      <c r="G51" s="16">
        <v>906100</v>
      </c>
      <c r="H51" s="16">
        <f t="shared" si="1"/>
        <v>103</v>
      </c>
    </row>
    <row r="52" spans="1:8">
      <c r="A52" s="17">
        <v>44621</v>
      </c>
      <c r="B52" s="16">
        <v>1147</v>
      </c>
      <c r="C52" s="16">
        <v>1255</v>
      </c>
      <c r="D52" s="16">
        <v>1020</v>
      </c>
      <c r="E52" s="16">
        <v>1218</v>
      </c>
      <c r="F52" s="16">
        <v>1218</v>
      </c>
      <c r="G52" s="16">
        <v>2104700</v>
      </c>
      <c r="H52" s="16">
        <f t="shared" si="1"/>
        <v>71</v>
      </c>
    </row>
    <row r="53" spans="1:8">
      <c r="A53" s="17">
        <v>44652</v>
      </c>
      <c r="B53" s="16">
        <v>1215</v>
      </c>
      <c r="C53" s="16">
        <v>1339</v>
      </c>
      <c r="D53" s="16">
        <v>1102</v>
      </c>
      <c r="E53" s="16">
        <v>1148</v>
      </c>
      <c r="F53" s="16">
        <v>1148</v>
      </c>
      <c r="G53" s="16">
        <v>1267700</v>
      </c>
      <c r="H53" s="16">
        <f t="shared" si="1"/>
        <v>-67</v>
      </c>
    </row>
    <row r="54" spans="1:8">
      <c r="A54" s="17">
        <v>44683</v>
      </c>
      <c r="B54" s="16">
        <v>1148</v>
      </c>
      <c r="C54" s="16">
        <v>1291</v>
      </c>
      <c r="D54" s="16">
        <v>1110</v>
      </c>
      <c r="E54" s="16">
        <v>1241</v>
      </c>
      <c r="F54" s="16">
        <v>1241</v>
      </c>
      <c r="G54" s="16">
        <v>851600</v>
      </c>
      <c r="H54" s="16">
        <f t="shared" si="1"/>
        <v>93</v>
      </c>
    </row>
    <row r="55" spans="1:8">
      <c r="A55" s="17">
        <v>44713</v>
      </c>
      <c r="B55" s="16">
        <v>1241</v>
      </c>
      <c r="C55" s="16">
        <v>1279</v>
      </c>
      <c r="D55" s="16">
        <v>1003</v>
      </c>
      <c r="E55" s="16">
        <v>1122</v>
      </c>
      <c r="F55" s="16">
        <v>1122</v>
      </c>
      <c r="G55" s="16">
        <v>990600</v>
      </c>
      <c r="H55" s="16">
        <f t="shared" si="1"/>
        <v>-119</v>
      </c>
    </row>
    <row r="56" spans="1:8">
      <c r="A56" s="17">
        <v>44743</v>
      </c>
      <c r="B56" s="16">
        <v>1115</v>
      </c>
      <c r="C56" s="16">
        <v>1179</v>
      </c>
      <c r="D56" s="16">
        <v>1078</v>
      </c>
      <c r="E56" s="16">
        <v>1151</v>
      </c>
      <c r="F56" s="16">
        <v>1151</v>
      </c>
      <c r="G56" s="16">
        <v>1237000</v>
      </c>
      <c r="H56" s="16">
        <f t="shared" si="1"/>
        <v>36</v>
      </c>
    </row>
    <row r="57" spans="1:8">
      <c r="A57" s="17">
        <v>44774</v>
      </c>
      <c r="B57" s="16">
        <v>1158</v>
      </c>
      <c r="C57" s="16">
        <v>1171</v>
      </c>
      <c r="D57" s="16">
        <v>1076</v>
      </c>
      <c r="E57" s="16">
        <v>1134</v>
      </c>
      <c r="F57" s="16">
        <v>1134</v>
      </c>
      <c r="G57" s="16">
        <v>486000</v>
      </c>
      <c r="H57" s="16">
        <f t="shared" si="1"/>
        <v>-24</v>
      </c>
    </row>
    <row r="58" spans="1:8">
      <c r="A58" s="17">
        <v>44805</v>
      </c>
      <c r="B58" s="16">
        <v>1131</v>
      </c>
      <c r="C58" s="16">
        <v>1142</v>
      </c>
      <c r="D58" s="16">
        <v>937</v>
      </c>
      <c r="E58" s="16">
        <v>956</v>
      </c>
      <c r="F58" s="16">
        <v>956</v>
      </c>
      <c r="G58" s="16">
        <v>928200</v>
      </c>
      <c r="H58" s="16">
        <f t="shared" si="1"/>
        <v>-175</v>
      </c>
    </row>
    <row r="59" spans="1:8">
      <c r="A59" s="17">
        <v>44837</v>
      </c>
      <c r="B59" s="16">
        <v>960</v>
      </c>
      <c r="C59" s="16">
        <v>1020</v>
      </c>
      <c r="D59" s="16">
        <v>923</v>
      </c>
      <c r="E59" s="16">
        <v>1015</v>
      </c>
      <c r="F59" s="16">
        <v>1015</v>
      </c>
      <c r="G59" s="16">
        <v>508100</v>
      </c>
      <c r="H59" s="16">
        <f t="shared" si="1"/>
        <v>55</v>
      </c>
    </row>
    <row r="60" spans="1:8">
      <c r="A60" s="17">
        <v>44866</v>
      </c>
      <c r="B60" s="16">
        <v>1019</v>
      </c>
      <c r="C60" s="16">
        <v>1063</v>
      </c>
      <c r="D60" s="16">
        <v>999</v>
      </c>
      <c r="E60" s="16">
        <v>1001</v>
      </c>
      <c r="F60" s="16">
        <v>1001</v>
      </c>
      <c r="G60" s="16">
        <v>480100</v>
      </c>
      <c r="H60" s="16">
        <f t="shared" si="1"/>
        <v>-18</v>
      </c>
    </row>
    <row r="61" spans="1:8">
      <c r="A61" s="17">
        <v>44896</v>
      </c>
      <c r="B61" s="16">
        <v>1014</v>
      </c>
      <c r="C61" s="16">
        <v>1091</v>
      </c>
      <c r="D61" s="16">
        <v>931</v>
      </c>
      <c r="E61" s="16">
        <v>995</v>
      </c>
      <c r="F61" s="16">
        <v>995</v>
      </c>
      <c r="G61" s="16">
        <v>1184200</v>
      </c>
      <c r="H61" s="16">
        <f t="shared" si="1"/>
        <v>-19</v>
      </c>
    </row>
  </sheetData>
  <phoneticPr fontId="32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1E004-48D9-4AC4-B9B8-9A689D4E5F2F}">
  <sheetPr codeName="Sheet22"/>
  <dimension ref="A1:I1"/>
  <sheetViews>
    <sheetView workbookViewId="0"/>
  </sheetViews>
  <sheetFormatPr defaultRowHeight="18.75"/>
  <cols>
    <col min="1" max="16384" width="9" style="16"/>
  </cols>
  <sheetData>
    <row r="1" spans="1: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</sheetData>
  <phoneticPr fontId="32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3C739-CA3C-463E-A58D-43DEDFF90105}">
  <sheetPr codeName="Sheet21"/>
  <dimension ref="A1:I1"/>
  <sheetViews>
    <sheetView workbookViewId="0"/>
  </sheetViews>
  <sheetFormatPr defaultRowHeight="18.75"/>
  <cols>
    <col min="1" max="16384" width="9" style="16"/>
  </cols>
  <sheetData>
    <row r="1" spans="1: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</sheetData>
  <phoneticPr fontId="32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3B74F-968C-4AE4-B64E-F79D266F8A68}">
  <sheetPr codeName="Sheet20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1453</v>
      </c>
      <c r="C2" s="16">
        <v>1462</v>
      </c>
      <c r="D2" s="16">
        <v>1371</v>
      </c>
      <c r="E2" s="16">
        <v>1371</v>
      </c>
      <c r="F2" s="16">
        <v>1371</v>
      </c>
      <c r="G2" s="16">
        <v>867000</v>
      </c>
      <c r="H2" s="16">
        <f t="shared" ref="H2:H33" si="0">E2-B2</f>
        <v>-82</v>
      </c>
      <c r="J2" s="18" cm="1">
        <f t="array" ref="J2:Q6">_xlfn._xlws.FILTER(A2:H61,MONTH(A2:A61)=1,"")</f>
        <v>43104</v>
      </c>
      <c r="K2" s="16">
        <v>1453</v>
      </c>
      <c r="L2" s="16">
        <v>1462</v>
      </c>
      <c r="M2" s="16">
        <v>1371</v>
      </c>
      <c r="N2" s="16">
        <v>1371</v>
      </c>
      <c r="O2" s="16">
        <v>1371</v>
      </c>
      <c r="P2" s="16">
        <v>867000</v>
      </c>
      <c r="Q2" s="16">
        <v>-82</v>
      </c>
      <c r="R2" s="16">
        <f>Q2/K2*100</f>
        <v>-5.643496214728148</v>
      </c>
      <c r="S2" s="16">
        <f>COUNT(Q2:Q6)</f>
        <v>5</v>
      </c>
      <c r="T2" s="18" cm="1">
        <f t="array" ref="T2:AA6">_xlfn._xlws.FILTER(A2:H61,MONTH(A2:A61)=2,"")</f>
        <v>43132</v>
      </c>
      <c r="U2" s="16">
        <v>1373</v>
      </c>
      <c r="V2" s="16">
        <v>1403</v>
      </c>
      <c r="W2" s="16">
        <v>1306</v>
      </c>
      <c r="X2" s="16">
        <v>1354</v>
      </c>
      <c r="Y2" s="16">
        <v>1354</v>
      </c>
      <c r="Z2" s="16">
        <v>408900</v>
      </c>
      <c r="AA2" s="16">
        <v>-19</v>
      </c>
      <c r="AB2" s="16">
        <f>AA2/U2*100</f>
        <v>-1.3838310269482883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1354</v>
      </c>
      <c r="AF2" s="16">
        <v>1360</v>
      </c>
      <c r="AG2" s="16">
        <v>1262</v>
      </c>
      <c r="AH2" s="16">
        <v>1359</v>
      </c>
      <c r="AI2" s="16">
        <v>1359</v>
      </c>
      <c r="AJ2" s="16">
        <v>342400</v>
      </c>
      <c r="AK2" s="16">
        <v>5</v>
      </c>
      <c r="AL2" s="16">
        <f>AK2/AE2*100</f>
        <v>0.36927621861152138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1365</v>
      </c>
      <c r="AP2" s="16">
        <v>1420</v>
      </c>
      <c r="AQ2" s="16">
        <v>1340</v>
      </c>
      <c r="AR2" s="16">
        <v>1419</v>
      </c>
      <c r="AS2" s="16">
        <v>1419</v>
      </c>
      <c r="AT2" s="16">
        <v>257800</v>
      </c>
      <c r="AU2" s="16">
        <v>54</v>
      </c>
      <c r="AV2" s="16">
        <f>AU2/AO2*100</f>
        <v>3.9560439560439558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1422</v>
      </c>
      <c r="AZ2" s="16">
        <v>1435</v>
      </c>
      <c r="BA2" s="16">
        <v>1400</v>
      </c>
      <c r="BB2" s="16">
        <v>1429</v>
      </c>
      <c r="BC2" s="16">
        <v>1429</v>
      </c>
      <c r="BD2" s="16">
        <v>268600</v>
      </c>
      <c r="BE2" s="16">
        <v>7</v>
      </c>
      <c r="BF2" s="16">
        <f>BE2/AY2*100</f>
        <v>0.49226441631504925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1430</v>
      </c>
      <c r="BJ2" s="16">
        <v>1477</v>
      </c>
      <c r="BK2" s="16">
        <v>1415</v>
      </c>
      <c r="BL2" s="16">
        <v>1443</v>
      </c>
      <c r="BM2" s="16">
        <v>1443</v>
      </c>
      <c r="BN2" s="16">
        <v>630900</v>
      </c>
      <c r="BO2" s="16">
        <v>13</v>
      </c>
      <c r="BP2" s="16">
        <f>BO2/BI2*100</f>
        <v>0.90909090909090906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1448</v>
      </c>
      <c r="BT2" s="16">
        <v>1474</v>
      </c>
      <c r="BU2" s="16">
        <v>1341</v>
      </c>
      <c r="BV2" s="16">
        <v>1355</v>
      </c>
      <c r="BW2" s="16">
        <v>1355</v>
      </c>
      <c r="BX2" s="16">
        <v>1504500</v>
      </c>
      <c r="BY2" s="16">
        <v>-93</v>
      </c>
      <c r="BZ2" s="16">
        <f>BY2/BS2*100</f>
        <v>-6.4226519337016574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1360</v>
      </c>
      <c r="CD2" s="16">
        <v>1384</v>
      </c>
      <c r="CE2" s="16">
        <v>1251</v>
      </c>
      <c r="CF2" s="16">
        <v>1304</v>
      </c>
      <c r="CG2" s="16">
        <v>1304</v>
      </c>
      <c r="CH2" s="16">
        <v>409000</v>
      </c>
      <c r="CI2" s="16">
        <v>-56</v>
      </c>
      <c r="CJ2" s="16">
        <f>CI2/CC2*100</f>
        <v>-4.117647058823529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1300</v>
      </c>
      <c r="CN2" s="16">
        <v>1440</v>
      </c>
      <c r="CO2" s="16">
        <v>1280</v>
      </c>
      <c r="CP2" s="16">
        <v>1414</v>
      </c>
      <c r="CQ2" s="16">
        <v>1414</v>
      </c>
      <c r="CR2" s="16">
        <v>759700</v>
      </c>
      <c r="CS2" s="16">
        <v>114</v>
      </c>
      <c r="CT2" s="16">
        <f>CS2/CM2*100</f>
        <v>8.7692307692307701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1404</v>
      </c>
      <c r="CX2" s="16">
        <v>1430</v>
      </c>
      <c r="CY2" s="16">
        <v>1302</v>
      </c>
      <c r="CZ2" s="16">
        <v>1373</v>
      </c>
      <c r="DA2" s="16">
        <v>1373</v>
      </c>
      <c r="DB2" s="16">
        <v>403300</v>
      </c>
      <c r="DC2" s="16">
        <v>-31</v>
      </c>
      <c r="DD2" s="16">
        <f>DC2/CW2*100</f>
        <v>-2.207977207977208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1374</v>
      </c>
      <c r="DH2" s="16">
        <v>1408</v>
      </c>
      <c r="DI2" s="16">
        <v>1343</v>
      </c>
      <c r="DJ2" s="16">
        <v>1357</v>
      </c>
      <c r="DK2" s="16">
        <v>1357</v>
      </c>
      <c r="DL2" s="16">
        <v>168900</v>
      </c>
      <c r="DM2" s="16">
        <v>-17</v>
      </c>
      <c r="DN2" s="16">
        <f>DM2/DG2*100</f>
        <v>-1.2372634643377001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1361</v>
      </c>
      <c r="DR2" s="16">
        <v>1390</v>
      </c>
      <c r="DS2" s="16">
        <v>1106</v>
      </c>
      <c r="DT2" s="16">
        <v>1245</v>
      </c>
      <c r="DU2" s="16">
        <v>1245</v>
      </c>
      <c r="DV2" s="16">
        <v>339500</v>
      </c>
      <c r="DW2" s="16">
        <v>-116</v>
      </c>
      <c r="DX2" s="16">
        <f>DW2/DQ2*100</f>
        <v>-8.523144746509919</v>
      </c>
      <c r="DY2" s="16">
        <f>COUNT(DW2:DW6)</f>
        <v>5</v>
      </c>
    </row>
    <row r="3" spans="1:129">
      <c r="A3" s="17">
        <v>43132</v>
      </c>
      <c r="B3" s="16">
        <v>1373</v>
      </c>
      <c r="C3" s="16">
        <v>1403</v>
      </c>
      <c r="D3" s="16">
        <v>1306</v>
      </c>
      <c r="E3" s="16">
        <v>1354</v>
      </c>
      <c r="F3" s="16">
        <v>1354</v>
      </c>
      <c r="G3" s="16">
        <v>408900</v>
      </c>
      <c r="H3" s="16">
        <f t="shared" si="0"/>
        <v>-19</v>
      </c>
      <c r="J3" s="18">
        <v>43469</v>
      </c>
      <c r="K3" s="16">
        <v>1221</v>
      </c>
      <c r="L3" s="16">
        <v>1298</v>
      </c>
      <c r="M3" s="16">
        <v>1206</v>
      </c>
      <c r="N3" s="16">
        <v>1231</v>
      </c>
      <c r="O3" s="16">
        <v>1231</v>
      </c>
      <c r="P3" s="16">
        <v>703000</v>
      </c>
      <c r="Q3" s="16">
        <v>10</v>
      </c>
      <c r="R3" s="16">
        <f>Q3/K3*100</f>
        <v>0.819000819000819</v>
      </c>
      <c r="S3" s="16">
        <f>COUNTIF(Q2:Q6,"&gt;0")</f>
        <v>2</v>
      </c>
      <c r="T3" s="18">
        <v>43497</v>
      </c>
      <c r="U3" s="16">
        <v>1230</v>
      </c>
      <c r="V3" s="16">
        <v>1289</v>
      </c>
      <c r="W3" s="16">
        <v>1211</v>
      </c>
      <c r="X3" s="16">
        <v>1285</v>
      </c>
      <c r="Y3" s="16">
        <v>1285</v>
      </c>
      <c r="Z3" s="16">
        <v>328400</v>
      </c>
      <c r="AA3" s="16">
        <v>55</v>
      </c>
      <c r="AB3" s="16">
        <f>AA3/U3*100</f>
        <v>4.4715447154471546</v>
      </c>
      <c r="AC3" s="16">
        <f>COUNTIF(AA2:AA6,"&gt;0")</f>
        <v>2</v>
      </c>
      <c r="AD3" s="18">
        <v>43525</v>
      </c>
      <c r="AE3" s="16">
        <v>1285</v>
      </c>
      <c r="AF3" s="16">
        <v>1510</v>
      </c>
      <c r="AG3" s="16">
        <v>1276</v>
      </c>
      <c r="AH3" s="16">
        <v>1402</v>
      </c>
      <c r="AI3" s="16">
        <v>1402</v>
      </c>
      <c r="AJ3" s="16">
        <v>770500</v>
      </c>
      <c r="AK3" s="16">
        <v>117</v>
      </c>
      <c r="AL3" s="16">
        <f>AK3/AE3*100</f>
        <v>9.1050583657587545</v>
      </c>
      <c r="AM3" s="16">
        <f>COUNTIF(AK2:AK6,"&gt;0")</f>
        <v>5</v>
      </c>
      <c r="AN3" s="18">
        <v>43556</v>
      </c>
      <c r="AO3" s="16">
        <v>1423</v>
      </c>
      <c r="AP3" s="16">
        <v>1450</v>
      </c>
      <c r="AQ3" s="16">
        <v>1402</v>
      </c>
      <c r="AR3" s="16">
        <v>1418</v>
      </c>
      <c r="AS3" s="16">
        <v>1418</v>
      </c>
      <c r="AT3" s="16">
        <v>308800</v>
      </c>
      <c r="AU3" s="16">
        <v>-5</v>
      </c>
      <c r="AV3" s="16">
        <f>AU3/AO3*100</f>
        <v>-0.35137034434293746</v>
      </c>
      <c r="AW3" s="16">
        <f>COUNTIF(AU2:AU6,"&gt;0")</f>
        <v>2</v>
      </c>
      <c r="AX3" s="18">
        <v>43592</v>
      </c>
      <c r="AY3" s="16">
        <v>1431</v>
      </c>
      <c r="AZ3" s="16">
        <v>1449</v>
      </c>
      <c r="BA3" s="16">
        <v>1386</v>
      </c>
      <c r="BB3" s="16">
        <v>1391</v>
      </c>
      <c r="BC3" s="16">
        <v>1391</v>
      </c>
      <c r="BD3" s="16">
        <v>376100</v>
      </c>
      <c r="BE3" s="16">
        <v>-40</v>
      </c>
      <c r="BF3" s="16">
        <f>BE3/AY3*100</f>
        <v>-2.7952480782669462</v>
      </c>
      <c r="BG3" s="16">
        <f>COUNTIF(BE2:BE6,"&gt;0")</f>
        <v>3</v>
      </c>
      <c r="BH3" s="18">
        <v>43619</v>
      </c>
      <c r="BI3" s="16">
        <v>1380</v>
      </c>
      <c r="BJ3" s="16">
        <v>1479</v>
      </c>
      <c r="BK3" s="16">
        <v>1370</v>
      </c>
      <c r="BL3" s="16">
        <v>1415</v>
      </c>
      <c r="BM3" s="16">
        <v>1415</v>
      </c>
      <c r="BN3" s="16">
        <v>748800</v>
      </c>
      <c r="BO3" s="16">
        <v>35</v>
      </c>
      <c r="BP3" s="16">
        <f>BO3/BI3*100</f>
        <v>2.5362318840579712</v>
      </c>
      <c r="BQ3" s="16">
        <f>COUNTIF(BO2:BO6,"&gt;0")</f>
        <v>4</v>
      </c>
      <c r="BR3" s="18">
        <v>43647</v>
      </c>
      <c r="BS3" s="16">
        <v>1430</v>
      </c>
      <c r="BT3" s="16">
        <v>1500</v>
      </c>
      <c r="BU3" s="16">
        <v>1391</v>
      </c>
      <c r="BV3" s="16">
        <v>1393</v>
      </c>
      <c r="BW3" s="16">
        <v>1393</v>
      </c>
      <c r="BX3" s="16">
        <v>1082100</v>
      </c>
      <c r="BY3" s="16">
        <v>-37</v>
      </c>
      <c r="BZ3" s="16">
        <f>BY3/BS3*100</f>
        <v>-2.5874125874125875</v>
      </c>
      <c r="CA3" s="16">
        <f>COUNTIF(BY2:BY6,"&gt;0")</f>
        <v>0</v>
      </c>
      <c r="CB3" s="18">
        <v>43678</v>
      </c>
      <c r="CC3" s="16">
        <v>1388</v>
      </c>
      <c r="CD3" s="16">
        <v>1402</v>
      </c>
      <c r="CE3" s="16">
        <v>1303</v>
      </c>
      <c r="CF3" s="16">
        <v>1346</v>
      </c>
      <c r="CG3" s="16">
        <v>1346</v>
      </c>
      <c r="CH3" s="16">
        <v>350400</v>
      </c>
      <c r="CI3" s="16">
        <v>-42</v>
      </c>
      <c r="CJ3" s="16">
        <f>CI3/CC3*100</f>
        <v>-3.0259365994236309</v>
      </c>
      <c r="CK3" s="16">
        <f>COUNTIF(CI2:CI6,"&gt;0")</f>
        <v>3</v>
      </c>
      <c r="CL3" s="18">
        <v>43710</v>
      </c>
      <c r="CM3" s="16">
        <v>1324</v>
      </c>
      <c r="CN3" s="16">
        <v>1465</v>
      </c>
      <c r="CO3" s="16">
        <v>1324</v>
      </c>
      <c r="CP3" s="16">
        <v>1433</v>
      </c>
      <c r="CQ3" s="16">
        <v>1433</v>
      </c>
      <c r="CR3" s="16">
        <v>435000</v>
      </c>
      <c r="CS3" s="16">
        <v>109</v>
      </c>
      <c r="CT3" s="16">
        <f>CS3/CM3*100</f>
        <v>8.2326283987915403</v>
      </c>
      <c r="CU3" s="16">
        <f>COUNTIF(CS2:CS6,"&gt;0")</f>
        <v>4</v>
      </c>
      <c r="CV3" s="18">
        <v>43739</v>
      </c>
      <c r="CW3" s="16">
        <v>1441</v>
      </c>
      <c r="CX3" s="16">
        <v>1482</v>
      </c>
      <c r="CY3" s="16">
        <v>1403</v>
      </c>
      <c r="CZ3" s="16">
        <v>1465</v>
      </c>
      <c r="DA3" s="16">
        <v>1465</v>
      </c>
      <c r="DB3" s="16">
        <v>244700</v>
      </c>
      <c r="DC3" s="16">
        <v>24</v>
      </c>
      <c r="DD3" s="16">
        <f>DC3/CW3*100</f>
        <v>1.6655100624566272</v>
      </c>
      <c r="DE3" s="16">
        <f>COUNTIF(DC2:DC6,"&gt;0")</f>
        <v>2</v>
      </c>
      <c r="DF3" s="18">
        <v>43770</v>
      </c>
      <c r="DG3" s="16">
        <v>1467</v>
      </c>
      <c r="DH3" s="16">
        <v>1479</v>
      </c>
      <c r="DI3" s="16">
        <v>1423</v>
      </c>
      <c r="DJ3" s="16">
        <v>1425</v>
      </c>
      <c r="DK3" s="16">
        <v>1425</v>
      </c>
      <c r="DL3" s="16">
        <v>188700</v>
      </c>
      <c r="DM3" s="16">
        <v>-42</v>
      </c>
      <c r="DN3" s="16">
        <f>DM3/DG3*100</f>
        <v>-2.8629856850715747</v>
      </c>
      <c r="DO3" s="16">
        <f>COUNTIF(DM2:DM6,"&gt;0")</f>
        <v>2</v>
      </c>
      <c r="DP3" s="18">
        <v>43801</v>
      </c>
      <c r="DQ3" s="16">
        <v>1436</v>
      </c>
      <c r="DR3" s="16">
        <v>1480</v>
      </c>
      <c r="DS3" s="16">
        <v>1400</v>
      </c>
      <c r="DT3" s="16">
        <v>1433</v>
      </c>
      <c r="DU3" s="16">
        <v>1433</v>
      </c>
      <c r="DV3" s="16">
        <v>287400</v>
      </c>
      <c r="DW3" s="16">
        <v>-3</v>
      </c>
      <c r="DX3" s="16">
        <f>DW3/DQ3*100</f>
        <v>-0.20891364902506965</v>
      </c>
      <c r="DY3" s="16">
        <f>COUNTIF(DW2:DW6,"&gt;0")</f>
        <v>2</v>
      </c>
    </row>
    <row r="4" spans="1:129">
      <c r="A4" s="17">
        <v>43160</v>
      </c>
      <c r="B4" s="16">
        <v>1354</v>
      </c>
      <c r="C4" s="16">
        <v>1360</v>
      </c>
      <c r="D4" s="16">
        <v>1262</v>
      </c>
      <c r="E4" s="16">
        <v>1359</v>
      </c>
      <c r="F4" s="16">
        <v>1359</v>
      </c>
      <c r="G4" s="16">
        <v>342400</v>
      </c>
      <c r="H4" s="16">
        <f t="shared" si="0"/>
        <v>5</v>
      </c>
      <c r="J4" s="18">
        <v>43836</v>
      </c>
      <c r="K4" s="16">
        <v>1427</v>
      </c>
      <c r="L4" s="16">
        <v>1436</v>
      </c>
      <c r="M4" s="16">
        <v>1340</v>
      </c>
      <c r="N4" s="16">
        <v>1364</v>
      </c>
      <c r="O4" s="16">
        <v>1364</v>
      </c>
      <c r="P4" s="16">
        <v>1016400</v>
      </c>
      <c r="Q4" s="16">
        <v>-63</v>
      </c>
      <c r="R4" s="16">
        <f>Q4/K4*100</f>
        <v>-4.4148563419761739</v>
      </c>
      <c r="S4" s="19">
        <f>S3/S2*100</f>
        <v>40</v>
      </c>
      <c r="T4" s="18">
        <v>43864</v>
      </c>
      <c r="U4" s="16">
        <v>1352</v>
      </c>
      <c r="V4" s="16">
        <v>1403</v>
      </c>
      <c r="W4" s="16">
        <v>1190</v>
      </c>
      <c r="X4" s="16">
        <v>1192</v>
      </c>
      <c r="Y4" s="16">
        <v>1192</v>
      </c>
      <c r="Z4" s="16">
        <v>356300</v>
      </c>
      <c r="AA4" s="16">
        <v>-160</v>
      </c>
      <c r="AB4" s="16">
        <f>AA4/U4*100</f>
        <v>-11.834319526627219</v>
      </c>
      <c r="AC4" s="19">
        <f>AC3/AC2*100</f>
        <v>40</v>
      </c>
      <c r="AD4" s="18">
        <v>43892</v>
      </c>
      <c r="AE4" s="16">
        <v>1185</v>
      </c>
      <c r="AF4" s="16">
        <v>1338</v>
      </c>
      <c r="AG4" s="16">
        <v>949</v>
      </c>
      <c r="AH4" s="16">
        <v>1276</v>
      </c>
      <c r="AI4" s="16">
        <v>1276</v>
      </c>
      <c r="AJ4" s="16">
        <v>626500</v>
      </c>
      <c r="AK4" s="16">
        <v>91</v>
      </c>
      <c r="AL4" s="16">
        <f>AK4/AE4*100</f>
        <v>7.6793248945147674</v>
      </c>
      <c r="AM4" s="19">
        <f>AM3/AM2*100</f>
        <v>100</v>
      </c>
      <c r="AN4" s="18">
        <v>43922</v>
      </c>
      <c r="AO4" s="16">
        <v>1254</v>
      </c>
      <c r="AP4" s="16">
        <v>1309</v>
      </c>
      <c r="AQ4" s="16">
        <v>1128</v>
      </c>
      <c r="AR4" s="16">
        <v>1309</v>
      </c>
      <c r="AS4" s="16">
        <v>1309</v>
      </c>
      <c r="AT4" s="16">
        <v>286000</v>
      </c>
      <c r="AU4" s="16">
        <v>55</v>
      </c>
      <c r="AV4" s="16">
        <f>AU4/AO4*100</f>
        <v>4.3859649122807012</v>
      </c>
      <c r="AW4" s="19">
        <f>AW3/AW2*100</f>
        <v>40</v>
      </c>
      <c r="AX4" s="18">
        <v>43952</v>
      </c>
      <c r="AY4" s="16">
        <v>1308</v>
      </c>
      <c r="AZ4" s="16">
        <v>1420</v>
      </c>
      <c r="BA4" s="16">
        <v>1297</v>
      </c>
      <c r="BB4" s="16">
        <v>1391</v>
      </c>
      <c r="BC4" s="16">
        <v>1391</v>
      </c>
      <c r="BD4" s="16">
        <v>341600</v>
      </c>
      <c r="BE4" s="16">
        <v>83</v>
      </c>
      <c r="BF4" s="16">
        <f>BE4/AY4*100</f>
        <v>6.3455657492354742</v>
      </c>
      <c r="BG4" s="19">
        <f>BG3/BG2*100</f>
        <v>60</v>
      </c>
      <c r="BH4" s="18">
        <v>43983</v>
      </c>
      <c r="BI4" s="16">
        <v>1415</v>
      </c>
      <c r="BJ4" s="16">
        <v>1425</v>
      </c>
      <c r="BK4" s="16">
        <v>1344</v>
      </c>
      <c r="BL4" s="16">
        <v>1390</v>
      </c>
      <c r="BM4" s="16">
        <v>1390</v>
      </c>
      <c r="BN4" s="16">
        <v>848700</v>
      </c>
      <c r="BO4" s="16">
        <v>-25</v>
      </c>
      <c r="BP4" s="16">
        <f>BO4/BI4*100</f>
        <v>-1.7667844522968199</v>
      </c>
      <c r="BQ4" s="19">
        <f>BQ3/BQ2*100</f>
        <v>80</v>
      </c>
      <c r="BR4" s="18">
        <v>44013</v>
      </c>
      <c r="BS4" s="16">
        <v>1391</v>
      </c>
      <c r="BT4" s="16">
        <v>1443</v>
      </c>
      <c r="BU4" s="16">
        <v>1220</v>
      </c>
      <c r="BV4" s="16">
        <v>1232</v>
      </c>
      <c r="BW4" s="16">
        <v>1232</v>
      </c>
      <c r="BX4" s="16">
        <v>1160000</v>
      </c>
      <c r="BY4" s="16">
        <v>-159</v>
      </c>
      <c r="BZ4" s="16">
        <f>BY4/BS4*100</f>
        <v>-11.430625449317038</v>
      </c>
      <c r="CA4" s="19">
        <f>CA3/CA2*100</f>
        <v>0</v>
      </c>
      <c r="CB4" s="18">
        <v>44046</v>
      </c>
      <c r="CC4" s="16">
        <v>1235</v>
      </c>
      <c r="CD4" s="16">
        <v>1357</v>
      </c>
      <c r="CE4" s="16">
        <v>1235</v>
      </c>
      <c r="CF4" s="16">
        <v>1304</v>
      </c>
      <c r="CG4" s="16">
        <v>1304</v>
      </c>
      <c r="CH4" s="16">
        <v>330600</v>
      </c>
      <c r="CI4" s="16">
        <v>69</v>
      </c>
      <c r="CJ4" s="16">
        <f>CI4/CC4*100</f>
        <v>5.5870445344129553</v>
      </c>
      <c r="CK4" s="19">
        <f>CK3/CK2*100</f>
        <v>60</v>
      </c>
      <c r="CL4" s="18">
        <v>44075</v>
      </c>
      <c r="CM4" s="16">
        <v>1319</v>
      </c>
      <c r="CN4" s="16">
        <v>1413</v>
      </c>
      <c r="CO4" s="16">
        <v>1287</v>
      </c>
      <c r="CP4" s="16">
        <v>1368</v>
      </c>
      <c r="CQ4" s="16">
        <v>1368</v>
      </c>
      <c r="CR4" s="16">
        <v>383700</v>
      </c>
      <c r="CS4" s="16">
        <v>49</v>
      </c>
      <c r="CT4" s="16">
        <f>CS4/CM4*100</f>
        <v>3.7149355572403335</v>
      </c>
      <c r="CU4" s="19">
        <f>CU3/CU2*100</f>
        <v>80</v>
      </c>
      <c r="CV4" s="18">
        <v>44106</v>
      </c>
      <c r="CW4" s="16">
        <v>1362</v>
      </c>
      <c r="CX4" s="16">
        <v>1383</v>
      </c>
      <c r="CY4" s="16">
        <v>1325</v>
      </c>
      <c r="CZ4" s="16">
        <v>1333</v>
      </c>
      <c r="DA4" s="16">
        <v>1333</v>
      </c>
      <c r="DB4" s="16">
        <v>185000</v>
      </c>
      <c r="DC4" s="16">
        <v>-29</v>
      </c>
      <c r="DD4" s="16">
        <f>DC4/CW4*100</f>
        <v>-2.1292217327459619</v>
      </c>
      <c r="DE4" s="19">
        <f>DE3/DE2*100</f>
        <v>40</v>
      </c>
      <c r="DF4" s="18">
        <v>44137</v>
      </c>
      <c r="DG4" s="16">
        <v>1333</v>
      </c>
      <c r="DH4" s="16">
        <v>1399</v>
      </c>
      <c r="DI4" s="16">
        <v>1322</v>
      </c>
      <c r="DJ4" s="16">
        <v>1362</v>
      </c>
      <c r="DK4" s="16">
        <v>1362</v>
      </c>
      <c r="DL4" s="16">
        <v>214700</v>
      </c>
      <c r="DM4" s="16">
        <v>29</v>
      </c>
      <c r="DN4" s="16">
        <f>DM4/DG4*100</f>
        <v>2.1755438859714928</v>
      </c>
      <c r="DO4" s="19">
        <f>DO3/DO2*100</f>
        <v>40</v>
      </c>
      <c r="DP4" s="18">
        <v>44166</v>
      </c>
      <c r="DQ4" s="16">
        <v>1364</v>
      </c>
      <c r="DR4" s="16">
        <v>1450</v>
      </c>
      <c r="DS4" s="16">
        <v>1354</v>
      </c>
      <c r="DT4" s="16">
        <v>1390</v>
      </c>
      <c r="DU4" s="16">
        <v>1390</v>
      </c>
      <c r="DV4" s="16">
        <v>479300</v>
      </c>
      <c r="DW4" s="16">
        <v>26</v>
      </c>
      <c r="DX4" s="16">
        <f>DW4/DQ4*100</f>
        <v>1.9061583577712611</v>
      </c>
      <c r="DY4" s="19">
        <f>DY3/DY2*100</f>
        <v>40</v>
      </c>
    </row>
    <row r="5" spans="1:129">
      <c r="A5" s="17">
        <v>43192</v>
      </c>
      <c r="B5" s="16">
        <v>1365</v>
      </c>
      <c r="C5" s="16">
        <v>1420</v>
      </c>
      <c r="D5" s="16">
        <v>1340</v>
      </c>
      <c r="E5" s="16">
        <v>1419</v>
      </c>
      <c r="F5" s="16">
        <v>1419</v>
      </c>
      <c r="G5" s="16">
        <v>257800</v>
      </c>
      <c r="H5" s="16">
        <f t="shared" si="0"/>
        <v>54</v>
      </c>
      <c r="J5" s="18">
        <v>44200</v>
      </c>
      <c r="K5" s="16">
        <v>1390</v>
      </c>
      <c r="L5" s="16">
        <v>1433</v>
      </c>
      <c r="M5" s="16">
        <v>1362</v>
      </c>
      <c r="N5" s="16">
        <v>1414</v>
      </c>
      <c r="O5" s="16">
        <v>1414</v>
      </c>
      <c r="P5" s="16">
        <v>1363200</v>
      </c>
      <c r="Q5" s="16">
        <v>24</v>
      </c>
      <c r="R5" s="16">
        <f>Q5/K5*100</f>
        <v>1.7266187050359711</v>
      </c>
      <c r="S5" s="16">
        <f>AVERAGE(R2:R6)</f>
        <v>-3.1257350123306074</v>
      </c>
      <c r="T5" s="18">
        <v>44228</v>
      </c>
      <c r="U5" s="16">
        <v>1402</v>
      </c>
      <c r="V5" s="16">
        <v>1475</v>
      </c>
      <c r="W5" s="16">
        <v>1379</v>
      </c>
      <c r="X5" s="16">
        <v>1382</v>
      </c>
      <c r="Y5" s="16">
        <v>1382</v>
      </c>
      <c r="Z5" s="16">
        <v>492900</v>
      </c>
      <c r="AA5" s="16">
        <v>-20</v>
      </c>
      <c r="AB5" s="16">
        <f>AA5/U5*100</f>
        <v>-1.4265335235378032</v>
      </c>
      <c r="AC5" s="16">
        <f>AVERAGE(AB2:AB6)</f>
        <v>-1.6908778723332312</v>
      </c>
      <c r="AD5" s="18">
        <v>44256</v>
      </c>
      <c r="AE5" s="16">
        <v>1383</v>
      </c>
      <c r="AF5" s="16">
        <v>1589</v>
      </c>
      <c r="AG5" s="16">
        <v>1383</v>
      </c>
      <c r="AH5" s="16">
        <v>1499</v>
      </c>
      <c r="AI5" s="16">
        <v>1499</v>
      </c>
      <c r="AJ5" s="16">
        <v>1136200</v>
      </c>
      <c r="AK5" s="16">
        <v>116</v>
      </c>
      <c r="AL5" s="16">
        <f>AK5/AE5*100</f>
        <v>8.3875632682574111</v>
      </c>
      <c r="AM5" s="16">
        <f>AVERAGE(AL2:AL6)</f>
        <v>5.1994299597628375</v>
      </c>
      <c r="AN5" s="18">
        <v>44287</v>
      </c>
      <c r="AO5" s="16">
        <v>1495</v>
      </c>
      <c r="AP5" s="16">
        <v>1545</v>
      </c>
      <c r="AQ5" s="16">
        <v>1465</v>
      </c>
      <c r="AR5" s="16">
        <v>1467</v>
      </c>
      <c r="AS5" s="16">
        <v>1467</v>
      </c>
      <c r="AT5" s="16">
        <v>532400</v>
      </c>
      <c r="AU5" s="16">
        <v>-28</v>
      </c>
      <c r="AV5" s="16">
        <f>AU5/AO5*100</f>
        <v>-1.8729096989966554</v>
      </c>
      <c r="AW5" s="16">
        <f>AVERAGE(AV2:AV6)</f>
        <v>0.61656549185588982</v>
      </c>
      <c r="AX5" s="18">
        <v>44322</v>
      </c>
      <c r="AY5" s="16">
        <v>1484</v>
      </c>
      <c r="AZ5" s="16">
        <v>1523</v>
      </c>
      <c r="BA5" s="16">
        <v>1441</v>
      </c>
      <c r="BB5" s="16">
        <v>1480</v>
      </c>
      <c r="BC5" s="16">
        <v>1480</v>
      </c>
      <c r="BD5" s="16">
        <v>563800</v>
      </c>
      <c r="BE5" s="16">
        <v>-4</v>
      </c>
      <c r="BF5" s="16">
        <f>BE5/AY5*100</f>
        <v>-0.26954177897574128</v>
      </c>
      <c r="BG5" s="16">
        <f>AVERAGE(BF2:BF6)</f>
        <v>1.0675971070449788</v>
      </c>
      <c r="BH5" s="18">
        <v>44348</v>
      </c>
      <c r="BI5" s="16">
        <v>1479</v>
      </c>
      <c r="BJ5" s="16">
        <v>1565</v>
      </c>
      <c r="BK5" s="16">
        <v>1472</v>
      </c>
      <c r="BL5" s="16">
        <v>1514</v>
      </c>
      <c r="BM5" s="16">
        <v>1514</v>
      </c>
      <c r="BN5" s="16">
        <v>1410500</v>
      </c>
      <c r="BO5" s="16">
        <v>35</v>
      </c>
      <c r="BP5" s="16">
        <f>BO5/BI5*100</f>
        <v>2.3664638269100742</v>
      </c>
      <c r="BQ5" s="16">
        <f>AVERAGE(BP2:BP6)</f>
        <v>2.0800570951144488</v>
      </c>
      <c r="BR5" s="18">
        <v>44378</v>
      </c>
      <c r="BS5" s="16">
        <v>1521</v>
      </c>
      <c r="BT5" s="16">
        <v>1565</v>
      </c>
      <c r="BU5" s="16">
        <v>1442</v>
      </c>
      <c r="BV5" s="16">
        <v>1444</v>
      </c>
      <c r="BW5" s="16">
        <v>1444</v>
      </c>
      <c r="BX5" s="16">
        <v>1862300</v>
      </c>
      <c r="BY5" s="16">
        <v>-77</v>
      </c>
      <c r="BZ5" s="16">
        <f>BY5/BS5*100</f>
        <v>-5.0624589086127543</v>
      </c>
      <c r="CA5" s="16">
        <f>AVERAGE(BZ2:BZ6)</f>
        <v>-6.0268236976611949</v>
      </c>
      <c r="CB5" s="18">
        <v>44410</v>
      </c>
      <c r="CC5" s="16">
        <v>1446</v>
      </c>
      <c r="CD5" s="16">
        <v>1465</v>
      </c>
      <c r="CE5" s="16">
        <v>1393</v>
      </c>
      <c r="CF5" s="16">
        <v>1449</v>
      </c>
      <c r="CG5" s="16">
        <v>1449</v>
      </c>
      <c r="CH5" s="16">
        <v>594300</v>
      </c>
      <c r="CI5" s="16">
        <v>3</v>
      </c>
      <c r="CJ5" s="16">
        <f>CI5/CC5*100</f>
        <v>0.2074688796680498</v>
      </c>
      <c r="CK5" s="16">
        <f>AVERAGE(CJ2:CJ6)</f>
        <v>8.052867774711947E-2</v>
      </c>
      <c r="CL5" s="18">
        <v>44440</v>
      </c>
      <c r="CM5" s="16">
        <v>1448</v>
      </c>
      <c r="CN5" s="16">
        <v>1533</v>
      </c>
      <c r="CO5" s="16">
        <v>1376</v>
      </c>
      <c r="CP5" s="16">
        <v>1376</v>
      </c>
      <c r="CQ5" s="16">
        <v>1376</v>
      </c>
      <c r="CR5" s="16">
        <v>1171500</v>
      </c>
      <c r="CS5" s="16">
        <v>-72</v>
      </c>
      <c r="CT5" s="16">
        <f>CS5/CM5*100</f>
        <v>-4.972375690607735</v>
      </c>
      <c r="CU5" s="16">
        <f>AVERAGE(CT2:CT6)</f>
        <v>3.4802091081358015</v>
      </c>
      <c r="CV5" s="18">
        <v>44470</v>
      </c>
      <c r="CW5" s="16">
        <v>1376</v>
      </c>
      <c r="CX5" s="16">
        <v>1380</v>
      </c>
      <c r="CY5" s="16">
        <v>1312</v>
      </c>
      <c r="CZ5" s="16">
        <v>1336</v>
      </c>
      <c r="DA5" s="16">
        <v>1336</v>
      </c>
      <c r="DB5" s="16">
        <v>532400</v>
      </c>
      <c r="DC5" s="16">
        <v>-40</v>
      </c>
      <c r="DD5" s="16">
        <f>DC5/CW5*100</f>
        <v>-2.9069767441860463</v>
      </c>
      <c r="DE5" s="16">
        <f>AVERAGE(DD2:DD6)</f>
        <v>-0.69968557619928462</v>
      </c>
      <c r="DF5" s="18">
        <v>44501</v>
      </c>
      <c r="DG5" s="16">
        <v>1346</v>
      </c>
      <c r="DH5" s="16">
        <v>1390</v>
      </c>
      <c r="DI5" s="16">
        <v>1305</v>
      </c>
      <c r="DJ5" s="16">
        <v>1308</v>
      </c>
      <c r="DK5" s="16">
        <v>1308</v>
      </c>
      <c r="DL5" s="16">
        <v>286300</v>
      </c>
      <c r="DM5" s="16">
        <v>-38</v>
      </c>
      <c r="DN5" s="16">
        <f>DM5/DG5*100</f>
        <v>-2.823179791976226</v>
      </c>
      <c r="DO5" s="16">
        <f>AVERAGE(DN2:DN6)</f>
        <v>-0.8335509052089799</v>
      </c>
      <c r="DP5" s="18">
        <v>44531</v>
      </c>
      <c r="DQ5" s="16">
        <v>1308</v>
      </c>
      <c r="DR5" s="16">
        <v>1385</v>
      </c>
      <c r="DS5" s="16">
        <v>1308</v>
      </c>
      <c r="DT5" s="16">
        <v>1370</v>
      </c>
      <c r="DU5" s="16">
        <v>1370</v>
      </c>
      <c r="DV5" s="16">
        <v>434300</v>
      </c>
      <c r="DW5" s="16">
        <v>62</v>
      </c>
      <c r="DX5" s="16">
        <f>DW5/DQ5*100</f>
        <v>4.7400611620795106</v>
      </c>
      <c r="DY5" s="16">
        <f>AVERAGE(DX2:DX6)</f>
        <v>-0.48859634656541473</v>
      </c>
    </row>
    <row r="6" spans="1:129">
      <c r="A6" s="17">
        <v>43221</v>
      </c>
      <c r="B6" s="16">
        <v>1422</v>
      </c>
      <c r="C6" s="16">
        <v>1435</v>
      </c>
      <c r="D6" s="16">
        <v>1400</v>
      </c>
      <c r="E6" s="16">
        <v>1429</v>
      </c>
      <c r="F6" s="16">
        <v>1429</v>
      </c>
      <c r="G6" s="16">
        <v>268600</v>
      </c>
      <c r="H6" s="16">
        <f t="shared" si="0"/>
        <v>7</v>
      </c>
      <c r="J6" s="18">
        <v>44565</v>
      </c>
      <c r="K6" s="16">
        <v>1380</v>
      </c>
      <c r="L6" s="16">
        <v>1394</v>
      </c>
      <c r="M6" s="16">
        <v>1245</v>
      </c>
      <c r="N6" s="16">
        <v>1268</v>
      </c>
      <c r="O6" s="16">
        <v>1268</v>
      </c>
      <c r="P6" s="16">
        <v>1457900</v>
      </c>
      <c r="Q6" s="16">
        <v>-112</v>
      </c>
      <c r="R6" s="16">
        <f>Q6/K6*100</f>
        <v>-8.115942028985506</v>
      </c>
      <c r="S6" s="16">
        <f>MEDIAN(R2:R6)</f>
        <v>-4.4148563419761739</v>
      </c>
      <c r="T6" s="18">
        <v>44593</v>
      </c>
      <c r="U6" s="16">
        <v>1280</v>
      </c>
      <c r="V6" s="16">
        <v>1319</v>
      </c>
      <c r="W6" s="16">
        <v>1274</v>
      </c>
      <c r="X6" s="16">
        <v>1302</v>
      </c>
      <c r="Y6" s="16">
        <v>1302</v>
      </c>
      <c r="Z6" s="16">
        <v>328200</v>
      </c>
      <c r="AA6" s="16">
        <v>22</v>
      </c>
      <c r="AB6" s="16">
        <f>AA6/U6*100</f>
        <v>1.7187500000000002</v>
      </c>
      <c r="AC6" s="16">
        <f>MEDIAN(AB2:AB6)</f>
        <v>-1.3838310269482883</v>
      </c>
      <c r="AD6" s="18">
        <v>44621</v>
      </c>
      <c r="AE6" s="16">
        <v>1316</v>
      </c>
      <c r="AF6" s="16">
        <v>1344</v>
      </c>
      <c r="AG6" s="16">
        <v>1224</v>
      </c>
      <c r="AH6" s="16">
        <v>1322</v>
      </c>
      <c r="AI6" s="16">
        <v>1322</v>
      </c>
      <c r="AJ6" s="16">
        <v>426700</v>
      </c>
      <c r="AK6" s="16">
        <v>6</v>
      </c>
      <c r="AL6" s="16">
        <f>AK6/AE6*100</f>
        <v>0.45592705167173248</v>
      </c>
      <c r="AM6" s="16">
        <f>MEDIAN(AL2:AL6)</f>
        <v>7.6793248945147674</v>
      </c>
      <c r="AN6" s="18">
        <v>44652</v>
      </c>
      <c r="AO6" s="16">
        <v>1318</v>
      </c>
      <c r="AP6" s="16">
        <v>1344</v>
      </c>
      <c r="AQ6" s="16">
        <v>1262</v>
      </c>
      <c r="AR6" s="16">
        <v>1278</v>
      </c>
      <c r="AS6" s="16">
        <v>1278</v>
      </c>
      <c r="AT6" s="16">
        <v>438000</v>
      </c>
      <c r="AU6" s="16">
        <v>-40</v>
      </c>
      <c r="AV6" s="16">
        <f>AU6/AO6*100</f>
        <v>-3.0349013657056148</v>
      </c>
      <c r="AW6" s="16">
        <f>MEDIAN(AV2:AV6)</f>
        <v>-0.35137034434293746</v>
      </c>
      <c r="AX6" s="18">
        <v>44683</v>
      </c>
      <c r="AY6" s="16">
        <v>1278</v>
      </c>
      <c r="AZ6" s="16">
        <v>1316</v>
      </c>
      <c r="BA6" s="16">
        <v>1252</v>
      </c>
      <c r="BB6" s="16">
        <v>1298</v>
      </c>
      <c r="BC6" s="16">
        <v>1298</v>
      </c>
      <c r="BD6" s="16">
        <v>736200</v>
      </c>
      <c r="BE6" s="16">
        <v>20</v>
      </c>
      <c r="BF6" s="16">
        <f>BE6/AY6*100</f>
        <v>1.5649452269170578</v>
      </c>
      <c r="BG6" s="16">
        <f>MEDIAN(BF2:BF6)</f>
        <v>0.49226441631504925</v>
      </c>
      <c r="BH6" s="18">
        <v>44713</v>
      </c>
      <c r="BI6" s="16">
        <v>1306</v>
      </c>
      <c r="BJ6" s="16">
        <v>1397</v>
      </c>
      <c r="BK6" s="16">
        <v>1306</v>
      </c>
      <c r="BL6" s="16">
        <v>1389</v>
      </c>
      <c r="BM6" s="16">
        <v>1389</v>
      </c>
      <c r="BN6" s="16">
        <v>545700</v>
      </c>
      <c r="BO6" s="16">
        <v>83</v>
      </c>
      <c r="BP6" s="16">
        <f>BO6/BI6*100</f>
        <v>6.3552833078101072</v>
      </c>
      <c r="BQ6" s="16">
        <f>MEDIAN(BP2:BP6)</f>
        <v>2.3664638269100742</v>
      </c>
      <c r="BR6" s="18">
        <v>44743</v>
      </c>
      <c r="BS6" s="16">
        <v>1382</v>
      </c>
      <c r="BT6" s="16">
        <v>1404</v>
      </c>
      <c r="BU6" s="16">
        <v>1306</v>
      </c>
      <c r="BV6" s="16">
        <v>1318</v>
      </c>
      <c r="BW6" s="16">
        <v>1318</v>
      </c>
      <c r="BX6" s="16">
        <v>1051800</v>
      </c>
      <c r="BY6" s="16">
        <v>-64</v>
      </c>
      <c r="BZ6" s="16">
        <f>BY6/BS6*100</f>
        <v>-4.630969609261939</v>
      </c>
      <c r="CA6" s="16">
        <f>MEDIAN(BZ2:BZ6)</f>
        <v>-5.0624589086127543</v>
      </c>
      <c r="CB6" s="18">
        <v>44774</v>
      </c>
      <c r="CC6" s="16">
        <v>1313</v>
      </c>
      <c r="CD6" s="16">
        <v>1343</v>
      </c>
      <c r="CE6" s="16">
        <v>1300</v>
      </c>
      <c r="CF6" s="16">
        <v>1336</v>
      </c>
      <c r="CG6" s="16">
        <v>1336</v>
      </c>
      <c r="CH6" s="16">
        <v>338400</v>
      </c>
      <c r="CI6" s="16">
        <v>23</v>
      </c>
      <c r="CJ6" s="16">
        <f>CI6/CC6*100</f>
        <v>1.7517136329017517</v>
      </c>
      <c r="CK6" s="16">
        <f>MEDIAN(CJ2:CJ6)</f>
        <v>0.2074688796680498</v>
      </c>
      <c r="CL6" s="18">
        <v>44805</v>
      </c>
      <c r="CM6" s="16">
        <v>1328</v>
      </c>
      <c r="CN6" s="16">
        <v>1377</v>
      </c>
      <c r="CO6" s="16">
        <v>1313</v>
      </c>
      <c r="CP6" s="16">
        <v>1350</v>
      </c>
      <c r="CQ6" s="16">
        <v>1350</v>
      </c>
      <c r="CR6" s="16">
        <v>502100</v>
      </c>
      <c r="CS6" s="16">
        <v>22</v>
      </c>
      <c r="CT6" s="16">
        <f>CS6/CM6*100</f>
        <v>1.6566265060240966</v>
      </c>
      <c r="CU6" s="16">
        <f>MEDIAN(CT2:CT6)</f>
        <v>3.7149355572403335</v>
      </c>
      <c r="CV6" s="18">
        <v>44837</v>
      </c>
      <c r="CW6" s="16">
        <v>1346</v>
      </c>
      <c r="CX6" s="16">
        <v>1387</v>
      </c>
      <c r="CY6" s="16">
        <v>1335</v>
      </c>
      <c r="CZ6" s="16">
        <v>1374</v>
      </c>
      <c r="DA6" s="16">
        <v>1374</v>
      </c>
      <c r="DB6" s="16">
        <v>327300</v>
      </c>
      <c r="DC6" s="16">
        <v>28</v>
      </c>
      <c r="DD6" s="16">
        <f>DC6/CW6*100</f>
        <v>2.0802377414561661</v>
      </c>
      <c r="DE6" s="16">
        <f>MEDIAN(DD2:DD6)</f>
        <v>-2.1292217327459619</v>
      </c>
      <c r="DF6" s="18">
        <v>44866</v>
      </c>
      <c r="DG6" s="16">
        <v>1379</v>
      </c>
      <c r="DH6" s="16">
        <v>1400</v>
      </c>
      <c r="DI6" s="16">
        <v>1340</v>
      </c>
      <c r="DJ6" s="16">
        <v>1387</v>
      </c>
      <c r="DK6" s="16">
        <v>1387</v>
      </c>
      <c r="DL6" s="16">
        <v>197600</v>
      </c>
      <c r="DM6" s="16">
        <v>8</v>
      </c>
      <c r="DN6" s="16">
        <f>DM6/DG6*100</f>
        <v>0.58013052936910803</v>
      </c>
      <c r="DO6" s="16">
        <f>MEDIAN(DN2:DN6)</f>
        <v>-1.2372634643377001</v>
      </c>
      <c r="DP6" s="18">
        <v>44896</v>
      </c>
      <c r="DQ6" s="16">
        <v>1400</v>
      </c>
      <c r="DR6" s="16">
        <v>1416</v>
      </c>
      <c r="DS6" s="16">
        <v>1351</v>
      </c>
      <c r="DT6" s="16">
        <v>1395</v>
      </c>
      <c r="DU6" s="16">
        <v>1395</v>
      </c>
      <c r="DV6" s="16">
        <v>350700</v>
      </c>
      <c r="DW6" s="16">
        <v>-5</v>
      </c>
      <c r="DX6" s="16">
        <f>DW6/DQ6*100</f>
        <v>-0.35714285714285715</v>
      </c>
      <c r="DY6" s="16">
        <f>MEDIAN(DX2:DX6)</f>
        <v>-0.20891364902506965</v>
      </c>
    </row>
    <row r="7" spans="1:129">
      <c r="A7" s="17">
        <v>43252</v>
      </c>
      <c r="B7" s="16">
        <v>1430</v>
      </c>
      <c r="C7" s="16">
        <v>1477</v>
      </c>
      <c r="D7" s="16">
        <v>1415</v>
      </c>
      <c r="E7" s="16">
        <v>1443</v>
      </c>
      <c r="F7" s="16">
        <v>1443</v>
      </c>
      <c r="G7" s="16">
        <v>630900</v>
      </c>
      <c r="H7" s="16">
        <f t="shared" si="0"/>
        <v>13</v>
      </c>
    </row>
    <row r="8" spans="1:129">
      <c r="A8" s="17">
        <v>43283</v>
      </c>
      <c r="B8" s="16">
        <v>1448</v>
      </c>
      <c r="C8" s="16">
        <v>1474</v>
      </c>
      <c r="D8" s="16">
        <v>1341</v>
      </c>
      <c r="E8" s="16">
        <v>1355</v>
      </c>
      <c r="F8" s="16">
        <v>1355</v>
      </c>
      <c r="G8" s="16">
        <v>1504500</v>
      </c>
      <c r="H8" s="16">
        <f t="shared" si="0"/>
        <v>-93</v>
      </c>
    </row>
    <row r="9" spans="1:129">
      <c r="A9" s="17">
        <v>43313</v>
      </c>
      <c r="B9" s="16">
        <v>1360</v>
      </c>
      <c r="C9" s="16">
        <v>1384</v>
      </c>
      <c r="D9" s="16">
        <v>1251</v>
      </c>
      <c r="E9" s="16">
        <v>1304</v>
      </c>
      <c r="F9" s="16">
        <v>1304</v>
      </c>
      <c r="G9" s="16">
        <v>409000</v>
      </c>
      <c r="H9" s="16">
        <f t="shared" si="0"/>
        <v>-56</v>
      </c>
    </row>
    <row r="10" spans="1:129">
      <c r="A10" s="17">
        <v>43346</v>
      </c>
      <c r="B10" s="16">
        <v>1300</v>
      </c>
      <c r="C10" s="16">
        <v>1440</v>
      </c>
      <c r="D10" s="16">
        <v>1280</v>
      </c>
      <c r="E10" s="16">
        <v>1414</v>
      </c>
      <c r="F10" s="16">
        <v>1414</v>
      </c>
      <c r="G10" s="16">
        <v>759700</v>
      </c>
      <c r="H10" s="16">
        <f t="shared" si="0"/>
        <v>114</v>
      </c>
    </row>
    <row r="11" spans="1:129">
      <c r="A11" s="17">
        <v>43374</v>
      </c>
      <c r="B11" s="16">
        <v>1404</v>
      </c>
      <c r="C11" s="16">
        <v>1430</v>
      </c>
      <c r="D11" s="16">
        <v>1302</v>
      </c>
      <c r="E11" s="16">
        <v>1373</v>
      </c>
      <c r="F11" s="16">
        <v>1373</v>
      </c>
      <c r="G11" s="16">
        <v>403300</v>
      </c>
      <c r="H11" s="16">
        <f t="shared" si="0"/>
        <v>-31</v>
      </c>
    </row>
    <row r="12" spans="1:129">
      <c r="A12" s="17">
        <v>43405</v>
      </c>
      <c r="B12" s="16">
        <v>1374</v>
      </c>
      <c r="C12" s="16">
        <v>1408</v>
      </c>
      <c r="D12" s="16">
        <v>1343</v>
      </c>
      <c r="E12" s="16">
        <v>1357</v>
      </c>
      <c r="F12" s="16">
        <v>1357</v>
      </c>
      <c r="G12" s="16">
        <v>168900</v>
      </c>
      <c r="H12" s="16">
        <f t="shared" si="0"/>
        <v>-17</v>
      </c>
    </row>
    <row r="13" spans="1:129">
      <c r="A13" s="17">
        <v>43437</v>
      </c>
      <c r="B13" s="16">
        <v>1361</v>
      </c>
      <c r="C13" s="16">
        <v>1390</v>
      </c>
      <c r="D13" s="16">
        <v>1106</v>
      </c>
      <c r="E13" s="16">
        <v>1245</v>
      </c>
      <c r="F13" s="16">
        <v>1245</v>
      </c>
      <c r="G13" s="16">
        <v>339500</v>
      </c>
      <c r="H13" s="16">
        <f t="shared" si="0"/>
        <v>-116</v>
      </c>
    </row>
    <row r="14" spans="1:129">
      <c r="A14" s="17">
        <v>43469</v>
      </c>
      <c r="B14" s="16">
        <v>1221</v>
      </c>
      <c r="C14" s="16">
        <v>1298</v>
      </c>
      <c r="D14" s="16">
        <v>1206</v>
      </c>
      <c r="E14" s="16">
        <v>1231</v>
      </c>
      <c r="F14" s="16">
        <v>1231</v>
      </c>
      <c r="G14" s="16">
        <v>703000</v>
      </c>
      <c r="H14" s="16">
        <f t="shared" si="0"/>
        <v>10</v>
      </c>
    </row>
    <row r="15" spans="1:129">
      <c r="A15" s="17">
        <v>43497</v>
      </c>
      <c r="B15" s="16">
        <v>1230</v>
      </c>
      <c r="C15" s="16">
        <v>1289</v>
      </c>
      <c r="D15" s="16">
        <v>1211</v>
      </c>
      <c r="E15" s="16">
        <v>1285</v>
      </c>
      <c r="F15" s="16">
        <v>1285</v>
      </c>
      <c r="G15" s="16">
        <v>328400</v>
      </c>
      <c r="H15" s="16">
        <f t="shared" si="0"/>
        <v>55</v>
      </c>
    </row>
    <row r="16" spans="1:129">
      <c r="A16" s="17">
        <v>43525</v>
      </c>
      <c r="B16" s="16">
        <v>1285</v>
      </c>
      <c r="C16" s="16">
        <v>1510</v>
      </c>
      <c r="D16" s="16">
        <v>1276</v>
      </c>
      <c r="E16" s="16">
        <v>1402</v>
      </c>
      <c r="F16" s="16">
        <v>1402</v>
      </c>
      <c r="G16" s="16">
        <v>770500</v>
      </c>
      <c r="H16" s="16">
        <f t="shared" si="0"/>
        <v>117</v>
      </c>
    </row>
    <row r="17" spans="1:8">
      <c r="A17" s="17">
        <v>43556</v>
      </c>
      <c r="B17" s="16">
        <v>1423</v>
      </c>
      <c r="C17" s="16">
        <v>1450</v>
      </c>
      <c r="D17" s="16">
        <v>1402</v>
      </c>
      <c r="E17" s="16">
        <v>1418</v>
      </c>
      <c r="F17" s="16">
        <v>1418</v>
      </c>
      <c r="G17" s="16">
        <v>308800</v>
      </c>
      <c r="H17" s="16">
        <f t="shared" si="0"/>
        <v>-5</v>
      </c>
    </row>
    <row r="18" spans="1:8">
      <c r="A18" s="17">
        <v>43592</v>
      </c>
      <c r="B18" s="16">
        <v>1431</v>
      </c>
      <c r="C18" s="16">
        <v>1449</v>
      </c>
      <c r="D18" s="16">
        <v>1386</v>
      </c>
      <c r="E18" s="16">
        <v>1391</v>
      </c>
      <c r="F18" s="16">
        <v>1391</v>
      </c>
      <c r="G18" s="16">
        <v>376100</v>
      </c>
      <c r="H18" s="16">
        <f t="shared" si="0"/>
        <v>-40</v>
      </c>
    </row>
    <row r="19" spans="1:8">
      <c r="A19" s="17">
        <v>43619</v>
      </c>
      <c r="B19" s="16">
        <v>1380</v>
      </c>
      <c r="C19" s="16">
        <v>1479</v>
      </c>
      <c r="D19" s="16">
        <v>1370</v>
      </c>
      <c r="E19" s="16">
        <v>1415</v>
      </c>
      <c r="F19" s="16">
        <v>1415</v>
      </c>
      <c r="G19" s="16">
        <v>748800</v>
      </c>
      <c r="H19" s="16">
        <f t="shared" si="0"/>
        <v>35</v>
      </c>
    </row>
    <row r="20" spans="1:8">
      <c r="A20" s="17">
        <v>43647</v>
      </c>
      <c r="B20" s="16">
        <v>1430</v>
      </c>
      <c r="C20" s="16">
        <v>1500</v>
      </c>
      <c r="D20" s="16">
        <v>1391</v>
      </c>
      <c r="E20" s="16">
        <v>1393</v>
      </c>
      <c r="F20" s="16">
        <v>1393</v>
      </c>
      <c r="G20" s="16">
        <v>1082100</v>
      </c>
      <c r="H20" s="16">
        <f t="shared" si="0"/>
        <v>-37</v>
      </c>
    </row>
    <row r="21" spans="1:8">
      <c r="A21" s="17">
        <v>43678</v>
      </c>
      <c r="B21" s="16">
        <v>1388</v>
      </c>
      <c r="C21" s="16">
        <v>1402</v>
      </c>
      <c r="D21" s="16">
        <v>1303</v>
      </c>
      <c r="E21" s="16">
        <v>1346</v>
      </c>
      <c r="F21" s="16">
        <v>1346</v>
      </c>
      <c r="G21" s="16">
        <v>350400</v>
      </c>
      <c r="H21" s="16">
        <f t="shared" si="0"/>
        <v>-42</v>
      </c>
    </row>
    <row r="22" spans="1:8">
      <c r="A22" s="17">
        <v>43710</v>
      </c>
      <c r="B22" s="16">
        <v>1324</v>
      </c>
      <c r="C22" s="16">
        <v>1465</v>
      </c>
      <c r="D22" s="16">
        <v>1324</v>
      </c>
      <c r="E22" s="16">
        <v>1433</v>
      </c>
      <c r="F22" s="16">
        <v>1433</v>
      </c>
      <c r="G22" s="16">
        <v>435000</v>
      </c>
      <c r="H22" s="16">
        <f t="shared" si="0"/>
        <v>109</v>
      </c>
    </row>
    <row r="23" spans="1:8">
      <c r="A23" s="17">
        <v>43739</v>
      </c>
      <c r="B23" s="16">
        <v>1441</v>
      </c>
      <c r="C23" s="16">
        <v>1482</v>
      </c>
      <c r="D23" s="16">
        <v>1403</v>
      </c>
      <c r="E23" s="16">
        <v>1465</v>
      </c>
      <c r="F23" s="16">
        <v>1465</v>
      </c>
      <c r="G23" s="16">
        <v>244700</v>
      </c>
      <c r="H23" s="16">
        <f t="shared" si="0"/>
        <v>24</v>
      </c>
    </row>
    <row r="24" spans="1:8">
      <c r="A24" s="17">
        <v>43770</v>
      </c>
      <c r="B24" s="16">
        <v>1467</v>
      </c>
      <c r="C24" s="16">
        <v>1479</v>
      </c>
      <c r="D24" s="16">
        <v>1423</v>
      </c>
      <c r="E24" s="16">
        <v>1425</v>
      </c>
      <c r="F24" s="16">
        <v>1425</v>
      </c>
      <c r="G24" s="16">
        <v>188700</v>
      </c>
      <c r="H24" s="16">
        <f t="shared" si="0"/>
        <v>-42</v>
      </c>
    </row>
    <row r="25" spans="1:8">
      <c r="A25" s="17">
        <v>43801</v>
      </c>
      <c r="B25" s="16">
        <v>1436</v>
      </c>
      <c r="C25" s="16">
        <v>1480</v>
      </c>
      <c r="D25" s="16">
        <v>1400</v>
      </c>
      <c r="E25" s="16">
        <v>1433</v>
      </c>
      <c r="F25" s="16">
        <v>1433</v>
      </c>
      <c r="G25" s="16">
        <v>287400</v>
      </c>
      <c r="H25" s="16">
        <f t="shared" si="0"/>
        <v>-3</v>
      </c>
    </row>
    <row r="26" spans="1:8">
      <c r="A26" s="17">
        <v>43836</v>
      </c>
      <c r="B26" s="16">
        <v>1427</v>
      </c>
      <c r="C26" s="16">
        <v>1436</v>
      </c>
      <c r="D26" s="16">
        <v>1340</v>
      </c>
      <c r="E26" s="16">
        <v>1364</v>
      </c>
      <c r="F26" s="16">
        <v>1364</v>
      </c>
      <c r="G26" s="16">
        <v>1016400</v>
      </c>
      <c r="H26" s="16">
        <f t="shared" si="0"/>
        <v>-63</v>
      </c>
    </row>
    <row r="27" spans="1:8">
      <c r="A27" s="17">
        <v>43864</v>
      </c>
      <c r="B27" s="16">
        <v>1352</v>
      </c>
      <c r="C27" s="16">
        <v>1403</v>
      </c>
      <c r="D27" s="16">
        <v>1190</v>
      </c>
      <c r="E27" s="16">
        <v>1192</v>
      </c>
      <c r="F27" s="16">
        <v>1192</v>
      </c>
      <c r="G27" s="16">
        <v>356300</v>
      </c>
      <c r="H27" s="16">
        <f t="shared" si="0"/>
        <v>-160</v>
      </c>
    </row>
    <row r="28" spans="1:8">
      <c r="A28" s="17">
        <v>43892</v>
      </c>
      <c r="B28" s="16">
        <v>1185</v>
      </c>
      <c r="C28" s="16">
        <v>1338</v>
      </c>
      <c r="D28" s="16">
        <v>949</v>
      </c>
      <c r="E28" s="16">
        <v>1276</v>
      </c>
      <c r="F28" s="16">
        <v>1276</v>
      </c>
      <c r="G28" s="16">
        <v>626500</v>
      </c>
      <c r="H28" s="16">
        <f t="shared" si="0"/>
        <v>91</v>
      </c>
    </row>
    <row r="29" spans="1:8">
      <c r="A29" s="17">
        <v>43922</v>
      </c>
      <c r="B29" s="16">
        <v>1254</v>
      </c>
      <c r="C29" s="16">
        <v>1309</v>
      </c>
      <c r="D29" s="16">
        <v>1128</v>
      </c>
      <c r="E29" s="16">
        <v>1309</v>
      </c>
      <c r="F29" s="16">
        <v>1309</v>
      </c>
      <c r="G29" s="16">
        <v>286000</v>
      </c>
      <c r="H29" s="16">
        <f t="shared" si="0"/>
        <v>55</v>
      </c>
    </row>
    <row r="30" spans="1:8">
      <c r="A30" s="17">
        <v>43952</v>
      </c>
      <c r="B30" s="16">
        <v>1308</v>
      </c>
      <c r="C30" s="16">
        <v>1420</v>
      </c>
      <c r="D30" s="16">
        <v>1297</v>
      </c>
      <c r="E30" s="16">
        <v>1391</v>
      </c>
      <c r="F30" s="16">
        <v>1391</v>
      </c>
      <c r="G30" s="16">
        <v>341600</v>
      </c>
      <c r="H30" s="16">
        <f t="shared" si="0"/>
        <v>83</v>
      </c>
    </row>
    <row r="31" spans="1:8">
      <c r="A31" s="17">
        <v>43983</v>
      </c>
      <c r="B31" s="16">
        <v>1415</v>
      </c>
      <c r="C31" s="16">
        <v>1425</v>
      </c>
      <c r="D31" s="16">
        <v>1344</v>
      </c>
      <c r="E31" s="16">
        <v>1390</v>
      </c>
      <c r="F31" s="16">
        <v>1390</v>
      </c>
      <c r="G31" s="16">
        <v>848700</v>
      </c>
      <c r="H31" s="16">
        <f t="shared" si="0"/>
        <v>-25</v>
      </c>
    </row>
    <row r="32" spans="1:8">
      <c r="A32" s="17">
        <v>44013</v>
      </c>
      <c r="B32" s="16">
        <v>1391</v>
      </c>
      <c r="C32" s="16">
        <v>1443</v>
      </c>
      <c r="D32" s="16">
        <v>1220</v>
      </c>
      <c r="E32" s="16">
        <v>1232</v>
      </c>
      <c r="F32" s="16">
        <v>1232</v>
      </c>
      <c r="G32" s="16">
        <v>1160000</v>
      </c>
      <c r="H32" s="16">
        <f t="shared" si="0"/>
        <v>-159</v>
      </c>
    </row>
    <row r="33" spans="1:8">
      <c r="A33" s="17">
        <v>44046</v>
      </c>
      <c r="B33" s="16">
        <v>1235</v>
      </c>
      <c r="C33" s="16">
        <v>1357</v>
      </c>
      <c r="D33" s="16">
        <v>1235</v>
      </c>
      <c r="E33" s="16">
        <v>1304</v>
      </c>
      <c r="F33" s="16">
        <v>1304</v>
      </c>
      <c r="G33" s="16">
        <v>330600</v>
      </c>
      <c r="H33" s="16">
        <f t="shared" si="0"/>
        <v>69</v>
      </c>
    </row>
    <row r="34" spans="1:8">
      <c r="A34" s="17">
        <v>44075</v>
      </c>
      <c r="B34" s="16">
        <v>1319</v>
      </c>
      <c r="C34" s="16">
        <v>1413</v>
      </c>
      <c r="D34" s="16">
        <v>1287</v>
      </c>
      <c r="E34" s="16">
        <v>1368</v>
      </c>
      <c r="F34" s="16">
        <v>1368</v>
      </c>
      <c r="G34" s="16">
        <v>383700</v>
      </c>
      <c r="H34" s="16">
        <f t="shared" ref="H34:H61" si="1">E34-B34</f>
        <v>49</v>
      </c>
    </row>
    <row r="35" spans="1:8">
      <c r="A35" s="17">
        <v>44106</v>
      </c>
      <c r="B35" s="16">
        <v>1362</v>
      </c>
      <c r="C35" s="16">
        <v>1383</v>
      </c>
      <c r="D35" s="16">
        <v>1325</v>
      </c>
      <c r="E35" s="16">
        <v>1333</v>
      </c>
      <c r="F35" s="16">
        <v>1333</v>
      </c>
      <c r="G35" s="16">
        <v>185000</v>
      </c>
      <c r="H35" s="16">
        <f t="shared" si="1"/>
        <v>-29</v>
      </c>
    </row>
    <row r="36" spans="1:8">
      <c r="A36" s="17">
        <v>44137</v>
      </c>
      <c r="B36" s="16">
        <v>1333</v>
      </c>
      <c r="C36" s="16">
        <v>1399</v>
      </c>
      <c r="D36" s="16">
        <v>1322</v>
      </c>
      <c r="E36" s="16">
        <v>1362</v>
      </c>
      <c r="F36" s="16">
        <v>1362</v>
      </c>
      <c r="G36" s="16">
        <v>214700</v>
      </c>
      <c r="H36" s="16">
        <f t="shared" si="1"/>
        <v>29</v>
      </c>
    </row>
    <row r="37" spans="1:8">
      <c r="A37" s="17">
        <v>44166</v>
      </c>
      <c r="B37" s="16">
        <v>1364</v>
      </c>
      <c r="C37" s="16">
        <v>1450</v>
      </c>
      <c r="D37" s="16">
        <v>1354</v>
      </c>
      <c r="E37" s="16">
        <v>1390</v>
      </c>
      <c r="F37" s="16">
        <v>1390</v>
      </c>
      <c r="G37" s="16">
        <v>479300</v>
      </c>
      <c r="H37" s="16">
        <f t="shared" si="1"/>
        <v>26</v>
      </c>
    </row>
    <row r="38" spans="1:8">
      <c r="A38" s="17">
        <v>44200</v>
      </c>
      <c r="B38" s="16">
        <v>1390</v>
      </c>
      <c r="C38" s="16">
        <v>1433</v>
      </c>
      <c r="D38" s="16">
        <v>1362</v>
      </c>
      <c r="E38" s="16">
        <v>1414</v>
      </c>
      <c r="F38" s="16">
        <v>1414</v>
      </c>
      <c r="G38" s="16">
        <v>1363200</v>
      </c>
      <c r="H38" s="16">
        <f t="shared" si="1"/>
        <v>24</v>
      </c>
    </row>
    <row r="39" spans="1:8">
      <c r="A39" s="17">
        <v>44228</v>
      </c>
      <c r="B39" s="16">
        <v>1402</v>
      </c>
      <c r="C39" s="16">
        <v>1475</v>
      </c>
      <c r="D39" s="16">
        <v>1379</v>
      </c>
      <c r="E39" s="16">
        <v>1382</v>
      </c>
      <c r="F39" s="16">
        <v>1382</v>
      </c>
      <c r="G39" s="16">
        <v>492900</v>
      </c>
      <c r="H39" s="16">
        <f t="shared" si="1"/>
        <v>-20</v>
      </c>
    </row>
    <row r="40" spans="1:8">
      <c r="A40" s="17">
        <v>44256</v>
      </c>
      <c r="B40" s="16">
        <v>1383</v>
      </c>
      <c r="C40" s="16">
        <v>1589</v>
      </c>
      <c r="D40" s="16">
        <v>1383</v>
      </c>
      <c r="E40" s="16">
        <v>1499</v>
      </c>
      <c r="F40" s="16">
        <v>1499</v>
      </c>
      <c r="G40" s="16">
        <v>1136200</v>
      </c>
      <c r="H40" s="16">
        <f t="shared" si="1"/>
        <v>116</v>
      </c>
    </row>
    <row r="41" spans="1:8">
      <c r="A41" s="17">
        <v>44287</v>
      </c>
      <c r="B41" s="16">
        <v>1495</v>
      </c>
      <c r="C41" s="16">
        <v>1545</v>
      </c>
      <c r="D41" s="16">
        <v>1465</v>
      </c>
      <c r="E41" s="16">
        <v>1467</v>
      </c>
      <c r="F41" s="16">
        <v>1467</v>
      </c>
      <c r="G41" s="16">
        <v>532400</v>
      </c>
      <c r="H41" s="16">
        <f t="shared" si="1"/>
        <v>-28</v>
      </c>
    </row>
    <row r="42" spans="1:8">
      <c r="A42" s="17">
        <v>44322</v>
      </c>
      <c r="B42" s="16">
        <v>1484</v>
      </c>
      <c r="C42" s="16">
        <v>1523</v>
      </c>
      <c r="D42" s="16">
        <v>1441</v>
      </c>
      <c r="E42" s="16">
        <v>1480</v>
      </c>
      <c r="F42" s="16">
        <v>1480</v>
      </c>
      <c r="G42" s="16">
        <v>563800</v>
      </c>
      <c r="H42" s="16">
        <f t="shared" si="1"/>
        <v>-4</v>
      </c>
    </row>
    <row r="43" spans="1:8">
      <c r="A43" s="17">
        <v>44348</v>
      </c>
      <c r="B43" s="16">
        <v>1479</v>
      </c>
      <c r="C43" s="16">
        <v>1565</v>
      </c>
      <c r="D43" s="16">
        <v>1472</v>
      </c>
      <c r="E43" s="16">
        <v>1514</v>
      </c>
      <c r="F43" s="16">
        <v>1514</v>
      </c>
      <c r="G43" s="16">
        <v>1410500</v>
      </c>
      <c r="H43" s="16">
        <f t="shared" si="1"/>
        <v>35</v>
      </c>
    </row>
    <row r="44" spans="1:8">
      <c r="A44" s="17">
        <v>44378</v>
      </c>
      <c r="B44" s="16">
        <v>1521</v>
      </c>
      <c r="C44" s="16">
        <v>1565</v>
      </c>
      <c r="D44" s="16">
        <v>1442</v>
      </c>
      <c r="E44" s="16">
        <v>1444</v>
      </c>
      <c r="F44" s="16">
        <v>1444</v>
      </c>
      <c r="G44" s="16">
        <v>1862300</v>
      </c>
      <c r="H44" s="16">
        <f t="shared" si="1"/>
        <v>-77</v>
      </c>
    </row>
    <row r="45" spans="1:8">
      <c r="A45" s="17">
        <v>44410</v>
      </c>
      <c r="B45" s="16">
        <v>1446</v>
      </c>
      <c r="C45" s="16">
        <v>1465</v>
      </c>
      <c r="D45" s="16">
        <v>1393</v>
      </c>
      <c r="E45" s="16">
        <v>1449</v>
      </c>
      <c r="F45" s="16">
        <v>1449</v>
      </c>
      <c r="G45" s="16">
        <v>594300</v>
      </c>
      <c r="H45" s="16">
        <f t="shared" si="1"/>
        <v>3</v>
      </c>
    </row>
    <row r="46" spans="1:8">
      <c r="A46" s="17">
        <v>44440</v>
      </c>
      <c r="B46" s="16">
        <v>1448</v>
      </c>
      <c r="C46" s="16">
        <v>1533</v>
      </c>
      <c r="D46" s="16">
        <v>1376</v>
      </c>
      <c r="E46" s="16">
        <v>1376</v>
      </c>
      <c r="F46" s="16">
        <v>1376</v>
      </c>
      <c r="G46" s="16">
        <v>1171500</v>
      </c>
      <c r="H46" s="16">
        <f t="shared" si="1"/>
        <v>-72</v>
      </c>
    </row>
    <row r="47" spans="1:8">
      <c r="A47" s="17">
        <v>44470</v>
      </c>
      <c r="B47" s="16">
        <v>1376</v>
      </c>
      <c r="C47" s="16">
        <v>1380</v>
      </c>
      <c r="D47" s="16">
        <v>1312</v>
      </c>
      <c r="E47" s="16">
        <v>1336</v>
      </c>
      <c r="F47" s="16">
        <v>1336</v>
      </c>
      <c r="G47" s="16">
        <v>532400</v>
      </c>
      <c r="H47" s="16">
        <f t="shared" si="1"/>
        <v>-40</v>
      </c>
    </row>
    <row r="48" spans="1:8">
      <c r="A48" s="17">
        <v>44501</v>
      </c>
      <c r="B48" s="16">
        <v>1346</v>
      </c>
      <c r="C48" s="16">
        <v>1390</v>
      </c>
      <c r="D48" s="16">
        <v>1305</v>
      </c>
      <c r="E48" s="16">
        <v>1308</v>
      </c>
      <c r="F48" s="16">
        <v>1308</v>
      </c>
      <c r="G48" s="16">
        <v>286300</v>
      </c>
      <c r="H48" s="16">
        <f t="shared" si="1"/>
        <v>-38</v>
      </c>
    </row>
    <row r="49" spans="1:8">
      <c r="A49" s="17">
        <v>44531</v>
      </c>
      <c r="B49" s="16">
        <v>1308</v>
      </c>
      <c r="C49" s="16">
        <v>1385</v>
      </c>
      <c r="D49" s="16">
        <v>1308</v>
      </c>
      <c r="E49" s="16">
        <v>1370</v>
      </c>
      <c r="F49" s="16">
        <v>1370</v>
      </c>
      <c r="G49" s="16">
        <v>434300</v>
      </c>
      <c r="H49" s="16">
        <f t="shared" si="1"/>
        <v>62</v>
      </c>
    </row>
    <row r="50" spans="1:8">
      <c r="A50" s="17">
        <v>44565</v>
      </c>
      <c r="B50" s="16">
        <v>1380</v>
      </c>
      <c r="C50" s="16">
        <v>1394</v>
      </c>
      <c r="D50" s="16">
        <v>1245</v>
      </c>
      <c r="E50" s="16">
        <v>1268</v>
      </c>
      <c r="F50" s="16">
        <v>1268</v>
      </c>
      <c r="G50" s="16">
        <v>1457900</v>
      </c>
      <c r="H50" s="16">
        <f t="shared" si="1"/>
        <v>-112</v>
      </c>
    </row>
    <row r="51" spans="1:8">
      <c r="A51" s="17">
        <v>44593</v>
      </c>
      <c r="B51" s="16">
        <v>1280</v>
      </c>
      <c r="C51" s="16">
        <v>1319</v>
      </c>
      <c r="D51" s="16">
        <v>1274</v>
      </c>
      <c r="E51" s="16">
        <v>1302</v>
      </c>
      <c r="F51" s="16">
        <v>1302</v>
      </c>
      <c r="G51" s="16">
        <v>328200</v>
      </c>
      <c r="H51" s="16">
        <f t="shared" si="1"/>
        <v>22</v>
      </c>
    </row>
    <row r="52" spans="1:8">
      <c r="A52" s="17">
        <v>44621</v>
      </c>
      <c r="B52" s="16">
        <v>1316</v>
      </c>
      <c r="C52" s="16">
        <v>1344</v>
      </c>
      <c r="D52" s="16">
        <v>1224</v>
      </c>
      <c r="E52" s="16">
        <v>1322</v>
      </c>
      <c r="F52" s="16">
        <v>1322</v>
      </c>
      <c r="G52" s="16">
        <v>426700</v>
      </c>
      <c r="H52" s="16">
        <f t="shared" si="1"/>
        <v>6</v>
      </c>
    </row>
    <row r="53" spans="1:8">
      <c r="A53" s="17">
        <v>44652</v>
      </c>
      <c r="B53" s="16">
        <v>1318</v>
      </c>
      <c r="C53" s="16">
        <v>1344</v>
      </c>
      <c r="D53" s="16">
        <v>1262</v>
      </c>
      <c r="E53" s="16">
        <v>1278</v>
      </c>
      <c r="F53" s="16">
        <v>1278</v>
      </c>
      <c r="G53" s="16">
        <v>438000</v>
      </c>
      <c r="H53" s="16">
        <f t="shared" si="1"/>
        <v>-40</v>
      </c>
    </row>
    <row r="54" spans="1:8">
      <c r="A54" s="17">
        <v>44683</v>
      </c>
      <c r="B54" s="16">
        <v>1278</v>
      </c>
      <c r="C54" s="16">
        <v>1316</v>
      </c>
      <c r="D54" s="16">
        <v>1252</v>
      </c>
      <c r="E54" s="16">
        <v>1298</v>
      </c>
      <c r="F54" s="16">
        <v>1298</v>
      </c>
      <c r="G54" s="16">
        <v>736200</v>
      </c>
      <c r="H54" s="16">
        <f t="shared" si="1"/>
        <v>20</v>
      </c>
    </row>
    <row r="55" spans="1:8">
      <c r="A55" s="17">
        <v>44713</v>
      </c>
      <c r="B55" s="16">
        <v>1306</v>
      </c>
      <c r="C55" s="16">
        <v>1397</v>
      </c>
      <c r="D55" s="16">
        <v>1306</v>
      </c>
      <c r="E55" s="16">
        <v>1389</v>
      </c>
      <c r="F55" s="16">
        <v>1389</v>
      </c>
      <c r="G55" s="16">
        <v>545700</v>
      </c>
      <c r="H55" s="16">
        <f t="shared" si="1"/>
        <v>83</v>
      </c>
    </row>
    <row r="56" spans="1:8">
      <c r="A56" s="17">
        <v>44743</v>
      </c>
      <c r="B56" s="16">
        <v>1382</v>
      </c>
      <c r="C56" s="16">
        <v>1404</v>
      </c>
      <c r="D56" s="16">
        <v>1306</v>
      </c>
      <c r="E56" s="16">
        <v>1318</v>
      </c>
      <c r="F56" s="16">
        <v>1318</v>
      </c>
      <c r="G56" s="16">
        <v>1051800</v>
      </c>
      <c r="H56" s="16">
        <f t="shared" si="1"/>
        <v>-64</v>
      </c>
    </row>
    <row r="57" spans="1:8">
      <c r="A57" s="17">
        <v>44774</v>
      </c>
      <c r="B57" s="16">
        <v>1313</v>
      </c>
      <c r="C57" s="16">
        <v>1343</v>
      </c>
      <c r="D57" s="16">
        <v>1300</v>
      </c>
      <c r="E57" s="16">
        <v>1336</v>
      </c>
      <c r="F57" s="16">
        <v>1336</v>
      </c>
      <c r="G57" s="16">
        <v>338400</v>
      </c>
      <c r="H57" s="16">
        <f t="shared" si="1"/>
        <v>23</v>
      </c>
    </row>
    <row r="58" spans="1:8">
      <c r="A58" s="17">
        <v>44805</v>
      </c>
      <c r="B58" s="16">
        <v>1328</v>
      </c>
      <c r="C58" s="16">
        <v>1377</v>
      </c>
      <c r="D58" s="16">
        <v>1313</v>
      </c>
      <c r="E58" s="16">
        <v>1350</v>
      </c>
      <c r="F58" s="16">
        <v>1350</v>
      </c>
      <c r="G58" s="16">
        <v>502100</v>
      </c>
      <c r="H58" s="16">
        <f t="shared" si="1"/>
        <v>22</v>
      </c>
    </row>
    <row r="59" spans="1:8">
      <c r="A59" s="17">
        <v>44837</v>
      </c>
      <c r="B59" s="16">
        <v>1346</v>
      </c>
      <c r="C59" s="16">
        <v>1387</v>
      </c>
      <c r="D59" s="16">
        <v>1335</v>
      </c>
      <c r="E59" s="16">
        <v>1374</v>
      </c>
      <c r="F59" s="16">
        <v>1374</v>
      </c>
      <c r="G59" s="16">
        <v>327300</v>
      </c>
      <c r="H59" s="16">
        <f t="shared" si="1"/>
        <v>28</v>
      </c>
    </row>
    <row r="60" spans="1:8">
      <c r="A60" s="17">
        <v>44866</v>
      </c>
      <c r="B60" s="16">
        <v>1379</v>
      </c>
      <c r="C60" s="16">
        <v>1400</v>
      </c>
      <c r="D60" s="16">
        <v>1340</v>
      </c>
      <c r="E60" s="16">
        <v>1387</v>
      </c>
      <c r="F60" s="16">
        <v>1387</v>
      </c>
      <c r="G60" s="16">
        <v>197600</v>
      </c>
      <c r="H60" s="16">
        <f t="shared" si="1"/>
        <v>8</v>
      </c>
    </row>
    <row r="61" spans="1:8">
      <c r="A61" s="17">
        <v>44896</v>
      </c>
      <c r="B61" s="16">
        <v>1400</v>
      </c>
      <c r="C61" s="16">
        <v>1416</v>
      </c>
      <c r="D61" s="16">
        <v>1351</v>
      </c>
      <c r="E61" s="16">
        <v>1395</v>
      </c>
      <c r="F61" s="16">
        <v>1395</v>
      </c>
      <c r="G61" s="16">
        <v>350700</v>
      </c>
      <c r="H61" s="16">
        <f t="shared" si="1"/>
        <v>-5</v>
      </c>
    </row>
  </sheetData>
  <phoneticPr fontId="32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B1E96-685B-48C7-A90B-47DA66EA6E0B}">
  <sheetPr codeName="Sheet19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2811</v>
      </c>
      <c r="C2" s="16">
        <v>2833</v>
      </c>
      <c r="D2" s="16">
        <v>2677</v>
      </c>
      <c r="E2" s="16">
        <v>2768</v>
      </c>
      <c r="F2" s="16">
        <v>1384</v>
      </c>
      <c r="G2" s="16">
        <v>334100</v>
      </c>
      <c r="H2" s="16">
        <f t="shared" ref="H2:H33" si="0">E2-B2</f>
        <v>-43</v>
      </c>
      <c r="J2" s="18" cm="1">
        <f t="array" ref="J2:Q6">_xlfn._xlws.FILTER(A2:H61,MONTH(A2:A61)=1,"")</f>
        <v>43104</v>
      </c>
      <c r="K2" s="16">
        <v>2811</v>
      </c>
      <c r="L2" s="16">
        <v>2833</v>
      </c>
      <c r="M2" s="16">
        <v>2677</v>
      </c>
      <c r="N2" s="16">
        <v>2768</v>
      </c>
      <c r="O2" s="16">
        <v>1384</v>
      </c>
      <c r="P2" s="16">
        <v>334100</v>
      </c>
      <c r="Q2" s="16">
        <v>-43</v>
      </c>
      <c r="R2" s="16">
        <f>Q2/K2*100</f>
        <v>-1.5297047314123089</v>
      </c>
      <c r="S2" s="16">
        <f>COUNT(Q2:Q6)</f>
        <v>5</v>
      </c>
      <c r="T2" s="18" cm="1">
        <f t="array" ref="T2:AA6">_xlfn._xlws.FILTER(A2:H61,MONTH(A2:A61)=2,"")</f>
        <v>43132</v>
      </c>
      <c r="U2" s="16">
        <v>2770</v>
      </c>
      <c r="V2" s="16">
        <v>2770</v>
      </c>
      <c r="W2" s="16">
        <v>2476</v>
      </c>
      <c r="X2" s="16">
        <v>2522</v>
      </c>
      <c r="Y2" s="16">
        <v>1261</v>
      </c>
      <c r="Z2" s="16">
        <v>158800</v>
      </c>
      <c r="AA2" s="16">
        <v>-248</v>
      </c>
      <c r="AB2" s="16">
        <f>AA2/U2*100</f>
        <v>-8.9530685920577611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2515</v>
      </c>
      <c r="AF2" s="16">
        <v>2550</v>
      </c>
      <c r="AG2" s="16">
        <v>2351</v>
      </c>
      <c r="AH2" s="16">
        <v>2550</v>
      </c>
      <c r="AI2" s="16">
        <v>1275</v>
      </c>
      <c r="AJ2" s="16">
        <v>168200</v>
      </c>
      <c r="AK2" s="16">
        <v>35</v>
      </c>
      <c r="AL2" s="16">
        <f>AK2/AE2*100</f>
        <v>1.3916500994035785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2599</v>
      </c>
      <c r="AP2" s="16">
        <v>2800</v>
      </c>
      <c r="AQ2" s="16">
        <v>2443</v>
      </c>
      <c r="AR2" s="16">
        <v>2716</v>
      </c>
      <c r="AS2" s="16">
        <v>1358</v>
      </c>
      <c r="AT2" s="16">
        <v>212800</v>
      </c>
      <c r="AU2" s="16">
        <v>117</v>
      </c>
      <c r="AV2" s="16">
        <f>AU2/AO2*100</f>
        <v>4.5017314351673718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2716</v>
      </c>
      <c r="AZ2" s="16">
        <v>2738</v>
      </c>
      <c r="BA2" s="16">
        <v>2507</v>
      </c>
      <c r="BB2" s="16">
        <v>2634</v>
      </c>
      <c r="BC2" s="16">
        <v>1317</v>
      </c>
      <c r="BD2" s="16">
        <v>134100</v>
      </c>
      <c r="BE2" s="16">
        <v>-82</v>
      </c>
      <c r="BF2" s="16">
        <f>BE2/AY2*100</f>
        <v>-3.0191458026509572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2649</v>
      </c>
      <c r="BJ2" s="16">
        <v>2755</v>
      </c>
      <c r="BK2" s="16">
        <v>2552</v>
      </c>
      <c r="BL2" s="16">
        <v>2680</v>
      </c>
      <c r="BM2" s="16">
        <v>1340</v>
      </c>
      <c r="BN2" s="16">
        <v>168100</v>
      </c>
      <c r="BO2" s="16">
        <v>31</v>
      </c>
      <c r="BP2" s="16">
        <f>BO2/BI2*100</f>
        <v>1.1702529256323142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2680</v>
      </c>
      <c r="BT2" s="16">
        <v>2749</v>
      </c>
      <c r="BU2" s="16">
        <v>2411</v>
      </c>
      <c r="BV2" s="16">
        <v>2417</v>
      </c>
      <c r="BW2" s="16">
        <v>1208.5</v>
      </c>
      <c r="BX2" s="16">
        <v>271700</v>
      </c>
      <c r="BY2" s="16">
        <v>-263</v>
      </c>
      <c r="BZ2" s="16">
        <f>BY2/BS2*100</f>
        <v>-9.8134328358208958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2411</v>
      </c>
      <c r="CD2" s="16">
        <v>2419</v>
      </c>
      <c r="CE2" s="16">
        <v>2185</v>
      </c>
      <c r="CF2" s="16">
        <v>2281</v>
      </c>
      <c r="CG2" s="16">
        <v>1140.5</v>
      </c>
      <c r="CH2" s="16">
        <v>112700</v>
      </c>
      <c r="CI2" s="16">
        <v>-130</v>
      </c>
      <c r="CJ2" s="16">
        <f>CI2/CC2*100</f>
        <v>-5.3919535462463708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2281</v>
      </c>
      <c r="CN2" s="16">
        <v>2313</v>
      </c>
      <c r="CO2" s="16">
        <v>2198</v>
      </c>
      <c r="CP2" s="16">
        <v>2283</v>
      </c>
      <c r="CQ2" s="16">
        <v>1141.5</v>
      </c>
      <c r="CR2" s="16">
        <v>68600</v>
      </c>
      <c r="CS2" s="16">
        <v>2</v>
      </c>
      <c r="CT2" s="16">
        <f>CS2/CM2*100</f>
        <v>8.7680841736080664E-2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2290</v>
      </c>
      <c r="CX2" s="16">
        <v>2354</v>
      </c>
      <c r="CY2" s="16">
        <v>1901</v>
      </c>
      <c r="CZ2" s="16">
        <v>2040</v>
      </c>
      <c r="DA2" s="16">
        <v>1020</v>
      </c>
      <c r="DB2" s="16">
        <v>122700</v>
      </c>
      <c r="DC2" s="16">
        <v>-250</v>
      </c>
      <c r="DD2" s="16">
        <f>DC2/CW2*100</f>
        <v>-10.91703056768559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2050</v>
      </c>
      <c r="DH2" s="16">
        <v>2188</v>
      </c>
      <c r="DI2" s="16">
        <v>1995</v>
      </c>
      <c r="DJ2" s="16">
        <v>2002</v>
      </c>
      <c r="DK2" s="16">
        <v>1001</v>
      </c>
      <c r="DL2" s="16">
        <v>64000</v>
      </c>
      <c r="DM2" s="16">
        <v>-48</v>
      </c>
      <c r="DN2" s="16">
        <f>DM2/DG2*100</f>
        <v>-2.3414634146341462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2014</v>
      </c>
      <c r="DR2" s="16">
        <v>2040</v>
      </c>
      <c r="DS2" s="16">
        <v>1761</v>
      </c>
      <c r="DT2" s="16">
        <v>2007</v>
      </c>
      <c r="DU2" s="16">
        <v>1003.5</v>
      </c>
      <c r="DV2" s="16">
        <v>148600</v>
      </c>
      <c r="DW2" s="16">
        <v>-7</v>
      </c>
      <c r="DX2" s="16">
        <f>DW2/DQ2*100</f>
        <v>-0.3475670307845084</v>
      </c>
      <c r="DY2" s="16">
        <f>COUNT(DW2:DW6)</f>
        <v>5</v>
      </c>
    </row>
    <row r="3" spans="1:129">
      <c r="A3" s="17">
        <v>43132</v>
      </c>
      <c r="B3" s="16">
        <v>2770</v>
      </c>
      <c r="C3" s="16">
        <v>2770</v>
      </c>
      <c r="D3" s="16">
        <v>2476</v>
      </c>
      <c r="E3" s="16">
        <v>2522</v>
      </c>
      <c r="F3" s="16">
        <v>1261</v>
      </c>
      <c r="G3" s="16">
        <v>158800</v>
      </c>
      <c r="H3" s="16">
        <f t="shared" si="0"/>
        <v>-248</v>
      </c>
      <c r="J3" s="18">
        <v>43469</v>
      </c>
      <c r="K3" s="16">
        <v>1001</v>
      </c>
      <c r="L3" s="16">
        <v>1162.5</v>
      </c>
      <c r="M3" s="16">
        <v>995.5</v>
      </c>
      <c r="N3" s="16">
        <v>1027</v>
      </c>
      <c r="O3" s="16">
        <v>1027</v>
      </c>
      <c r="P3" s="16">
        <v>149000</v>
      </c>
      <c r="Q3" s="16">
        <v>26</v>
      </c>
      <c r="R3" s="16">
        <f>Q3/K3*100</f>
        <v>2.5974025974025974</v>
      </c>
      <c r="S3" s="16">
        <f>COUNTIF(Q2:Q6,"&gt;0")</f>
        <v>1</v>
      </c>
      <c r="T3" s="18">
        <v>43497</v>
      </c>
      <c r="U3" s="16">
        <v>1021</v>
      </c>
      <c r="V3" s="16">
        <v>1075</v>
      </c>
      <c r="W3" s="16">
        <v>996</v>
      </c>
      <c r="X3" s="16">
        <v>1008</v>
      </c>
      <c r="Y3" s="16">
        <v>1008</v>
      </c>
      <c r="Z3" s="16">
        <v>104700</v>
      </c>
      <c r="AA3" s="16">
        <v>-13</v>
      </c>
      <c r="AB3" s="16">
        <f>AA3/U3*100</f>
        <v>-1.2732615083251715</v>
      </c>
      <c r="AC3" s="16">
        <f>COUNTIF(AA2:AA6,"&gt;0")</f>
        <v>0</v>
      </c>
      <c r="AD3" s="18">
        <v>43525</v>
      </c>
      <c r="AE3" s="16">
        <v>1006</v>
      </c>
      <c r="AF3" s="16">
        <v>1050</v>
      </c>
      <c r="AG3" s="16">
        <v>1000</v>
      </c>
      <c r="AH3" s="16">
        <v>1026</v>
      </c>
      <c r="AI3" s="16">
        <v>1026</v>
      </c>
      <c r="AJ3" s="16">
        <v>109600</v>
      </c>
      <c r="AK3" s="16">
        <v>20</v>
      </c>
      <c r="AL3" s="16">
        <f>AK3/AE3*100</f>
        <v>1.9880715705765408</v>
      </c>
      <c r="AM3" s="16">
        <f>COUNTIF(AK2:AK6,"&gt;0")</f>
        <v>3</v>
      </c>
      <c r="AN3" s="18">
        <v>43556</v>
      </c>
      <c r="AO3" s="16">
        <v>1050</v>
      </c>
      <c r="AP3" s="16">
        <v>1199</v>
      </c>
      <c r="AQ3" s="16">
        <v>1035</v>
      </c>
      <c r="AR3" s="16">
        <v>1195</v>
      </c>
      <c r="AS3" s="16">
        <v>1195</v>
      </c>
      <c r="AT3" s="16">
        <v>186900</v>
      </c>
      <c r="AU3" s="16">
        <v>145</v>
      </c>
      <c r="AV3" s="16">
        <f>AU3/AO3*100</f>
        <v>13.80952380952381</v>
      </c>
      <c r="AW3" s="16">
        <f>COUNTIF(AU2:AU6,"&gt;0")</f>
        <v>4</v>
      </c>
      <c r="AX3" s="18">
        <v>43592</v>
      </c>
      <c r="AY3" s="16">
        <v>1199</v>
      </c>
      <c r="AZ3" s="16">
        <v>1226</v>
      </c>
      <c r="BA3" s="16">
        <v>1175</v>
      </c>
      <c r="BB3" s="16">
        <v>1214</v>
      </c>
      <c r="BC3" s="16">
        <v>1214</v>
      </c>
      <c r="BD3" s="16">
        <v>108800</v>
      </c>
      <c r="BE3" s="16">
        <v>15</v>
      </c>
      <c r="BF3" s="16">
        <f>BE3/AY3*100</f>
        <v>1.2510425354462051</v>
      </c>
      <c r="BG3" s="16">
        <f>COUNTIF(BE2:BE6,"&gt;0")</f>
        <v>3</v>
      </c>
      <c r="BH3" s="18">
        <v>43619</v>
      </c>
      <c r="BI3" s="16">
        <v>1221</v>
      </c>
      <c r="BJ3" s="16">
        <v>1248</v>
      </c>
      <c r="BK3" s="16">
        <v>998</v>
      </c>
      <c r="BL3" s="16">
        <v>1025</v>
      </c>
      <c r="BM3" s="16">
        <v>1025</v>
      </c>
      <c r="BN3" s="16">
        <v>627800</v>
      </c>
      <c r="BO3" s="16">
        <v>-196</v>
      </c>
      <c r="BP3" s="16">
        <f>BO3/BI3*100</f>
        <v>-16.052416052416053</v>
      </c>
      <c r="BQ3" s="16">
        <f>COUNTIF(BO2:BO6,"&gt;0")</f>
        <v>3</v>
      </c>
      <c r="BR3" s="18">
        <v>43647</v>
      </c>
      <c r="BS3" s="16">
        <v>1030</v>
      </c>
      <c r="BT3" s="16">
        <v>1096</v>
      </c>
      <c r="BU3" s="16">
        <v>1000</v>
      </c>
      <c r="BV3" s="16">
        <v>1006</v>
      </c>
      <c r="BW3" s="16">
        <v>1006</v>
      </c>
      <c r="BX3" s="16">
        <v>438300</v>
      </c>
      <c r="BY3" s="16">
        <v>-24</v>
      </c>
      <c r="BZ3" s="16">
        <f>BY3/BS3*100</f>
        <v>-2.3300970873786406</v>
      </c>
      <c r="CA3" s="16">
        <f>COUNTIF(BY2:BY6,"&gt;0")</f>
        <v>0</v>
      </c>
      <c r="CB3" s="18">
        <v>43678</v>
      </c>
      <c r="CC3" s="16">
        <v>1001</v>
      </c>
      <c r="CD3" s="16">
        <v>1007</v>
      </c>
      <c r="CE3" s="16">
        <v>972</v>
      </c>
      <c r="CF3" s="16">
        <v>990</v>
      </c>
      <c r="CG3" s="16">
        <v>990</v>
      </c>
      <c r="CH3" s="16">
        <v>152200</v>
      </c>
      <c r="CI3" s="16">
        <v>-11</v>
      </c>
      <c r="CJ3" s="16">
        <f>CI3/CC3*100</f>
        <v>-1.098901098901099</v>
      </c>
      <c r="CK3" s="16">
        <f>COUNTIF(CI2:CI6,"&gt;0")</f>
        <v>1</v>
      </c>
      <c r="CL3" s="18">
        <v>43710</v>
      </c>
      <c r="CM3" s="16">
        <v>991</v>
      </c>
      <c r="CN3" s="16">
        <v>1062</v>
      </c>
      <c r="CO3" s="16">
        <v>980</v>
      </c>
      <c r="CP3" s="16">
        <v>1059</v>
      </c>
      <c r="CQ3" s="16">
        <v>1059</v>
      </c>
      <c r="CR3" s="16">
        <v>235800</v>
      </c>
      <c r="CS3" s="16">
        <v>68</v>
      </c>
      <c r="CT3" s="16">
        <f>CS3/CM3*100</f>
        <v>6.8617558022199789</v>
      </c>
      <c r="CU3" s="16">
        <f>COUNTIF(CS2:CS6,"&gt;0")</f>
        <v>4</v>
      </c>
      <c r="CV3" s="18">
        <v>43739</v>
      </c>
      <c r="CW3" s="16">
        <v>1059</v>
      </c>
      <c r="CX3" s="16">
        <v>1188</v>
      </c>
      <c r="CY3" s="16">
        <v>1041</v>
      </c>
      <c r="CZ3" s="16">
        <v>1174</v>
      </c>
      <c r="DA3" s="16">
        <v>1174</v>
      </c>
      <c r="DB3" s="16">
        <v>320500</v>
      </c>
      <c r="DC3" s="16">
        <v>115</v>
      </c>
      <c r="DD3" s="16">
        <f>DC3/CW3*100</f>
        <v>10.859301227573184</v>
      </c>
      <c r="DE3" s="16">
        <f>COUNTIF(DC2:DC6,"&gt;0")</f>
        <v>4</v>
      </c>
      <c r="DF3" s="18">
        <v>43770</v>
      </c>
      <c r="DG3" s="16">
        <v>1173</v>
      </c>
      <c r="DH3" s="16">
        <v>1214</v>
      </c>
      <c r="DI3" s="16">
        <v>1123</v>
      </c>
      <c r="DJ3" s="16">
        <v>1192</v>
      </c>
      <c r="DK3" s="16">
        <v>1192</v>
      </c>
      <c r="DL3" s="16">
        <v>149700</v>
      </c>
      <c r="DM3" s="16">
        <v>19</v>
      </c>
      <c r="DN3" s="16">
        <f>DM3/DG3*100</f>
        <v>1.6197783461210571</v>
      </c>
      <c r="DO3" s="16">
        <f>COUNTIF(DM2:DM6,"&gt;0")</f>
        <v>2</v>
      </c>
      <c r="DP3" s="18">
        <v>43801</v>
      </c>
      <c r="DQ3" s="16">
        <v>1198</v>
      </c>
      <c r="DR3" s="16">
        <v>1310</v>
      </c>
      <c r="DS3" s="16">
        <v>1150</v>
      </c>
      <c r="DT3" s="16">
        <v>1292</v>
      </c>
      <c r="DU3" s="16">
        <v>1292</v>
      </c>
      <c r="DV3" s="16">
        <v>436500</v>
      </c>
      <c r="DW3" s="16">
        <v>94</v>
      </c>
      <c r="DX3" s="16">
        <f>DW3/DQ3*100</f>
        <v>7.8464106844741242</v>
      </c>
      <c r="DY3" s="16">
        <f>COUNTIF(DW2:DW6,"&gt;0")</f>
        <v>3</v>
      </c>
    </row>
    <row r="4" spans="1:129">
      <c r="A4" s="17">
        <v>43160</v>
      </c>
      <c r="B4" s="16">
        <v>2515</v>
      </c>
      <c r="C4" s="16">
        <v>2550</v>
      </c>
      <c r="D4" s="16">
        <v>2351</v>
      </c>
      <c r="E4" s="16">
        <v>2550</v>
      </c>
      <c r="F4" s="16">
        <v>1275</v>
      </c>
      <c r="G4" s="16">
        <v>168200</v>
      </c>
      <c r="H4" s="16">
        <f t="shared" si="0"/>
        <v>35</v>
      </c>
      <c r="J4" s="18">
        <v>43836</v>
      </c>
      <c r="K4" s="16">
        <v>1289</v>
      </c>
      <c r="L4" s="16">
        <v>1384</v>
      </c>
      <c r="M4" s="16">
        <v>1180</v>
      </c>
      <c r="N4" s="16">
        <v>1180</v>
      </c>
      <c r="O4" s="16">
        <v>1180</v>
      </c>
      <c r="P4" s="16">
        <v>578700</v>
      </c>
      <c r="Q4" s="16">
        <v>-109</v>
      </c>
      <c r="R4" s="16">
        <f>Q4/K4*100</f>
        <v>-8.4561675717610552</v>
      </c>
      <c r="S4" s="19">
        <f>S3/S2*100</f>
        <v>20</v>
      </c>
      <c r="T4" s="18">
        <v>43864</v>
      </c>
      <c r="U4" s="16">
        <v>1150</v>
      </c>
      <c r="V4" s="16">
        <v>1229</v>
      </c>
      <c r="W4" s="16">
        <v>882</v>
      </c>
      <c r="X4" s="16">
        <v>891</v>
      </c>
      <c r="Y4" s="16">
        <v>891</v>
      </c>
      <c r="Z4" s="16">
        <v>248900</v>
      </c>
      <c r="AA4" s="16">
        <v>-259</v>
      </c>
      <c r="AB4" s="16">
        <f>AA4/U4*100</f>
        <v>-22.521739130434781</v>
      </c>
      <c r="AC4" s="19">
        <f>AC3/AC2*100</f>
        <v>0</v>
      </c>
      <c r="AD4" s="18">
        <v>43892</v>
      </c>
      <c r="AE4" s="16">
        <v>875</v>
      </c>
      <c r="AF4" s="16">
        <v>949</v>
      </c>
      <c r="AG4" s="16">
        <v>601</v>
      </c>
      <c r="AH4" s="16">
        <v>701</v>
      </c>
      <c r="AI4" s="16">
        <v>701</v>
      </c>
      <c r="AJ4" s="16">
        <v>603100</v>
      </c>
      <c r="AK4" s="16">
        <v>-174</v>
      </c>
      <c r="AL4" s="16">
        <f>AK4/AE4*100</f>
        <v>-19.885714285714286</v>
      </c>
      <c r="AM4" s="19">
        <f>AM3/AM2*100</f>
        <v>60</v>
      </c>
      <c r="AN4" s="18">
        <v>43922</v>
      </c>
      <c r="AO4" s="16">
        <v>695</v>
      </c>
      <c r="AP4" s="16">
        <v>772</v>
      </c>
      <c r="AQ4" s="16">
        <v>550</v>
      </c>
      <c r="AR4" s="16">
        <v>686</v>
      </c>
      <c r="AS4" s="16">
        <v>686</v>
      </c>
      <c r="AT4" s="16">
        <v>514400</v>
      </c>
      <c r="AU4" s="16">
        <v>-9</v>
      </c>
      <c r="AV4" s="16">
        <f>AU4/AO4*100</f>
        <v>-1.2949640287769784</v>
      </c>
      <c r="AW4" s="19">
        <f>AW3/AW2*100</f>
        <v>80</v>
      </c>
      <c r="AX4" s="18">
        <v>43952</v>
      </c>
      <c r="AY4" s="16">
        <v>696</v>
      </c>
      <c r="AZ4" s="16">
        <v>975</v>
      </c>
      <c r="BA4" s="16">
        <v>679</v>
      </c>
      <c r="BB4" s="16">
        <v>926</v>
      </c>
      <c r="BC4" s="16">
        <v>926</v>
      </c>
      <c r="BD4" s="16">
        <v>517300</v>
      </c>
      <c r="BE4" s="16">
        <v>230</v>
      </c>
      <c r="BF4" s="16">
        <f>BE4/AY4*100</f>
        <v>33.045977011494251</v>
      </c>
      <c r="BG4" s="19">
        <f>BG3/BG2*100</f>
        <v>60</v>
      </c>
      <c r="BH4" s="18">
        <v>43983</v>
      </c>
      <c r="BI4" s="16">
        <v>915</v>
      </c>
      <c r="BJ4" s="16">
        <v>990</v>
      </c>
      <c r="BK4" s="16">
        <v>850</v>
      </c>
      <c r="BL4" s="16">
        <v>941</v>
      </c>
      <c r="BM4" s="16">
        <v>941</v>
      </c>
      <c r="BN4" s="16">
        <v>322400</v>
      </c>
      <c r="BO4" s="16">
        <v>26</v>
      </c>
      <c r="BP4" s="16">
        <f>BO4/BI4*100</f>
        <v>2.8415300546448088</v>
      </c>
      <c r="BQ4" s="19">
        <f>BQ3/BQ2*100</f>
        <v>60</v>
      </c>
      <c r="BR4" s="18">
        <v>44013</v>
      </c>
      <c r="BS4" s="16">
        <v>936</v>
      </c>
      <c r="BT4" s="16">
        <v>948</v>
      </c>
      <c r="BU4" s="16">
        <v>726</v>
      </c>
      <c r="BV4" s="16">
        <v>726</v>
      </c>
      <c r="BW4" s="16">
        <v>726</v>
      </c>
      <c r="BX4" s="16">
        <v>273400</v>
      </c>
      <c r="BY4" s="16">
        <v>-210</v>
      </c>
      <c r="BZ4" s="16">
        <f>BY4/BS4*100</f>
        <v>-22.435897435897438</v>
      </c>
      <c r="CA4" s="19">
        <f>CA3/CA2*100</f>
        <v>0</v>
      </c>
      <c r="CB4" s="18">
        <v>44046</v>
      </c>
      <c r="CC4" s="16">
        <v>708</v>
      </c>
      <c r="CD4" s="16">
        <v>838</v>
      </c>
      <c r="CE4" s="16">
        <v>701</v>
      </c>
      <c r="CF4" s="16">
        <v>801</v>
      </c>
      <c r="CG4" s="16">
        <v>801</v>
      </c>
      <c r="CH4" s="16">
        <v>203200</v>
      </c>
      <c r="CI4" s="16">
        <v>93</v>
      </c>
      <c r="CJ4" s="16">
        <f>CI4/CC4*100</f>
        <v>13.135593220338984</v>
      </c>
      <c r="CK4" s="19">
        <f>CK3/CK2*100</f>
        <v>20</v>
      </c>
      <c r="CL4" s="18">
        <v>44075</v>
      </c>
      <c r="CM4" s="16">
        <v>830</v>
      </c>
      <c r="CN4" s="16">
        <v>968</v>
      </c>
      <c r="CO4" s="16">
        <v>777</v>
      </c>
      <c r="CP4" s="16">
        <v>939</v>
      </c>
      <c r="CQ4" s="16">
        <v>939</v>
      </c>
      <c r="CR4" s="16">
        <v>466000</v>
      </c>
      <c r="CS4" s="16">
        <v>109</v>
      </c>
      <c r="CT4" s="16">
        <f>CS4/CM4*100</f>
        <v>13.132530120481928</v>
      </c>
      <c r="CU4" s="19">
        <f>CU3/CU2*100</f>
        <v>80</v>
      </c>
      <c r="CV4" s="18">
        <v>44106</v>
      </c>
      <c r="CW4" s="16">
        <v>945</v>
      </c>
      <c r="CX4" s="16">
        <v>1073</v>
      </c>
      <c r="CY4" s="16">
        <v>921</v>
      </c>
      <c r="CZ4" s="16">
        <v>1009</v>
      </c>
      <c r="DA4" s="16">
        <v>1009</v>
      </c>
      <c r="DB4" s="16">
        <v>387300</v>
      </c>
      <c r="DC4" s="16">
        <v>64</v>
      </c>
      <c r="DD4" s="16">
        <f>DC4/CW4*100</f>
        <v>6.772486772486773</v>
      </c>
      <c r="DE4" s="19">
        <f>DE3/DE2*100</f>
        <v>80</v>
      </c>
      <c r="DF4" s="18">
        <v>44137</v>
      </c>
      <c r="DG4" s="16">
        <v>973</v>
      </c>
      <c r="DH4" s="16">
        <v>1044</v>
      </c>
      <c r="DI4" s="16">
        <v>973</v>
      </c>
      <c r="DJ4" s="16">
        <v>1034</v>
      </c>
      <c r="DK4" s="16">
        <v>1034</v>
      </c>
      <c r="DL4" s="16">
        <v>138300</v>
      </c>
      <c r="DM4" s="16">
        <v>61</v>
      </c>
      <c r="DN4" s="16">
        <f>DM4/DG4*100</f>
        <v>6.2692702980472763</v>
      </c>
      <c r="DO4" s="19">
        <f>DO3/DO2*100</f>
        <v>40</v>
      </c>
      <c r="DP4" s="18">
        <v>44166</v>
      </c>
      <c r="DQ4" s="16">
        <v>1042</v>
      </c>
      <c r="DR4" s="16">
        <v>1132</v>
      </c>
      <c r="DS4" s="16">
        <v>1002</v>
      </c>
      <c r="DT4" s="16">
        <v>1123</v>
      </c>
      <c r="DU4" s="16">
        <v>1123</v>
      </c>
      <c r="DV4" s="16">
        <v>225000</v>
      </c>
      <c r="DW4" s="16">
        <v>81</v>
      </c>
      <c r="DX4" s="16">
        <f>DW4/DQ4*100</f>
        <v>7.7735124760076779</v>
      </c>
      <c r="DY4" s="19">
        <f>DY3/DY2*100</f>
        <v>60</v>
      </c>
    </row>
    <row r="5" spans="1:129">
      <c r="A5" s="17">
        <v>43192</v>
      </c>
      <c r="B5" s="16">
        <v>2599</v>
      </c>
      <c r="C5" s="16">
        <v>2800</v>
      </c>
      <c r="D5" s="16">
        <v>2443</v>
      </c>
      <c r="E5" s="16">
        <v>2716</v>
      </c>
      <c r="F5" s="16">
        <v>1358</v>
      </c>
      <c r="G5" s="16">
        <v>212800</v>
      </c>
      <c r="H5" s="16">
        <f t="shared" si="0"/>
        <v>117</v>
      </c>
      <c r="J5" s="18">
        <v>44200</v>
      </c>
      <c r="K5" s="16">
        <v>1137</v>
      </c>
      <c r="L5" s="16">
        <v>1137</v>
      </c>
      <c r="M5" s="16">
        <v>1005</v>
      </c>
      <c r="N5" s="16">
        <v>1037</v>
      </c>
      <c r="O5" s="16">
        <v>1037</v>
      </c>
      <c r="P5" s="16">
        <v>212900</v>
      </c>
      <c r="Q5" s="16">
        <v>-100</v>
      </c>
      <c r="R5" s="16">
        <f>Q5/K5*100</f>
        <v>-8.7950747581354438</v>
      </c>
      <c r="S5" s="16">
        <f>AVERAGE(R2:R6)</f>
        <v>-5.1535262526365759</v>
      </c>
      <c r="T5" s="18">
        <v>44228</v>
      </c>
      <c r="U5" s="16">
        <v>1018</v>
      </c>
      <c r="V5" s="16">
        <v>1050</v>
      </c>
      <c r="W5" s="16">
        <v>970</v>
      </c>
      <c r="X5" s="16">
        <v>1014</v>
      </c>
      <c r="Y5" s="16">
        <v>1014</v>
      </c>
      <c r="Z5" s="16">
        <v>201800</v>
      </c>
      <c r="AA5" s="16">
        <v>-4</v>
      </c>
      <c r="AB5" s="16">
        <f>AA5/U5*100</f>
        <v>-0.39292730844793711</v>
      </c>
      <c r="AC5" s="16">
        <f>AVERAGE(AB2:AB6)</f>
        <v>-7.112070275595066</v>
      </c>
      <c r="AD5" s="18">
        <v>44256</v>
      </c>
      <c r="AE5" s="16">
        <v>1014</v>
      </c>
      <c r="AF5" s="16">
        <v>1030</v>
      </c>
      <c r="AG5" s="16">
        <v>981</v>
      </c>
      <c r="AH5" s="16">
        <v>1005</v>
      </c>
      <c r="AI5" s="16">
        <v>1005</v>
      </c>
      <c r="AJ5" s="16">
        <v>183600</v>
      </c>
      <c r="AK5" s="16">
        <v>-9</v>
      </c>
      <c r="AL5" s="16">
        <f>AK5/AE5*100</f>
        <v>-0.8875739644970414</v>
      </c>
      <c r="AM5" s="16">
        <f>AVERAGE(AL2:AL6)</f>
        <v>-3.0893690537511591</v>
      </c>
      <c r="AN5" s="18">
        <v>44287</v>
      </c>
      <c r="AO5" s="16">
        <v>1001</v>
      </c>
      <c r="AP5" s="16">
        <v>1049</v>
      </c>
      <c r="AQ5" s="16">
        <v>997</v>
      </c>
      <c r="AR5" s="16">
        <v>1011</v>
      </c>
      <c r="AS5" s="16">
        <v>1011</v>
      </c>
      <c r="AT5" s="16">
        <v>79500</v>
      </c>
      <c r="AU5" s="16">
        <v>10</v>
      </c>
      <c r="AV5" s="16">
        <f>AU5/AO5*100</f>
        <v>0.99900099900099903</v>
      </c>
      <c r="AW5" s="16">
        <f>AVERAGE(AV2:AV6)</f>
        <v>4.24305844298304</v>
      </c>
      <c r="AX5" s="18">
        <v>44322</v>
      </c>
      <c r="AY5" s="16">
        <v>1041</v>
      </c>
      <c r="AZ5" s="16">
        <v>1049</v>
      </c>
      <c r="BA5" s="16">
        <v>1001</v>
      </c>
      <c r="BB5" s="16">
        <v>1022</v>
      </c>
      <c r="BC5" s="16">
        <v>1022</v>
      </c>
      <c r="BD5" s="16">
        <v>82400</v>
      </c>
      <c r="BE5" s="16">
        <v>-19</v>
      </c>
      <c r="BF5" s="16">
        <f>BE5/AY5*100</f>
        <v>-1.8251681075888568</v>
      </c>
      <c r="BG5" s="16">
        <f>AVERAGE(BF2:BF6)</f>
        <v>6.2006186467199731</v>
      </c>
      <c r="BH5" s="18">
        <v>44348</v>
      </c>
      <c r="BI5" s="16">
        <v>1044</v>
      </c>
      <c r="BJ5" s="16">
        <v>1243</v>
      </c>
      <c r="BK5" s="16">
        <v>1034</v>
      </c>
      <c r="BL5" s="16">
        <v>1212</v>
      </c>
      <c r="BM5" s="16">
        <v>1212</v>
      </c>
      <c r="BN5" s="16">
        <v>335200</v>
      </c>
      <c r="BO5" s="16">
        <v>168</v>
      </c>
      <c r="BP5" s="16">
        <f>BO5/BI5*100</f>
        <v>16.091954022988507</v>
      </c>
      <c r="BQ5" s="16">
        <f>AVERAGE(BP2:BP6)</f>
        <v>-4.9334663698279616E-2</v>
      </c>
      <c r="BR5" s="18">
        <v>44378</v>
      </c>
      <c r="BS5" s="16">
        <v>1212</v>
      </c>
      <c r="BT5" s="16">
        <v>1230</v>
      </c>
      <c r="BU5" s="16">
        <v>1064</v>
      </c>
      <c r="BV5" s="16">
        <v>1112</v>
      </c>
      <c r="BW5" s="16">
        <v>1112</v>
      </c>
      <c r="BX5" s="16">
        <v>308800</v>
      </c>
      <c r="BY5" s="16">
        <v>-100</v>
      </c>
      <c r="BZ5" s="16">
        <f>BY5/BS5*100</f>
        <v>-8.2508250825082499</v>
      </c>
      <c r="CA5" s="16">
        <f>AVERAGE(BZ2:BZ6)</f>
        <v>-8.8654516859258354</v>
      </c>
      <c r="CB5" s="18">
        <v>44410</v>
      </c>
      <c r="CC5" s="16">
        <v>1102</v>
      </c>
      <c r="CD5" s="16">
        <v>1117</v>
      </c>
      <c r="CE5" s="16">
        <v>1032</v>
      </c>
      <c r="CF5" s="16">
        <v>1045</v>
      </c>
      <c r="CG5" s="16">
        <v>1045</v>
      </c>
      <c r="CH5" s="16">
        <v>106300</v>
      </c>
      <c r="CI5" s="16">
        <v>-57</v>
      </c>
      <c r="CJ5" s="16">
        <f>CI5/CC5*100</f>
        <v>-5.1724137931034484</v>
      </c>
      <c r="CK5" s="16">
        <f>AVERAGE(CJ2:CJ6)</f>
        <v>-9.1713905371004725E-2</v>
      </c>
      <c r="CL5" s="18">
        <v>44440</v>
      </c>
      <c r="CM5" s="16">
        <v>1045</v>
      </c>
      <c r="CN5" s="16">
        <v>1154</v>
      </c>
      <c r="CO5" s="16">
        <v>1025</v>
      </c>
      <c r="CP5" s="16">
        <v>1110</v>
      </c>
      <c r="CQ5" s="16">
        <v>1110</v>
      </c>
      <c r="CR5" s="16">
        <v>219100</v>
      </c>
      <c r="CS5" s="16">
        <v>65</v>
      </c>
      <c r="CT5" s="16">
        <f>CS5/CM5*100</f>
        <v>6.2200956937799043</v>
      </c>
      <c r="CU5" s="16">
        <f>AVERAGE(CT2:CT6)</f>
        <v>4.3070446159959097</v>
      </c>
      <c r="CV5" s="18">
        <v>44470</v>
      </c>
      <c r="CW5" s="16">
        <v>1090</v>
      </c>
      <c r="CX5" s="16">
        <v>1205</v>
      </c>
      <c r="CY5" s="16">
        <v>1031</v>
      </c>
      <c r="CZ5" s="16">
        <v>1167</v>
      </c>
      <c r="DA5" s="16">
        <v>1167</v>
      </c>
      <c r="DB5" s="16">
        <v>279700</v>
      </c>
      <c r="DC5" s="16">
        <v>77</v>
      </c>
      <c r="DD5" s="16">
        <f>DC5/CW5*100</f>
        <v>7.0642201834862393</v>
      </c>
      <c r="DE5" s="16">
        <f>AVERAGE(DD2:DD6)</f>
        <v>4.386230305780817</v>
      </c>
      <c r="DF5" s="18">
        <v>44501</v>
      </c>
      <c r="DG5" s="16">
        <v>1160</v>
      </c>
      <c r="DH5" s="16">
        <v>1175</v>
      </c>
      <c r="DI5" s="16">
        <v>1035</v>
      </c>
      <c r="DJ5" s="16">
        <v>1054</v>
      </c>
      <c r="DK5" s="16">
        <v>1054</v>
      </c>
      <c r="DL5" s="16">
        <v>123200</v>
      </c>
      <c r="DM5" s="16">
        <v>-106</v>
      </c>
      <c r="DN5" s="16">
        <f>DM5/DG5*100</f>
        <v>-9.137931034482758</v>
      </c>
      <c r="DO5" s="16">
        <f>AVERAGE(DN2:DN6)</f>
        <v>-0.71806916098971418</v>
      </c>
      <c r="DP5" s="18">
        <v>44531</v>
      </c>
      <c r="DQ5" s="16">
        <v>1075</v>
      </c>
      <c r="DR5" s="16">
        <v>1132</v>
      </c>
      <c r="DS5" s="16">
        <v>1010</v>
      </c>
      <c r="DT5" s="16">
        <v>1104</v>
      </c>
      <c r="DU5" s="16">
        <v>1104</v>
      </c>
      <c r="DV5" s="16">
        <v>215000</v>
      </c>
      <c r="DW5" s="16">
        <v>29</v>
      </c>
      <c r="DX5" s="16">
        <f>DW5/DQ5*100</f>
        <v>2.6976744186046511</v>
      </c>
      <c r="DY5" s="16">
        <f>AVERAGE(DX2:DX6)</f>
        <v>3.4136453882175033</v>
      </c>
    </row>
    <row r="6" spans="1:129">
      <c r="A6" s="17">
        <v>43221</v>
      </c>
      <c r="B6" s="16">
        <v>2716</v>
      </c>
      <c r="C6" s="16">
        <v>2738</v>
      </c>
      <c r="D6" s="16">
        <v>2507</v>
      </c>
      <c r="E6" s="16">
        <v>2634</v>
      </c>
      <c r="F6" s="16">
        <v>1317</v>
      </c>
      <c r="G6" s="16">
        <v>134100</v>
      </c>
      <c r="H6" s="16">
        <f t="shared" si="0"/>
        <v>-82</v>
      </c>
      <c r="J6" s="18">
        <v>44565</v>
      </c>
      <c r="K6" s="16">
        <v>1106</v>
      </c>
      <c r="L6" s="16">
        <v>1117</v>
      </c>
      <c r="M6" s="16">
        <v>960</v>
      </c>
      <c r="N6" s="16">
        <v>1000</v>
      </c>
      <c r="O6" s="16">
        <v>1000</v>
      </c>
      <c r="P6" s="16">
        <v>243800</v>
      </c>
      <c r="Q6" s="16">
        <v>-106</v>
      </c>
      <c r="R6" s="16">
        <f>Q6/K6*100</f>
        <v>-9.5840867992766725</v>
      </c>
      <c r="S6" s="16">
        <f>MEDIAN(R2:R6)</f>
        <v>-8.4561675717610552</v>
      </c>
      <c r="T6" s="18">
        <v>44593</v>
      </c>
      <c r="U6" s="16">
        <v>992</v>
      </c>
      <c r="V6" s="16">
        <v>1000</v>
      </c>
      <c r="W6" s="16">
        <v>936</v>
      </c>
      <c r="X6" s="16">
        <v>968</v>
      </c>
      <c r="Y6" s="16">
        <v>968</v>
      </c>
      <c r="Z6" s="16">
        <v>142300</v>
      </c>
      <c r="AA6" s="16">
        <v>-24</v>
      </c>
      <c r="AB6" s="16">
        <f>AA6/U6*100</f>
        <v>-2.4193548387096775</v>
      </c>
      <c r="AC6" s="16">
        <f>MEDIAN(AB2:AB6)</f>
        <v>-2.4193548387096775</v>
      </c>
      <c r="AD6" s="18">
        <v>44621</v>
      </c>
      <c r="AE6" s="16">
        <v>976</v>
      </c>
      <c r="AF6" s="16">
        <v>1024</v>
      </c>
      <c r="AG6" s="16">
        <v>931</v>
      </c>
      <c r="AH6" s="16">
        <v>995</v>
      </c>
      <c r="AI6" s="16">
        <v>995</v>
      </c>
      <c r="AJ6" s="16">
        <v>170700</v>
      </c>
      <c r="AK6" s="16">
        <v>19</v>
      </c>
      <c r="AL6" s="16">
        <f>AK6/AE6*100</f>
        <v>1.9467213114754098</v>
      </c>
      <c r="AM6" s="16">
        <f>MEDIAN(AL2:AL6)</f>
        <v>1.3916500994035785</v>
      </c>
      <c r="AN6" s="18">
        <v>44652</v>
      </c>
      <c r="AO6" s="16">
        <v>1000</v>
      </c>
      <c r="AP6" s="16">
        <v>1051</v>
      </c>
      <c r="AQ6" s="16">
        <v>990</v>
      </c>
      <c r="AR6" s="16">
        <v>1032</v>
      </c>
      <c r="AS6" s="16">
        <v>1032</v>
      </c>
      <c r="AT6" s="16">
        <v>99100</v>
      </c>
      <c r="AU6" s="16">
        <v>32</v>
      </c>
      <c r="AV6" s="16">
        <f>AU6/AO6*100</f>
        <v>3.2</v>
      </c>
      <c r="AW6" s="16">
        <f>MEDIAN(AV2:AV6)</f>
        <v>3.2</v>
      </c>
      <c r="AX6" s="18">
        <v>44683</v>
      </c>
      <c r="AY6" s="16">
        <v>1032</v>
      </c>
      <c r="AZ6" s="16">
        <v>1050</v>
      </c>
      <c r="BA6" s="16">
        <v>1012</v>
      </c>
      <c r="BB6" s="16">
        <v>1048</v>
      </c>
      <c r="BC6" s="16">
        <v>1048</v>
      </c>
      <c r="BD6" s="16">
        <v>68700</v>
      </c>
      <c r="BE6" s="16">
        <v>16</v>
      </c>
      <c r="BF6" s="16">
        <f>BE6/AY6*100</f>
        <v>1.5503875968992249</v>
      </c>
      <c r="BG6" s="16">
        <f>MEDIAN(BF2:BF6)</f>
        <v>1.2510425354462051</v>
      </c>
      <c r="BH6" s="18">
        <v>44713</v>
      </c>
      <c r="BI6" s="16">
        <v>1047</v>
      </c>
      <c r="BJ6" s="16">
        <v>1115</v>
      </c>
      <c r="BK6" s="16">
        <v>975</v>
      </c>
      <c r="BL6" s="16">
        <v>1002</v>
      </c>
      <c r="BM6" s="16">
        <v>1002</v>
      </c>
      <c r="BN6" s="16">
        <v>352000</v>
      </c>
      <c r="BO6" s="16">
        <v>-45</v>
      </c>
      <c r="BP6" s="16">
        <f>BO6/BI6*100</f>
        <v>-4.2979942693409736</v>
      </c>
      <c r="BQ6" s="16">
        <f>MEDIAN(BP2:BP6)</f>
        <v>1.1702529256323142</v>
      </c>
      <c r="BR6" s="18">
        <v>44743</v>
      </c>
      <c r="BS6" s="16">
        <v>1002</v>
      </c>
      <c r="BT6" s="16">
        <v>1020</v>
      </c>
      <c r="BU6" s="16">
        <v>956</v>
      </c>
      <c r="BV6" s="16">
        <v>987</v>
      </c>
      <c r="BW6" s="16">
        <v>987</v>
      </c>
      <c r="BX6" s="16">
        <v>263400</v>
      </c>
      <c r="BY6" s="16">
        <v>-15</v>
      </c>
      <c r="BZ6" s="16">
        <f>BY6/BS6*100</f>
        <v>-1.4970059880239521</v>
      </c>
      <c r="CA6" s="16">
        <f>MEDIAN(BZ2:BZ6)</f>
        <v>-8.2508250825082499</v>
      </c>
      <c r="CB6" s="18">
        <v>44774</v>
      </c>
      <c r="CC6" s="16">
        <v>984</v>
      </c>
      <c r="CD6" s="16">
        <v>990</v>
      </c>
      <c r="CE6" s="16">
        <v>961</v>
      </c>
      <c r="CF6" s="16">
        <v>965</v>
      </c>
      <c r="CG6" s="16">
        <v>965</v>
      </c>
      <c r="CH6" s="16">
        <v>138000</v>
      </c>
      <c r="CI6" s="16">
        <v>-19</v>
      </c>
      <c r="CJ6" s="16">
        <f>CI6/CC6*100</f>
        <v>-1.9308943089430894</v>
      </c>
      <c r="CK6" s="16">
        <f>MEDIAN(CJ2:CJ6)</f>
        <v>-1.9308943089430894</v>
      </c>
      <c r="CL6" s="18">
        <v>44805</v>
      </c>
      <c r="CM6" s="16">
        <v>965</v>
      </c>
      <c r="CN6" s="16">
        <v>1091</v>
      </c>
      <c r="CO6" s="16">
        <v>919</v>
      </c>
      <c r="CP6" s="16">
        <v>919</v>
      </c>
      <c r="CQ6" s="16">
        <v>919</v>
      </c>
      <c r="CR6" s="16">
        <v>552800</v>
      </c>
      <c r="CS6" s="16">
        <v>-46</v>
      </c>
      <c r="CT6" s="16">
        <f>CS6/CM6*100</f>
        <v>-4.766839378238342</v>
      </c>
      <c r="CU6" s="16">
        <f>MEDIAN(CT2:CT6)</f>
        <v>6.2200956937799043</v>
      </c>
      <c r="CV6" s="18">
        <v>44837</v>
      </c>
      <c r="CW6" s="16">
        <v>920</v>
      </c>
      <c r="CX6" s="16">
        <v>1005</v>
      </c>
      <c r="CY6" s="16">
        <v>920</v>
      </c>
      <c r="CZ6" s="16">
        <v>995</v>
      </c>
      <c r="DA6" s="16">
        <v>995</v>
      </c>
      <c r="DB6" s="16">
        <v>162900</v>
      </c>
      <c r="DC6" s="16">
        <v>75</v>
      </c>
      <c r="DD6" s="16">
        <f>DC6/CW6*100</f>
        <v>8.1521739130434785</v>
      </c>
      <c r="DE6" s="16">
        <f>MEDIAN(DD2:DD6)</f>
        <v>7.0642201834862393</v>
      </c>
      <c r="DF6" s="18">
        <v>44866</v>
      </c>
      <c r="DG6" s="16">
        <v>995</v>
      </c>
      <c r="DH6" s="16">
        <v>999</v>
      </c>
      <c r="DI6" s="16">
        <v>969</v>
      </c>
      <c r="DJ6" s="16">
        <v>995</v>
      </c>
      <c r="DK6" s="16">
        <v>995</v>
      </c>
      <c r="DL6" s="16">
        <v>86400</v>
      </c>
      <c r="DM6" s="16">
        <v>0</v>
      </c>
      <c r="DN6" s="16">
        <f>DM6/DG6*100</f>
        <v>0</v>
      </c>
      <c r="DO6" s="16">
        <f>MEDIAN(DN2:DN6)</f>
        <v>0</v>
      </c>
      <c r="DP6" s="18">
        <v>44896</v>
      </c>
      <c r="DQ6" s="16">
        <v>998</v>
      </c>
      <c r="DR6" s="16">
        <v>1001</v>
      </c>
      <c r="DS6" s="16">
        <v>965</v>
      </c>
      <c r="DT6" s="16">
        <v>989</v>
      </c>
      <c r="DU6" s="16">
        <v>989</v>
      </c>
      <c r="DV6" s="16">
        <v>153900</v>
      </c>
      <c r="DW6" s="16">
        <v>-9</v>
      </c>
      <c r="DX6" s="16">
        <f>DW6/DQ6*100</f>
        <v>-0.90180360721442887</v>
      </c>
      <c r="DY6" s="16">
        <f>MEDIAN(DX2:DX6)</f>
        <v>2.6976744186046511</v>
      </c>
    </row>
    <row r="7" spans="1:129">
      <c r="A7" s="17">
        <v>43252</v>
      </c>
      <c r="B7" s="16">
        <v>2649</v>
      </c>
      <c r="C7" s="16">
        <v>2755</v>
      </c>
      <c r="D7" s="16">
        <v>2552</v>
      </c>
      <c r="E7" s="16">
        <v>2680</v>
      </c>
      <c r="F7" s="16">
        <v>1340</v>
      </c>
      <c r="G7" s="16">
        <v>168100</v>
      </c>
      <c r="H7" s="16">
        <f t="shared" si="0"/>
        <v>31</v>
      </c>
    </row>
    <row r="8" spans="1:129">
      <c r="A8" s="17">
        <v>43283</v>
      </c>
      <c r="B8" s="16">
        <v>2680</v>
      </c>
      <c r="C8" s="16">
        <v>2749</v>
      </c>
      <c r="D8" s="16">
        <v>2411</v>
      </c>
      <c r="E8" s="16">
        <v>2417</v>
      </c>
      <c r="F8" s="16">
        <v>1208.5</v>
      </c>
      <c r="G8" s="16">
        <v>271700</v>
      </c>
      <c r="H8" s="16">
        <f t="shared" si="0"/>
        <v>-263</v>
      </c>
    </row>
    <row r="9" spans="1:129">
      <c r="A9" s="17">
        <v>43313</v>
      </c>
      <c r="B9" s="16">
        <v>2411</v>
      </c>
      <c r="C9" s="16">
        <v>2419</v>
      </c>
      <c r="D9" s="16">
        <v>2185</v>
      </c>
      <c r="E9" s="16">
        <v>2281</v>
      </c>
      <c r="F9" s="16">
        <v>1140.5</v>
      </c>
      <c r="G9" s="16">
        <v>112700</v>
      </c>
      <c r="H9" s="16">
        <f t="shared" si="0"/>
        <v>-130</v>
      </c>
    </row>
    <row r="10" spans="1:129">
      <c r="A10" s="17">
        <v>43346</v>
      </c>
      <c r="B10" s="16">
        <v>2281</v>
      </c>
      <c r="C10" s="16">
        <v>2313</v>
      </c>
      <c r="D10" s="16">
        <v>2198</v>
      </c>
      <c r="E10" s="16">
        <v>2283</v>
      </c>
      <c r="F10" s="16">
        <v>1141.5</v>
      </c>
      <c r="G10" s="16">
        <v>68600</v>
      </c>
      <c r="H10" s="16">
        <f t="shared" si="0"/>
        <v>2</v>
      </c>
    </row>
    <row r="11" spans="1:129">
      <c r="A11" s="17">
        <v>43374</v>
      </c>
      <c r="B11" s="16">
        <v>2290</v>
      </c>
      <c r="C11" s="16">
        <v>2354</v>
      </c>
      <c r="D11" s="16">
        <v>1901</v>
      </c>
      <c r="E11" s="16">
        <v>2040</v>
      </c>
      <c r="F11" s="16">
        <v>1020</v>
      </c>
      <c r="G11" s="16">
        <v>122700</v>
      </c>
      <c r="H11" s="16">
        <f t="shared" si="0"/>
        <v>-250</v>
      </c>
    </row>
    <row r="12" spans="1:129">
      <c r="A12" s="17">
        <v>43405</v>
      </c>
      <c r="B12" s="16">
        <v>2050</v>
      </c>
      <c r="C12" s="16">
        <v>2188</v>
      </c>
      <c r="D12" s="16">
        <v>1995</v>
      </c>
      <c r="E12" s="16">
        <v>2002</v>
      </c>
      <c r="F12" s="16">
        <v>1001</v>
      </c>
      <c r="G12" s="16">
        <v>64000</v>
      </c>
      <c r="H12" s="16">
        <f t="shared" si="0"/>
        <v>-48</v>
      </c>
    </row>
    <row r="13" spans="1:129">
      <c r="A13" s="17">
        <v>43437</v>
      </c>
      <c r="B13" s="16">
        <v>2014</v>
      </c>
      <c r="C13" s="16">
        <v>2040</v>
      </c>
      <c r="D13" s="16">
        <v>1761</v>
      </c>
      <c r="E13" s="16">
        <v>2007</v>
      </c>
      <c r="F13" s="16">
        <v>1003.5</v>
      </c>
      <c r="G13" s="16">
        <v>148600</v>
      </c>
      <c r="H13" s="16">
        <f t="shared" si="0"/>
        <v>-7</v>
      </c>
    </row>
    <row r="14" spans="1:129">
      <c r="A14" s="17">
        <v>43469</v>
      </c>
      <c r="B14" s="16">
        <v>1001</v>
      </c>
      <c r="C14" s="16">
        <v>1162.5</v>
      </c>
      <c r="D14" s="16">
        <v>995.5</v>
      </c>
      <c r="E14" s="16">
        <v>1027</v>
      </c>
      <c r="F14" s="16">
        <v>1027</v>
      </c>
      <c r="G14" s="16">
        <v>149000</v>
      </c>
      <c r="H14" s="16">
        <f t="shared" si="0"/>
        <v>26</v>
      </c>
    </row>
    <row r="15" spans="1:129">
      <c r="A15" s="17">
        <v>43497</v>
      </c>
      <c r="B15" s="16">
        <v>1021</v>
      </c>
      <c r="C15" s="16">
        <v>1075</v>
      </c>
      <c r="D15" s="16">
        <v>996</v>
      </c>
      <c r="E15" s="16">
        <v>1008</v>
      </c>
      <c r="F15" s="16">
        <v>1008</v>
      </c>
      <c r="G15" s="16">
        <v>104700</v>
      </c>
      <c r="H15" s="16">
        <f t="shared" si="0"/>
        <v>-13</v>
      </c>
    </row>
    <row r="16" spans="1:129">
      <c r="A16" s="17">
        <v>43525</v>
      </c>
      <c r="B16" s="16">
        <v>1006</v>
      </c>
      <c r="C16" s="16">
        <v>1050</v>
      </c>
      <c r="D16" s="16">
        <v>1000</v>
      </c>
      <c r="E16" s="16">
        <v>1026</v>
      </c>
      <c r="F16" s="16">
        <v>1026</v>
      </c>
      <c r="G16" s="16">
        <v>109600</v>
      </c>
      <c r="H16" s="16">
        <f t="shared" si="0"/>
        <v>20</v>
      </c>
    </row>
    <row r="17" spans="1:8">
      <c r="A17" s="17">
        <v>43556</v>
      </c>
      <c r="B17" s="16">
        <v>1050</v>
      </c>
      <c r="C17" s="16">
        <v>1199</v>
      </c>
      <c r="D17" s="16">
        <v>1035</v>
      </c>
      <c r="E17" s="16">
        <v>1195</v>
      </c>
      <c r="F17" s="16">
        <v>1195</v>
      </c>
      <c r="G17" s="16">
        <v>186900</v>
      </c>
      <c r="H17" s="16">
        <f t="shared" si="0"/>
        <v>145</v>
      </c>
    </row>
    <row r="18" spans="1:8">
      <c r="A18" s="17">
        <v>43592</v>
      </c>
      <c r="B18" s="16">
        <v>1199</v>
      </c>
      <c r="C18" s="16">
        <v>1226</v>
      </c>
      <c r="D18" s="16">
        <v>1175</v>
      </c>
      <c r="E18" s="16">
        <v>1214</v>
      </c>
      <c r="F18" s="16">
        <v>1214</v>
      </c>
      <c r="G18" s="16">
        <v>108800</v>
      </c>
      <c r="H18" s="16">
        <f t="shared" si="0"/>
        <v>15</v>
      </c>
    </row>
    <row r="19" spans="1:8">
      <c r="A19" s="17">
        <v>43619</v>
      </c>
      <c r="B19" s="16">
        <v>1221</v>
      </c>
      <c r="C19" s="16">
        <v>1248</v>
      </c>
      <c r="D19" s="16">
        <v>998</v>
      </c>
      <c r="E19" s="16">
        <v>1025</v>
      </c>
      <c r="F19" s="16">
        <v>1025</v>
      </c>
      <c r="G19" s="16">
        <v>627800</v>
      </c>
      <c r="H19" s="16">
        <f t="shared" si="0"/>
        <v>-196</v>
      </c>
    </row>
    <row r="20" spans="1:8">
      <c r="A20" s="17">
        <v>43647</v>
      </c>
      <c r="B20" s="16">
        <v>1030</v>
      </c>
      <c r="C20" s="16">
        <v>1096</v>
      </c>
      <c r="D20" s="16">
        <v>1000</v>
      </c>
      <c r="E20" s="16">
        <v>1006</v>
      </c>
      <c r="F20" s="16">
        <v>1006</v>
      </c>
      <c r="G20" s="16">
        <v>438300</v>
      </c>
      <c r="H20" s="16">
        <f t="shared" si="0"/>
        <v>-24</v>
      </c>
    </row>
    <row r="21" spans="1:8">
      <c r="A21" s="17">
        <v>43678</v>
      </c>
      <c r="B21" s="16">
        <v>1001</v>
      </c>
      <c r="C21" s="16">
        <v>1007</v>
      </c>
      <c r="D21" s="16">
        <v>972</v>
      </c>
      <c r="E21" s="16">
        <v>990</v>
      </c>
      <c r="F21" s="16">
        <v>990</v>
      </c>
      <c r="G21" s="16">
        <v>152200</v>
      </c>
      <c r="H21" s="16">
        <f t="shared" si="0"/>
        <v>-11</v>
      </c>
    </row>
    <row r="22" spans="1:8">
      <c r="A22" s="17">
        <v>43710</v>
      </c>
      <c r="B22" s="16">
        <v>991</v>
      </c>
      <c r="C22" s="16">
        <v>1062</v>
      </c>
      <c r="D22" s="16">
        <v>980</v>
      </c>
      <c r="E22" s="16">
        <v>1059</v>
      </c>
      <c r="F22" s="16">
        <v>1059</v>
      </c>
      <c r="G22" s="16">
        <v>235800</v>
      </c>
      <c r="H22" s="16">
        <f t="shared" si="0"/>
        <v>68</v>
      </c>
    </row>
    <row r="23" spans="1:8">
      <c r="A23" s="17">
        <v>43739</v>
      </c>
      <c r="B23" s="16">
        <v>1059</v>
      </c>
      <c r="C23" s="16">
        <v>1188</v>
      </c>
      <c r="D23" s="16">
        <v>1041</v>
      </c>
      <c r="E23" s="16">
        <v>1174</v>
      </c>
      <c r="F23" s="16">
        <v>1174</v>
      </c>
      <c r="G23" s="16">
        <v>320500</v>
      </c>
      <c r="H23" s="16">
        <f t="shared" si="0"/>
        <v>115</v>
      </c>
    </row>
    <row r="24" spans="1:8">
      <c r="A24" s="17">
        <v>43770</v>
      </c>
      <c r="B24" s="16">
        <v>1173</v>
      </c>
      <c r="C24" s="16">
        <v>1214</v>
      </c>
      <c r="D24" s="16">
        <v>1123</v>
      </c>
      <c r="E24" s="16">
        <v>1192</v>
      </c>
      <c r="F24" s="16">
        <v>1192</v>
      </c>
      <c r="G24" s="16">
        <v>149700</v>
      </c>
      <c r="H24" s="16">
        <f t="shared" si="0"/>
        <v>19</v>
      </c>
    </row>
    <row r="25" spans="1:8">
      <c r="A25" s="17">
        <v>43801</v>
      </c>
      <c r="B25" s="16">
        <v>1198</v>
      </c>
      <c r="C25" s="16">
        <v>1310</v>
      </c>
      <c r="D25" s="16">
        <v>1150</v>
      </c>
      <c r="E25" s="16">
        <v>1292</v>
      </c>
      <c r="F25" s="16">
        <v>1292</v>
      </c>
      <c r="G25" s="16">
        <v>436500</v>
      </c>
      <c r="H25" s="16">
        <f t="shared" si="0"/>
        <v>94</v>
      </c>
    </row>
    <row r="26" spans="1:8">
      <c r="A26" s="17">
        <v>43836</v>
      </c>
      <c r="B26" s="16">
        <v>1289</v>
      </c>
      <c r="C26" s="16">
        <v>1384</v>
      </c>
      <c r="D26" s="16">
        <v>1180</v>
      </c>
      <c r="E26" s="16">
        <v>1180</v>
      </c>
      <c r="F26" s="16">
        <v>1180</v>
      </c>
      <c r="G26" s="16">
        <v>578700</v>
      </c>
      <c r="H26" s="16">
        <f t="shared" si="0"/>
        <v>-109</v>
      </c>
    </row>
    <row r="27" spans="1:8">
      <c r="A27" s="17">
        <v>43864</v>
      </c>
      <c r="B27" s="16">
        <v>1150</v>
      </c>
      <c r="C27" s="16">
        <v>1229</v>
      </c>
      <c r="D27" s="16">
        <v>882</v>
      </c>
      <c r="E27" s="16">
        <v>891</v>
      </c>
      <c r="F27" s="16">
        <v>891</v>
      </c>
      <c r="G27" s="16">
        <v>248900</v>
      </c>
      <c r="H27" s="16">
        <f t="shared" si="0"/>
        <v>-259</v>
      </c>
    </row>
    <row r="28" spans="1:8">
      <c r="A28" s="17">
        <v>43892</v>
      </c>
      <c r="B28" s="16">
        <v>875</v>
      </c>
      <c r="C28" s="16">
        <v>949</v>
      </c>
      <c r="D28" s="16">
        <v>601</v>
      </c>
      <c r="E28" s="16">
        <v>701</v>
      </c>
      <c r="F28" s="16">
        <v>701</v>
      </c>
      <c r="G28" s="16">
        <v>603100</v>
      </c>
      <c r="H28" s="16">
        <f t="shared" si="0"/>
        <v>-174</v>
      </c>
    </row>
    <row r="29" spans="1:8">
      <c r="A29" s="17">
        <v>43922</v>
      </c>
      <c r="B29" s="16">
        <v>695</v>
      </c>
      <c r="C29" s="16">
        <v>772</v>
      </c>
      <c r="D29" s="16">
        <v>550</v>
      </c>
      <c r="E29" s="16">
        <v>686</v>
      </c>
      <c r="F29" s="16">
        <v>686</v>
      </c>
      <c r="G29" s="16">
        <v>514400</v>
      </c>
      <c r="H29" s="16">
        <f t="shared" si="0"/>
        <v>-9</v>
      </c>
    </row>
    <row r="30" spans="1:8">
      <c r="A30" s="17">
        <v>43952</v>
      </c>
      <c r="B30" s="16">
        <v>696</v>
      </c>
      <c r="C30" s="16">
        <v>975</v>
      </c>
      <c r="D30" s="16">
        <v>679</v>
      </c>
      <c r="E30" s="16">
        <v>926</v>
      </c>
      <c r="F30" s="16">
        <v>926</v>
      </c>
      <c r="G30" s="16">
        <v>517300</v>
      </c>
      <c r="H30" s="16">
        <f t="shared" si="0"/>
        <v>230</v>
      </c>
    </row>
    <row r="31" spans="1:8">
      <c r="A31" s="17">
        <v>43983</v>
      </c>
      <c r="B31" s="16">
        <v>915</v>
      </c>
      <c r="C31" s="16">
        <v>990</v>
      </c>
      <c r="D31" s="16">
        <v>850</v>
      </c>
      <c r="E31" s="16">
        <v>941</v>
      </c>
      <c r="F31" s="16">
        <v>941</v>
      </c>
      <c r="G31" s="16">
        <v>322400</v>
      </c>
      <c r="H31" s="16">
        <f t="shared" si="0"/>
        <v>26</v>
      </c>
    </row>
    <row r="32" spans="1:8">
      <c r="A32" s="17">
        <v>44013</v>
      </c>
      <c r="B32" s="16">
        <v>936</v>
      </c>
      <c r="C32" s="16">
        <v>948</v>
      </c>
      <c r="D32" s="16">
        <v>726</v>
      </c>
      <c r="E32" s="16">
        <v>726</v>
      </c>
      <c r="F32" s="16">
        <v>726</v>
      </c>
      <c r="G32" s="16">
        <v>273400</v>
      </c>
      <c r="H32" s="16">
        <f t="shared" si="0"/>
        <v>-210</v>
      </c>
    </row>
    <row r="33" spans="1:8">
      <c r="A33" s="17">
        <v>44046</v>
      </c>
      <c r="B33" s="16">
        <v>708</v>
      </c>
      <c r="C33" s="16">
        <v>838</v>
      </c>
      <c r="D33" s="16">
        <v>701</v>
      </c>
      <c r="E33" s="16">
        <v>801</v>
      </c>
      <c r="F33" s="16">
        <v>801</v>
      </c>
      <c r="G33" s="16">
        <v>203200</v>
      </c>
      <c r="H33" s="16">
        <f t="shared" si="0"/>
        <v>93</v>
      </c>
    </row>
    <row r="34" spans="1:8">
      <c r="A34" s="17">
        <v>44075</v>
      </c>
      <c r="B34" s="16">
        <v>830</v>
      </c>
      <c r="C34" s="16">
        <v>968</v>
      </c>
      <c r="D34" s="16">
        <v>777</v>
      </c>
      <c r="E34" s="16">
        <v>939</v>
      </c>
      <c r="F34" s="16">
        <v>939</v>
      </c>
      <c r="G34" s="16">
        <v>466000</v>
      </c>
      <c r="H34" s="16">
        <f t="shared" ref="H34:H61" si="1">E34-B34</f>
        <v>109</v>
      </c>
    </row>
    <row r="35" spans="1:8">
      <c r="A35" s="17">
        <v>44106</v>
      </c>
      <c r="B35" s="16">
        <v>945</v>
      </c>
      <c r="C35" s="16">
        <v>1073</v>
      </c>
      <c r="D35" s="16">
        <v>921</v>
      </c>
      <c r="E35" s="16">
        <v>1009</v>
      </c>
      <c r="F35" s="16">
        <v>1009</v>
      </c>
      <c r="G35" s="16">
        <v>387300</v>
      </c>
      <c r="H35" s="16">
        <f t="shared" si="1"/>
        <v>64</v>
      </c>
    </row>
    <row r="36" spans="1:8">
      <c r="A36" s="17">
        <v>44137</v>
      </c>
      <c r="B36" s="16">
        <v>973</v>
      </c>
      <c r="C36" s="16">
        <v>1044</v>
      </c>
      <c r="D36" s="16">
        <v>973</v>
      </c>
      <c r="E36" s="16">
        <v>1034</v>
      </c>
      <c r="F36" s="16">
        <v>1034</v>
      </c>
      <c r="G36" s="16">
        <v>138300</v>
      </c>
      <c r="H36" s="16">
        <f t="shared" si="1"/>
        <v>61</v>
      </c>
    </row>
    <row r="37" spans="1:8">
      <c r="A37" s="17">
        <v>44166</v>
      </c>
      <c r="B37" s="16">
        <v>1042</v>
      </c>
      <c r="C37" s="16">
        <v>1132</v>
      </c>
      <c r="D37" s="16">
        <v>1002</v>
      </c>
      <c r="E37" s="16">
        <v>1123</v>
      </c>
      <c r="F37" s="16">
        <v>1123</v>
      </c>
      <c r="G37" s="16">
        <v>225000</v>
      </c>
      <c r="H37" s="16">
        <f t="shared" si="1"/>
        <v>81</v>
      </c>
    </row>
    <row r="38" spans="1:8">
      <c r="A38" s="17">
        <v>44200</v>
      </c>
      <c r="B38" s="16">
        <v>1137</v>
      </c>
      <c r="C38" s="16">
        <v>1137</v>
      </c>
      <c r="D38" s="16">
        <v>1005</v>
      </c>
      <c r="E38" s="16">
        <v>1037</v>
      </c>
      <c r="F38" s="16">
        <v>1037</v>
      </c>
      <c r="G38" s="16">
        <v>212900</v>
      </c>
      <c r="H38" s="16">
        <f t="shared" si="1"/>
        <v>-100</v>
      </c>
    </row>
    <row r="39" spans="1:8">
      <c r="A39" s="17">
        <v>44228</v>
      </c>
      <c r="B39" s="16">
        <v>1018</v>
      </c>
      <c r="C39" s="16">
        <v>1050</v>
      </c>
      <c r="D39" s="16">
        <v>970</v>
      </c>
      <c r="E39" s="16">
        <v>1014</v>
      </c>
      <c r="F39" s="16">
        <v>1014</v>
      </c>
      <c r="G39" s="16">
        <v>201800</v>
      </c>
      <c r="H39" s="16">
        <f t="shared" si="1"/>
        <v>-4</v>
      </c>
    </row>
    <row r="40" spans="1:8">
      <c r="A40" s="17">
        <v>44256</v>
      </c>
      <c r="B40" s="16">
        <v>1014</v>
      </c>
      <c r="C40" s="16">
        <v>1030</v>
      </c>
      <c r="D40" s="16">
        <v>981</v>
      </c>
      <c r="E40" s="16">
        <v>1005</v>
      </c>
      <c r="F40" s="16">
        <v>1005</v>
      </c>
      <c r="G40" s="16">
        <v>183600</v>
      </c>
      <c r="H40" s="16">
        <f t="shared" si="1"/>
        <v>-9</v>
      </c>
    </row>
    <row r="41" spans="1:8">
      <c r="A41" s="17">
        <v>44287</v>
      </c>
      <c r="B41" s="16">
        <v>1001</v>
      </c>
      <c r="C41" s="16">
        <v>1049</v>
      </c>
      <c r="D41" s="16">
        <v>997</v>
      </c>
      <c r="E41" s="16">
        <v>1011</v>
      </c>
      <c r="F41" s="16">
        <v>1011</v>
      </c>
      <c r="G41" s="16">
        <v>79500</v>
      </c>
      <c r="H41" s="16">
        <f t="shared" si="1"/>
        <v>10</v>
      </c>
    </row>
    <row r="42" spans="1:8">
      <c r="A42" s="17">
        <v>44322</v>
      </c>
      <c r="B42" s="16">
        <v>1041</v>
      </c>
      <c r="C42" s="16">
        <v>1049</v>
      </c>
      <c r="D42" s="16">
        <v>1001</v>
      </c>
      <c r="E42" s="16">
        <v>1022</v>
      </c>
      <c r="F42" s="16">
        <v>1022</v>
      </c>
      <c r="G42" s="16">
        <v>82400</v>
      </c>
      <c r="H42" s="16">
        <f t="shared" si="1"/>
        <v>-19</v>
      </c>
    </row>
    <row r="43" spans="1:8">
      <c r="A43" s="17">
        <v>44348</v>
      </c>
      <c r="B43" s="16">
        <v>1044</v>
      </c>
      <c r="C43" s="16">
        <v>1243</v>
      </c>
      <c r="D43" s="16">
        <v>1034</v>
      </c>
      <c r="E43" s="16">
        <v>1212</v>
      </c>
      <c r="F43" s="16">
        <v>1212</v>
      </c>
      <c r="G43" s="16">
        <v>335200</v>
      </c>
      <c r="H43" s="16">
        <f t="shared" si="1"/>
        <v>168</v>
      </c>
    </row>
    <row r="44" spans="1:8">
      <c r="A44" s="17">
        <v>44378</v>
      </c>
      <c r="B44" s="16">
        <v>1212</v>
      </c>
      <c r="C44" s="16">
        <v>1230</v>
      </c>
      <c r="D44" s="16">
        <v>1064</v>
      </c>
      <c r="E44" s="16">
        <v>1112</v>
      </c>
      <c r="F44" s="16">
        <v>1112</v>
      </c>
      <c r="G44" s="16">
        <v>308800</v>
      </c>
      <c r="H44" s="16">
        <f t="shared" si="1"/>
        <v>-100</v>
      </c>
    </row>
    <row r="45" spans="1:8">
      <c r="A45" s="17">
        <v>44410</v>
      </c>
      <c r="B45" s="16">
        <v>1102</v>
      </c>
      <c r="C45" s="16">
        <v>1117</v>
      </c>
      <c r="D45" s="16">
        <v>1032</v>
      </c>
      <c r="E45" s="16">
        <v>1045</v>
      </c>
      <c r="F45" s="16">
        <v>1045</v>
      </c>
      <c r="G45" s="16">
        <v>106300</v>
      </c>
      <c r="H45" s="16">
        <f t="shared" si="1"/>
        <v>-57</v>
      </c>
    </row>
    <row r="46" spans="1:8">
      <c r="A46" s="17">
        <v>44440</v>
      </c>
      <c r="B46" s="16">
        <v>1045</v>
      </c>
      <c r="C46" s="16">
        <v>1154</v>
      </c>
      <c r="D46" s="16">
        <v>1025</v>
      </c>
      <c r="E46" s="16">
        <v>1110</v>
      </c>
      <c r="F46" s="16">
        <v>1110</v>
      </c>
      <c r="G46" s="16">
        <v>219100</v>
      </c>
      <c r="H46" s="16">
        <f t="shared" si="1"/>
        <v>65</v>
      </c>
    </row>
    <row r="47" spans="1:8">
      <c r="A47" s="17">
        <v>44470</v>
      </c>
      <c r="B47" s="16">
        <v>1090</v>
      </c>
      <c r="C47" s="16">
        <v>1205</v>
      </c>
      <c r="D47" s="16">
        <v>1031</v>
      </c>
      <c r="E47" s="16">
        <v>1167</v>
      </c>
      <c r="F47" s="16">
        <v>1167</v>
      </c>
      <c r="G47" s="16">
        <v>279700</v>
      </c>
      <c r="H47" s="16">
        <f t="shared" si="1"/>
        <v>77</v>
      </c>
    </row>
    <row r="48" spans="1:8">
      <c r="A48" s="17">
        <v>44501</v>
      </c>
      <c r="B48" s="16">
        <v>1160</v>
      </c>
      <c r="C48" s="16">
        <v>1175</v>
      </c>
      <c r="D48" s="16">
        <v>1035</v>
      </c>
      <c r="E48" s="16">
        <v>1054</v>
      </c>
      <c r="F48" s="16">
        <v>1054</v>
      </c>
      <c r="G48" s="16">
        <v>123200</v>
      </c>
      <c r="H48" s="16">
        <f t="shared" si="1"/>
        <v>-106</v>
      </c>
    </row>
    <row r="49" spans="1:8">
      <c r="A49" s="17">
        <v>44531</v>
      </c>
      <c r="B49" s="16">
        <v>1075</v>
      </c>
      <c r="C49" s="16">
        <v>1132</v>
      </c>
      <c r="D49" s="16">
        <v>1010</v>
      </c>
      <c r="E49" s="16">
        <v>1104</v>
      </c>
      <c r="F49" s="16">
        <v>1104</v>
      </c>
      <c r="G49" s="16">
        <v>215000</v>
      </c>
      <c r="H49" s="16">
        <f t="shared" si="1"/>
        <v>29</v>
      </c>
    </row>
    <row r="50" spans="1:8">
      <c r="A50" s="17">
        <v>44565</v>
      </c>
      <c r="B50" s="16">
        <v>1106</v>
      </c>
      <c r="C50" s="16">
        <v>1117</v>
      </c>
      <c r="D50" s="16">
        <v>960</v>
      </c>
      <c r="E50" s="16">
        <v>1000</v>
      </c>
      <c r="F50" s="16">
        <v>1000</v>
      </c>
      <c r="G50" s="16">
        <v>243800</v>
      </c>
      <c r="H50" s="16">
        <f t="shared" si="1"/>
        <v>-106</v>
      </c>
    </row>
    <row r="51" spans="1:8">
      <c r="A51" s="17">
        <v>44593</v>
      </c>
      <c r="B51" s="16">
        <v>992</v>
      </c>
      <c r="C51" s="16">
        <v>1000</v>
      </c>
      <c r="D51" s="16">
        <v>936</v>
      </c>
      <c r="E51" s="16">
        <v>968</v>
      </c>
      <c r="F51" s="16">
        <v>968</v>
      </c>
      <c r="G51" s="16">
        <v>142300</v>
      </c>
      <c r="H51" s="16">
        <f t="shared" si="1"/>
        <v>-24</v>
      </c>
    </row>
    <row r="52" spans="1:8">
      <c r="A52" s="17">
        <v>44621</v>
      </c>
      <c r="B52" s="16">
        <v>976</v>
      </c>
      <c r="C52" s="16">
        <v>1024</v>
      </c>
      <c r="D52" s="16">
        <v>931</v>
      </c>
      <c r="E52" s="16">
        <v>995</v>
      </c>
      <c r="F52" s="16">
        <v>995</v>
      </c>
      <c r="G52" s="16">
        <v>170700</v>
      </c>
      <c r="H52" s="16">
        <f t="shared" si="1"/>
        <v>19</v>
      </c>
    </row>
    <row r="53" spans="1:8">
      <c r="A53" s="17">
        <v>44652</v>
      </c>
      <c r="B53" s="16">
        <v>1000</v>
      </c>
      <c r="C53" s="16">
        <v>1051</v>
      </c>
      <c r="D53" s="16">
        <v>990</v>
      </c>
      <c r="E53" s="16">
        <v>1032</v>
      </c>
      <c r="F53" s="16">
        <v>1032</v>
      </c>
      <c r="G53" s="16">
        <v>99100</v>
      </c>
      <c r="H53" s="16">
        <f t="shared" si="1"/>
        <v>32</v>
      </c>
    </row>
    <row r="54" spans="1:8">
      <c r="A54" s="17">
        <v>44683</v>
      </c>
      <c r="B54" s="16">
        <v>1032</v>
      </c>
      <c r="C54" s="16">
        <v>1050</v>
      </c>
      <c r="D54" s="16">
        <v>1012</v>
      </c>
      <c r="E54" s="16">
        <v>1048</v>
      </c>
      <c r="F54" s="16">
        <v>1048</v>
      </c>
      <c r="G54" s="16">
        <v>68700</v>
      </c>
      <c r="H54" s="16">
        <f t="shared" si="1"/>
        <v>16</v>
      </c>
    </row>
    <row r="55" spans="1:8">
      <c r="A55" s="17">
        <v>44713</v>
      </c>
      <c r="B55" s="16">
        <v>1047</v>
      </c>
      <c r="C55" s="16">
        <v>1115</v>
      </c>
      <c r="D55" s="16">
        <v>975</v>
      </c>
      <c r="E55" s="16">
        <v>1002</v>
      </c>
      <c r="F55" s="16">
        <v>1002</v>
      </c>
      <c r="G55" s="16">
        <v>352000</v>
      </c>
      <c r="H55" s="16">
        <f t="shared" si="1"/>
        <v>-45</v>
      </c>
    </row>
    <row r="56" spans="1:8">
      <c r="A56" s="17">
        <v>44743</v>
      </c>
      <c r="B56" s="16">
        <v>1002</v>
      </c>
      <c r="C56" s="16">
        <v>1020</v>
      </c>
      <c r="D56" s="16">
        <v>956</v>
      </c>
      <c r="E56" s="16">
        <v>987</v>
      </c>
      <c r="F56" s="16">
        <v>987</v>
      </c>
      <c r="G56" s="16">
        <v>263400</v>
      </c>
      <c r="H56" s="16">
        <f t="shared" si="1"/>
        <v>-15</v>
      </c>
    </row>
    <row r="57" spans="1:8">
      <c r="A57" s="17">
        <v>44774</v>
      </c>
      <c r="B57" s="16">
        <v>984</v>
      </c>
      <c r="C57" s="16">
        <v>990</v>
      </c>
      <c r="D57" s="16">
        <v>961</v>
      </c>
      <c r="E57" s="16">
        <v>965</v>
      </c>
      <c r="F57" s="16">
        <v>965</v>
      </c>
      <c r="G57" s="16">
        <v>138000</v>
      </c>
      <c r="H57" s="16">
        <f t="shared" si="1"/>
        <v>-19</v>
      </c>
    </row>
    <row r="58" spans="1:8">
      <c r="A58" s="17">
        <v>44805</v>
      </c>
      <c r="B58" s="16">
        <v>965</v>
      </c>
      <c r="C58" s="16">
        <v>1091</v>
      </c>
      <c r="D58" s="16">
        <v>919</v>
      </c>
      <c r="E58" s="16">
        <v>919</v>
      </c>
      <c r="F58" s="16">
        <v>919</v>
      </c>
      <c r="G58" s="16">
        <v>552800</v>
      </c>
      <c r="H58" s="16">
        <f t="shared" si="1"/>
        <v>-46</v>
      </c>
    </row>
    <row r="59" spans="1:8">
      <c r="A59" s="17">
        <v>44837</v>
      </c>
      <c r="B59" s="16">
        <v>920</v>
      </c>
      <c r="C59" s="16">
        <v>1005</v>
      </c>
      <c r="D59" s="16">
        <v>920</v>
      </c>
      <c r="E59" s="16">
        <v>995</v>
      </c>
      <c r="F59" s="16">
        <v>995</v>
      </c>
      <c r="G59" s="16">
        <v>162900</v>
      </c>
      <c r="H59" s="16">
        <f t="shared" si="1"/>
        <v>75</v>
      </c>
    </row>
    <row r="60" spans="1:8">
      <c r="A60" s="17">
        <v>44866</v>
      </c>
      <c r="B60" s="16">
        <v>995</v>
      </c>
      <c r="C60" s="16">
        <v>999</v>
      </c>
      <c r="D60" s="16">
        <v>969</v>
      </c>
      <c r="E60" s="16">
        <v>995</v>
      </c>
      <c r="F60" s="16">
        <v>995</v>
      </c>
      <c r="G60" s="16">
        <v>86400</v>
      </c>
      <c r="H60" s="16">
        <f t="shared" si="1"/>
        <v>0</v>
      </c>
    </row>
    <row r="61" spans="1:8">
      <c r="A61" s="17">
        <v>44896</v>
      </c>
      <c r="B61" s="16">
        <v>998</v>
      </c>
      <c r="C61" s="16">
        <v>1001</v>
      </c>
      <c r="D61" s="16">
        <v>965</v>
      </c>
      <c r="E61" s="16">
        <v>989</v>
      </c>
      <c r="F61" s="16">
        <v>989</v>
      </c>
      <c r="G61" s="16">
        <v>153900</v>
      </c>
      <c r="H61" s="16">
        <f t="shared" si="1"/>
        <v>-9</v>
      </c>
    </row>
  </sheetData>
  <phoneticPr fontId="32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1461A-3FC8-48B3-B8A8-E46C41ABC4C9}">
  <sheetPr codeName="Sheet18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4995</v>
      </c>
      <c r="C2" s="16">
        <v>5670</v>
      </c>
      <c r="D2" s="16">
        <v>4350</v>
      </c>
      <c r="E2" s="16">
        <v>4490.01</v>
      </c>
      <c r="F2" s="16">
        <v>1496.67</v>
      </c>
      <c r="G2" s="16">
        <v>6838403</v>
      </c>
      <c r="H2" s="16">
        <f t="shared" ref="H2:H33" si="0">E2-B2</f>
        <v>-504.98999999999978</v>
      </c>
      <c r="J2" s="18" cm="1">
        <f t="array" ref="J2:Q6">_xlfn._xlws.FILTER(A2:H61,MONTH(A2:A61)=1,"")</f>
        <v>43104</v>
      </c>
      <c r="K2" s="16">
        <v>4995</v>
      </c>
      <c r="L2" s="16">
        <v>5670</v>
      </c>
      <c r="M2" s="16">
        <v>4350</v>
      </c>
      <c r="N2" s="16">
        <v>4490.01</v>
      </c>
      <c r="O2" s="16">
        <v>1496.67</v>
      </c>
      <c r="P2" s="16">
        <v>6838403</v>
      </c>
      <c r="Q2" s="16">
        <v>-504.98999999999978</v>
      </c>
      <c r="R2" s="16">
        <f>Q2/K2*100</f>
        <v>-10.109909909909906</v>
      </c>
      <c r="S2" s="16">
        <f>COUNT(Q2:Q6)</f>
        <v>5</v>
      </c>
      <c r="T2" s="18" cm="1">
        <f t="array" ref="T2:AA6">_xlfn._xlws.FILTER(A2:H61,MONTH(A2:A61)=2,"")</f>
        <v>43132</v>
      </c>
      <c r="U2" s="16">
        <v>1516.67</v>
      </c>
      <c r="V2" s="16">
        <v>1520</v>
      </c>
      <c r="W2" s="16">
        <v>1195</v>
      </c>
      <c r="X2" s="16">
        <v>1412</v>
      </c>
      <c r="Y2" s="16">
        <v>1412</v>
      </c>
      <c r="Z2" s="16">
        <v>4354601</v>
      </c>
      <c r="AA2" s="16">
        <v>-104.67000000000007</v>
      </c>
      <c r="AB2" s="16">
        <f>AA2/U2*100</f>
        <v>-6.9013035136186565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1394</v>
      </c>
      <c r="AF2" s="16">
        <v>1485</v>
      </c>
      <c r="AG2" s="16">
        <v>1304</v>
      </c>
      <c r="AH2" s="16">
        <v>1474</v>
      </c>
      <c r="AI2" s="16">
        <v>1474</v>
      </c>
      <c r="AJ2" s="16">
        <v>5894500</v>
      </c>
      <c r="AK2" s="16">
        <v>80</v>
      </c>
      <c r="AL2" s="16">
        <f>AK2/AE2*100</f>
        <v>5.7388809182209473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1483</v>
      </c>
      <c r="AP2" s="16">
        <v>1553</v>
      </c>
      <c r="AQ2" s="16">
        <v>988</v>
      </c>
      <c r="AR2" s="16">
        <v>1112</v>
      </c>
      <c r="AS2" s="16">
        <v>1112</v>
      </c>
      <c r="AT2" s="16">
        <v>16793800</v>
      </c>
      <c r="AU2" s="16">
        <v>-371</v>
      </c>
      <c r="AV2" s="16">
        <f>AU2/AO2*100</f>
        <v>-25.016857720836143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1111</v>
      </c>
      <c r="AZ2" s="16">
        <v>1129</v>
      </c>
      <c r="BA2" s="16">
        <v>958</v>
      </c>
      <c r="BB2" s="16">
        <v>970</v>
      </c>
      <c r="BC2" s="16">
        <v>970</v>
      </c>
      <c r="BD2" s="16">
        <v>7342500</v>
      </c>
      <c r="BE2" s="16">
        <v>-141</v>
      </c>
      <c r="BF2" s="16">
        <f>BE2/AY2*100</f>
        <v>-12.69126912691269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961</v>
      </c>
      <c r="BJ2" s="16">
        <v>1043</v>
      </c>
      <c r="BK2" s="16">
        <v>801</v>
      </c>
      <c r="BL2" s="16">
        <v>848</v>
      </c>
      <c r="BM2" s="16">
        <v>848</v>
      </c>
      <c r="BN2" s="16">
        <v>10444100</v>
      </c>
      <c r="BO2" s="16">
        <v>-113</v>
      </c>
      <c r="BP2" s="16">
        <f>BO2/BI2*100</f>
        <v>-11.758584807492195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857</v>
      </c>
      <c r="BT2" s="16">
        <v>950</v>
      </c>
      <c r="BU2" s="16">
        <v>604</v>
      </c>
      <c r="BV2" s="16">
        <v>620</v>
      </c>
      <c r="BW2" s="16">
        <v>620</v>
      </c>
      <c r="BX2" s="16">
        <v>17972500</v>
      </c>
      <c r="BY2" s="16">
        <v>-237</v>
      </c>
      <c r="BZ2" s="16">
        <f>BY2/BS2*100</f>
        <v>-27.654609101516918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620</v>
      </c>
      <c r="CD2" s="16">
        <v>849</v>
      </c>
      <c r="CE2" s="16">
        <v>521</v>
      </c>
      <c r="CF2" s="16">
        <v>676</v>
      </c>
      <c r="CG2" s="16">
        <v>676</v>
      </c>
      <c r="CH2" s="16">
        <v>25725500</v>
      </c>
      <c r="CI2" s="16">
        <v>56</v>
      </c>
      <c r="CJ2" s="16">
        <f>CI2/CC2*100</f>
        <v>9.0322580645161281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669</v>
      </c>
      <c r="CN2" s="16">
        <v>711</v>
      </c>
      <c r="CO2" s="16">
        <v>578</v>
      </c>
      <c r="CP2" s="16">
        <v>645</v>
      </c>
      <c r="CQ2" s="16">
        <v>645</v>
      </c>
      <c r="CR2" s="16">
        <v>11218200</v>
      </c>
      <c r="CS2" s="16">
        <v>-24</v>
      </c>
      <c r="CT2" s="16">
        <f>CS2/CM2*100</f>
        <v>-3.5874439461883409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652</v>
      </c>
      <c r="CX2" s="16">
        <v>739</v>
      </c>
      <c r="CY2" s="16">
        <v>510</v>
      </c>
      <c r="CZ2" s="16">
        <v>630</v>
      </c>
      <c r="DA2" s="16">
        <v>630</v>
      </c>
      <c r="DB2" s="16">
        <v>21063500</v>
      </c>
      <c r="DC2" s="16">
        <v>-22</v>
      </c>
      <c r="DD2" s="16">
        <f>DC2/CW2*100</f>
        <v>-3.3742331288343559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616</v>
      </c>
      <c r="DH2" s="16">
        <v>815</v>
      </c>
      <c r="DI2" s="16">
        <v>581</v>
      </c>
      <c r="DJ2" s="16">
        <v>696</v>
      </c>
      <c r="DK2" s="16">
        <v>696</v>
      </c>
      <c r="DL2" s="16">
        <v>11303900</v>
      </c>
      <c r="DM2" s="16">
        <v>80</v>
      </c>
      <c r="DN2" s="16">
        <f>DM2/DG2*100</f>
        <v>12.987012987012985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703</v>
      </c>
      <c r="DR2" s="16">
        <v>721</v>
      </c>
      <c r="DS2" s="16">
        <v>466</v>
      </c>
      <c r="DT2" s="16">
        <v>532</v>
      </c>
      <c r="DU2" s="16">
        <v>532</v>
      </c>
      <c r="DV2" s="16">
        <v>8986400</v>
      </c>
      <c r="DW2" s="16">
        <v>-171</v>
      </c>
      <c r="DX2" s="16">
        <f>DW2/DQ2*100</f>
        <v>-24.324324324324326</v>
      </c>
      <c r="DY2" s="16">
        <f>COUNT(DW2:DW6)</f>
        <v>5</v>
      </c>
    </row>
    <row r="3" spans="1:129">
      <c r="A3" s="17">
        <v>43132</v>
      </c>
      <c r="B3" s="16">
        <v>1516.67</v>
      </c>
      <c r="C3" s="16">
        <v>1520</v>
      </c>
      <c r="D3" s="16">
        <v>1195</v>
      </c>
      <c r="E3" s="16">
        <v>1412</v>
      </c>
      <c r="F3" s="16">
        <v>1412</v>
      </c>
      <c r="G3" s="16">
        <v>4354601</v>
      </c>
      <c r="H3" s="16">
        <f t="shared" si="0"/>
        <v>-104.67000000000007</v>
      </c>
      <c r="J3" s="18">
        <v>43469</v>
      </c>
      <c r="K3" s="16">
        <v>510</v>
      </c>
      <c r="L3" s="16">
        <v>844</v>
      </c>
      <c r="M3" s="16">
        <v>505</v>
      </c>
      <c r="N3" s="16">
        <v>837</v>
      </c>
      <c r="O3" s="16">
        <v>837</v>
      </c>
      <c r="P3" s="16">
        <v>15816200</v>
      </c>
      <c r="Q3" s="16">
        <v>327</v>
      </c>
      <c r="R3" s="16">
        <f>Q3/K3*100</f>
        <v>64.117647058823536</v>
      </c>
      <c r="S3" s="16">
        <f>COUNTIF(Q2:Q6,"&gt;0")</f>
        <v>1</v>
      </c>
      <c r="T3" s="18">
        <v>43497</v>
      </c>
      <c r="U3" s="16">
        <v>837</v>
      </c>
      <c r="V3" s="16">
        <v>950</v>
      </c>
      <c r="W3" s="16">
        <v>812</v>
      </c>
      <c r="X3" s="16">
        <v>908</v>
      </c>
      <c r="Y3" s="16">
        <v>908</v>
      </c>
      <c r="Z3" s="16">
        <v>10594400</v>
      </c>
      <c r="AA3" s="16">
        <v>71</v>
      </c>
      <c r="AB3" s="16">
        <f>AA3/U3*100</f>
        <v>8.4826762246117084</v>
      </c>
      <c r="AC3" s="16">
        <f>COUNTIF(AA2:AA6,"&gt;0")</f>
        <v>2</v>
      </c>
      <c r="AD3" s="18">
        <v>43525</v>
      </c>
      <c r="AE3" s="16">
        <v>918</v>
      </c>
      <c r="AF3" s="16">
        <v>1018</v>
      </c>
      <c r="AG3" s="16">
        <v>837</v>
      </c>
      <c r="AH3" s="16">
        <v>968</v>
      </c>
      <c r="AI3" s="16">
        <v>968</v>
      </c>
      <c r="AJ3" s="16">
        <v>7585900</v>
      </c>
      <c r="AK3" s="16">
        <v>50</v>
      </c>
      <c r="AL3" s="16">
        <f>AK3/AE3*100</f>
        <v>5.4466230936819171</v>
      </c>
      <c r="AM3" s="16">
        <f>COUNTIF(AK2:AK6,"&gt;0")</f>
        <v>2</v>
      </c>
      <c r="AN3" s="18">
        <v>43556</v>
      </c>
      <c r="AO3" s="16">
        <v>969</v>
      </c>
      <c r="AP3" s="16">
        <v>1114</v>
      </c>
      <c r="AQ3" s="16">
        <v>841</v>
      </c>
      <c r="AR3" s="16">
        <v>1062</v>
      </c>
      <c r="AS3" s="16">
        <v>1062</v>
      </c>
      <c r="AT3" s="16">
        <v>9497100</v>
      </c>
      <c r="AU3" s="16">
        <v>93</v>
      </c>
      <c r="AV3" s="16">
        <f>AU3/AO3*100</f>
        <v>9.5975232198142422</v>
      </c>
      <c r="AW3" s="16">
        <f>COUNTIF(AU2:AU6,"&gt;0")</f>
        <v>2</v>
      </c>
      <c r="AX3" s="18">
        <v>43592</v>
      </c>
      <c r="AY3" s="16">
        <v>1062</v>
      </c>
      <c r="AZ3" s="16">
        <v>1080</v>
      </c>
      <c r="BA3" s="16">
        <v>810</v>
      </c>
      <c r="BB3" s="16">
        <v>813</v>
      </c>
      <c r="BC3" s="16">
        <v>813</v>
      </c>
      <c r="BD3" s="16">
        <v>5498700</v>
      </c>
      <c r="BE3" s="16">
        <v>-249</v>
      </c>
      <c r="BF3" s="16">
        <f>BE3/AY3*100</f>
        <v>-23.44632768361582</v>
      </c>
      <c r="BG3" s="16">
        <f>COUNTIF(BE2:BE6,"&gt;0")</f>
        <v>2</v>
      </c>
      <c r="BH3" s="18">
        <v>43619</v>
      </c>
      <c r="BI3" s="16">
        <v>805</v>
      </c>
      <c r="BJ3" s="16">
        <v>877</v>
      </c>
      <c r="BK3" s="16">
        <v>777</v>
      </c>
      <c r="BL3" s="16">
        <v>821</v>
      </c>
      <c r="BM3" s="16">
        <v>821</v>
      </c>
      <c r="BN3" s="16">
        <v>3277700</v>
      </c>
      <c r="BO3" s="16">
        <v>16</v>
      </c>
      <c r="BP3" s="16">
        <f>BO3/BI3*100</f>
        <v>1.9875776397515528</v>
      </c>
      <c r="BQ3" s="16">
        <f>COUNTIF(BO2:BO6,"&gt;0")</f>
        <v>2</v>
      </c>
      <c r="BR3" s="18">
        <v>43647</v>
      </c>
      <c r="BS3" s="16">
        <v>830</v>
      </c>
      <c r="BT3" s="16">
        <v>920</v>
      </c>
      <c r="BU3" s="16">
        <v>744</v>
      </c>
      <c r="BV3" s="16">
        <v>748</v>
      </c>
      <c r="BW3" s="16">
        <v>748</v>
      </c>
      <c r="BX3" s="16">
        <v>6634900</v>
      </c>
      <c r="BY3" s="16">
        <v>-82</v>
      </c>
      <c r="BZ3" s="16">
        <f>BY3/BS3*100</f>
        <v>-9.8795180722891569</v>
      </c>
      <c r="CA3" s="16">
        <f>COUNTIF(BY2:BY6,"&gt;0")</f>
        <v>1</v>
      </c>
      <c r="CB3" s="18">
        <v>43678</v>
      </c>
      <c r="CC3" s="16">
        <v>747</v>
      </c>
      <c r="CD3" s="16">
        <v>898</v>
      </c>
      <c r="CE3" s="16">
        <v>662</v>
      </c>
      <c r="CF3" s="16">
        <v>895</v>
      </c>
      <c r="CG3" s="16">
        <v>895</v>
      </c>
      <c r="CH3" s="16">
        <v>6071100</v>
      </c>
      <c r="CI3" s="16">
        <v>148</v>
      </c>
      <c r="CJ3" s="16">
        <f>CI3/CC3*100</f>
        <v>19.812583668005352</v>
      </c>
      <c r="CK3" s="16">
        <f>COUNTIF(CI2:CI6,"&gt;0")</f>
        <v>4</v>
      </c>
      <c r="CL3" s="18">
        <v>43710</v>
      </c>
      <c r="CM3" s="16">
        <v>887</v>
      </c>
      <c r="CN3" s="16">
        <v>928</v>
      </c>
      <c r="CO3" s="16">
        <v>787</v>
      </c>
      <c r="CP3" s="16">
        <v>787</v>
      </c>
      <c r="CQ3" s="16">
        <v>787</v>
      </c>
      <c r="CR3" s="16">
        <v>2998400</v>
      </c>
      <c r="CS3" s="16">
        <v>-100</v>
      </c>
      <c r="CT3" s="16">
        <f>CS3/CM3*100</f>
        <v>-11.273957158962796</v>
      </c>
      <c r="CU3" s="16">
        <f>COUNTIF(CS2:CS6,"&gt;0")</f>
        <v>2</v>
      </c>
      <c r="CV3" s="18">
        <v>43739</v>
      </c>
      <c r="CW3" s="16">
        <v>800</v>
      </c>
      <c r="CX3" s="16">
        <v>807</v>
      </c>
      <c r="CY3" s="16">
        <v>683</v>
      </c>
      <c r="CZ3" s="16">
        <v>736</v>
      </c>
      <c r="DA3" s="16">
        <v>736</v>
      </c>
      <c r="DB3" s="16">
        <v>6705100</v>
      </c>
      <c r="DC3" s="16">
        <v>-64</v>
      </c>
      <c r="DD3" s="16">
        <f>DC3/CW3*100</f>
        <v>-8</v>
      </c>
      <c r="DE3" s="16">
        <f>COUNTIF(DC2:DC6,"&gt;0")</f>
        <v>2</v>
      </c>
      <c r="DF3" s="18">
        <v>43770</v>
      </c>
      <c r="DG3" s="16">
        <v>729</v>
      </c>
      <c r="DH3" s="16">
        <v>787</v>
      </c>
      <c r="DI3" s="16">
        <v>654</v>
      </c>
      <c r="DJ3" s="16">
        <v>729</v>
      </c>
      <c r="DK3" s="16">
        <v>729</v>
      </c>
      <c r="DL3" s="16">
        <v>6618300</v>
      </c>
      <c r="DM3" s="16">
        <v>0</v>
      </c>
      <c r="DN3" s="16">
        <f>DM3/DG3*100</f>
        <v>0</v>
      </c>
      <c r="DO3" s="16">
        <f>COUNTIF(DM2:DM6,"&gt;0")</f>
        <v>2</v>
      </c>
      <c r="DP3" s="18">
        <v>43801</v>
      </c>
      <c r="DQ3" s="16">
        <v>726</v>
      </c>
      <c r="DR3" s="16">
        <v>735</v>
      </c>
      <c r="DS3" s="16">
        <v>603</v>
      </c>
      <c r="DT3" s="16">
        <v>610</v>
      </c>
      <c r="DU3" s="16">
        <v>610</v>
      </c>
      <c r="DV3" s="16">
        <v>5871000</v>
      </c>
      <c r="DW3" s="16">
        <v>-116</v>
      </c>
      <c r="DX3" s="16">
        <f>DW3/DQ3*100</f>
        <v>-15.977961432506888</v>
      </c>
      <c r="DY3" s="16">
        <f>COUNTIF(DW2:DW6,"&gt;0")</f>
        <v>1</v>
      </c>
    </row>
    <row r="4" spans="1:129">
      <c r="A4" s="17">
        <v>43160</v>
      </c>
      <c r="B4" s="16">
        <v>1394</v>
      </c>
      <c r="C4" s="16">
        <v>1485</v>
      </c>
      <c r="D4" s="16">
        <v>1304</v>
      </c>
      <c r="E4" s="16">
        <v>1474</v>
      </c>
      <c r="F4" s="16">
        <v>1474</v>
      </c>
      <c r="G4" s="16">
        <v>5894500</v>
      </c>
      <c r="H4" s="16">
        <f t="shared" si="0"/>
        <v>80</v>
      </c>
      <c r="J4" s="18">
        <v>43836</v>
      </c>
      <c r="K4" s="16">
        <v>607</v>
      </c>
      <c r="L4" s="16">
        <v>621</v>
      </c>
      <c r="M4" s="16">
        <v>495</v>
      </c>
      <c r="N4" s="16">
        <v>514</v>
      </c>
      <c r="O4" s="16">
        <v>514</v>
      </c>
      <c r="P4" s="16">
        <v>7044900</v>
      </c>
      <c r="Q4" s="16">
        <v>-93</v>
      </c>
      <c r="R4" s="16">
        <f>Q4/K4*100</f>
        <v>-15.321252059308071</v>
      </c>
      <c r="S4" s="19">
        <f>S3/S2*100</f>
        <v>20</v>
      </c>
      <c r="T4" s="18">
        <v>43864</v>
      </c>
      <c r="U4" s="16">
        <v>504</v>
      </c>
      <c r="V4" s="16">
        <v>542</v>
      </c>
      <c r="W4" s="16">
        <v>371</v>
      </c>
      <c r="X4" s="16">
        <v>377</v>
      </c>
      <c r="Y4" s="16">
        <v>377</v>
      </c>
      <c r="Z4" s="16">
        <v>6342400</v>
      </c>
      <c r="AA4" s="16">
        <v>-127</v>
      </c>
      <c r="AB4" s="16">
        <f>AA4/U4*100</f>
        <v>-25.198412698412696</v>
      </c>
      <c r="AC4" s="19">
        <f>AC3/AC2*100</f>
        <v>40</v>
      </c>
      <c r="AD4" s="18">
        <v>43892</v>
      </c>
      <c r="AE4" s="16">
        <v>369</v>
      </c>
      <c r="AF4" s="16">
        <v>411</v>
      </c>
      <c r="AG4" s="16">
        <v>201</v>
      </c>
      <c r="AH4" s="16">
        <v>233</v>
      </c>
      <c r="AI4" s="16">
        <v>233</v>
      </c>
      <c r="AJ4" s="16">
        <v>14429600</v>
      </c>
      <c r="AK4" s="16">
        <v>-136</v>
      </c>
      <c r="AL4" s="16">
        <f>AK4/AE4*100</f>
        <v>-36.856368563685635</v>
      </c>
      <c r="AM4" s="19">
        <f>AM3/AM2*100</f>
        <v>40</v>
      </c>
      <c r="AN4" s="18">
        <v>43922</v>
      </c>
      <c r="AO4" s="16">
        <v>238</v>
      </c>
      <c r="AP4" s="16">
        <v>298</v>
      </c>
      <c r="AQ4" s="16">
        <v>200</v>
      </c>
      <c r="AR4" s="16">
        <v>293</v>
      </c>
      <c r="AS4" s="16">
        <v>293</v>
      </c>
      <c r="AT4" s="16">
        <v>12311400</v>
      </c>
      <c r="AU4" s="16">
        <v>55</v>
      </c>
      <c r="AV4" s="16">
        <f>AU4/AO4*100</f>
        <v>23.109243697478991</v>
      </c>
      <c r="AW4" s="19">
        <f>AW3/AW2*100</f>
        <v>40</v>
      </c>
      <c r="AX4" s="18">
        <v>43952</v>
      </c>
      <c r="AY4" s="16">
        <v>288</v>
      </c>
      <c r="AZ4" s="16">
        <v>388</v>
      </c>
      <c r="BA4" s="16">
        <v>285</v>
      </c>
      <c r="BB4" s="16">
        <v>355</v>
      </c>
      <c r="BC4" s="16">
        <v>355</v>
      </c>
      <c r="BD4" s="16">
        <v>16068500</v>
      </c>
      <c r="BE4" s="16">
        <v>67</v>
      </c>
      <c r="BF4" s="16">
        <f>BE4/AY4*100</f>
        <v>23.263888888888889</v>
      </c>
      <c r="BG4" s="19">
        <f>BG3/BG2*100</f>
        <v>40</v>
      </c>
      <c r="BH4" s="18">
        <v>43983</v>
      </c>
      <c r="BI4" s="16">
        <v>360</v>
      </c>
      <c r="BJ4" s="16">
        <v>411</v>
      </c>
      <c r="BK4" s="16">
        <v>341</v>
      </c>
      <c r="BL4" s="16">
        <v>354</v>
      </c>
      <c r="BM4" s="16">
        <v>354</v>
      </c>
      <c r="BN4" s="16">
        <v>19530600</v>
      </c>
      <c r="BO4" s="16">
        <v>-6</v>
      </c>
      <c r="BP4" s="16">
        <f>BO4/BI4*100</f>
        <v>-1.6666666666666667</v>
      </c>
      <c r="BQ4" s="19">
        <f>BQ3/BQ2*100</f>
        <v>40</v>
      </c>
      <c r="BR4" s="18">
        <v>44013</v>
      </c>
      <c r="BS4" s="16">
        <v>356</v>
      </c>
      <c r="BT4" s="16">
        <v>387</v>
      </c>
      <c r="BU4" s="16">
        <v>269</v>
      </c>
      <c r="BV4" s="16">
        <v>272</v>
      </c>
      <c r="BW4" s="16">
        <v>272</v>
      </c>
      <c r="BX4" s="16">
        <v>19877400</v>
      </c>
      <c r="BY4" s="16">
        <v>-84</v>
      </c>
      <c r="BZ4" s="16">
        <f>BY4/BS4*100</f>
        <v>-23.595505617977526</v>
      </c>
      <c r="CA4" s="19">
        <f>CA3/CA2*100</f>
        <v>20</v>
      </c>
      <c r="CB4" s="18">
        <v>44046</v>
      </c>
      <c r="CC4" s="16">
        <v>277</v>
      </c>
      <c r="CD4" s="16">
        <v>363</v>
      </c>
      <c r="CE4" s="16">
        <v>268</v>
      </c>
      <c r="CF4" s="16">
        <v>357</v>
      </c>
      <c r="CG4" s="16">
        <v>357</v>
      </c>
      <c r="CH4" s="16">
        <v>13835900</v>
      </c>
      <c r="CI4" s="16">
        <v>80</v>
      </c>
      <c r="CJ4" s="16">
        <f>CI4/CC4*100</f>
        <v>28.880866425992778</v>
      </c>
      <c r="CK4" s="19">
        <f>CK3/CK2*100</f>
        <v>80</v>
      </c>
      <c r="CL4" s="18">
        <v>44075</v>
      </c>
      <c r="CM4" s="16">
        <v>352</v>
      </c>
      <c r="CN4" s="16">
        <v>418</v>
      </c>
      <c r="CO4" s="16">
        <v>346</v>
      </c>
      <c r="CP4" s="16">
        <v>395</v>
      </c>
      <c r="CQ4" s="16">
        <v>395</v>
      </c>
      <c r="CR4" s="16">
        <v>9977300</v>
      </c>
      <c r="CS4" s="16">
        <v>43</v>
      </c>
      <c r="CT4" s="16">
        <f>CS4/CM4*100</f>
        <v>12.215909090909092</v>
      </c>
      <c r="CU4" s="19">
        <f>CU3/CU2*100</f>
        <v>40</v>
      </c>
      <c r="CV4" s="18">
        <v>44106</v>
      </c>
      <c r="CW4" s="16">
        <v>398</v>
      </c>
      <c r="CX4" s="16">
        <v>419</v>
      </c>
      <c r="CY4" s="16">
        <v>352</v>
      </c>
      <c r="CZ4" s="16">
        <v>400</v>
      </c>
      <c r="DA4" s="16">
        <v>400</v>
      </c>
      <c r="DB4" s="16">
        <v>9782500</v>
      </c>
      <c r="DC4" s="16">
        <v>2</v>
      </c>
      <c r="DD4" s="16">
        <f>DC4/CW4*100</f>
        <v>0.50251256281407031</v>
      </c>
      <c r="DE4" s="19">
        <f>DE3/DE2*100</f>
        <v>40</v>
      </c>
      <c r="DF4" s="18">
        <v>44137</v>
      </c>
      <c r="DG4" s="16">
        <v>398</v>
      </c>
      <c r="DH4" s="16">
        <v>520</v>
      </c>
      <c r="DI4" s="16">
        <v>367</v>
      </c>
      <c r="DJ4" s="16">
        <v>487</v>
      </c>
      <c r="DK4" s="16">
        <v>487</v>
      </c>
      <c r="DL4" s="16">
        <v>20150600</v>
      </c>
      <c r="DM4" s="16">
        <v>89</v>
      </c>
      <c r="DN4" s="16">
        <f>DM4/DG4*100</f>
        <v>22.361809045226131</v>
      </c>
      <c r="DO4" s="19">
        <f>DO3/DO2*100</f>
        <v>40</v>
      </c>
      <c r="DP4" s="18">
        <v>44166</v>
      </c>
      <c r="DQ4" s="16">
        <v>487</v>
      </c>
      <c r="DR4" s="16">
        <v>554</v>
      </c>
      <c r="DS4" s="16">
        <v>484</v>
      </c>
      <c r="DT4" s="16">
        <v>530</v>
      </c>
      <c r="DU4" s="16">
        <v>530</v>
      </c>
      <c r="DV4" s="16">
        <v>11700900</v>
      </c>
      <c r="DW4" s="16">
        <v>43</v>
      </c>
      <c r="DX4" s="16">
        <f>DW4/DQ4*100</f>
        <v>8.8295687885010263</v>
      </c>
      <c r="DY4" s="19">
        <f>DY3/DY2*100</f>
        <v>20</v>
      </c>
    </row>
    <row r="5" spans="1:129">
      <c r="A5" s="17">
        <v>43192</v>
      </c>
      <c r="B5" s="16">
        <v>1483</v>
      </c>
      <c r="C5" s="16">
        <v>1553</v>
      </c>
      <c r="D5" s="16">
        <v>988</v>
      </c>
      <c r="E5" s="16">
        <v>1112</v>
      </c>
      <c r="F5" s="16">
        <v>1112</v>
      </c>
      <c r="G5" s="16">
        <v>16793800</v>
      </c>
      <c r="H5" s="16">
        <f t="shared" si="0"/>
        <v>-371</v>
      </c>
      <c r="J5" s="18">
        <v>44200</v>
      </c>
      <c r="K5" s="16">
        <v>540</v>
      </c>
      <c r="L5" s="16">
        <v>543</v>
      </c>
      <c r="M5" s="16">
        <v>444</v>
      </c>
      <c r="N5" s="16">
        <v>472</v>
      </c>
      <c r="O5" s="16">
        <v>472</v>
      </c>
      <c r="P5" s="16">
        <v>9116800</v>
      </c>
      <c r="Q5" s="16">
        <v>-68</v>
      </c>
      <c r="R5" s="16">
        <f>Q5/K5*100</f>
        <v>-12.592592592592592</v>
      </c>
      <c r="S5" s="16">
        <f>AVERAGE(R2:R6)</f>
        <v>7.0263647917445132E-2</v>
      </c>
      <c r="T5" s="18">
        <v>44228</v>
      </c>
      <c r="U5" s="16">
        <v>468</v>
      </c>
      <c r="V5" s="16">
        <v>770</v>
      </c>
      <c r="W5" s="16">
        <v>465</v>
      </c>
      <c r="X5" s="16">
        <v>714</v>
      </c>
      <c r="Y5" s="16">
        <v>714</v>
      </c>
      <c r="Z5" s="16">
        <v>18789400</v>
      </c>
      <c r="AA5" s="16">
        <v>246</v>
      </c>
      <c r="AB5" s="16">
        <f>AA5/U5*100</f>
        <v>52.564102564102569</v>
      </c>
      <c r="AC5" s="16">
        <f>AVERAGE(AB2:AB6)</f>
        <v>5.4369896078475985</v>
      </c>
      <c r="AD5" s="18">
        <v>44256</v>
      </c>
      <c r="AE5" s="16">
        <v>725</v>
      </c>
      <c r="AF5" s="16">
        <v>840</v>
      </c>
      <c r="AG5" s="16">
        <v>673</v>
      </c>
      <c r="AH5" s="16">
        <v>703</v>
      </c>
      <c r="AI5" s="16">
        <v>703</v>
      </c>
      <c r="AJ5" s="16">
        <v>11390600</v>
      </c>
      <c r="AK5" s="16">
        <v>-22</v>
      </c>
      <c r="AL5" s="16">
        <f>AK5/AE5*100</f>
        <v>-3.0344827586206895</v>
      </c>
      <c r="AM5" s="16">
        <f>AVERAGE(AL2:AL6)</f>
        <v>-6.7655683484949467</v>
      </c>
      <c r="AN5" s="18">
        <v>44287</v>
      </c>
      <c r="AO5" s="16">
        <v>708</v>
      </c>
      <c r="AP5" s="16">
        <v>770</v>
      </c>
      <c r="AQ5" s="16">
        <v>602</v>
      </c>
      <c r="AR5" s="16">
        <v>684</v>
      </c>
      <c r="AS5" s="16">
        <v>684</v>
      </c>
      <c r="AT5" s="16">
        <v>7004100</v>
      </c>
      <c r="AU5" s="16">
        <v>-24</v>
      </c>
      <c r="AV5" s="16">
        <f>AU5/AO5*100</f>
        <v>-3.3898305084745761</v>
      </c>
      <c r="AW5" s="16">
        <f>AVERAGE(AV2:AV6)</f>
        <v>-3.7194235147399453</v>
      </c>
      <c r="AX5" s="18">
        <v>44322</v>
      </c>
      <c r="AY5" s="16">
        <v>692</v>
      </c>
      <c r="AZ5" s="16">
        <v>749</v>
      </c>
      <c r="BA5" s="16">
        <v>639</v>
      </c>
      <c r="BB5" s="16">
        <v>673</v>
      </c>
      <c r="BC5" s="16">
        <v>673</v>
      </c>
      <c r="BD5" s="16">
        <v>6775100</v>
      </c>
      <c r="BE5" s="16">
        <v>-19</v>
      </c>
      <c r="BF5" s="16">
        <f>BE5/AY5*100</f>
        <v>-2.745664739884393</v>
      </c>
      <c r="BG5" s="16">
        <f>AVERAGE(BF2:BF6)</f>
        <v>-1.8968806672741274</v>
      </c>
      <c r="BH5" s="18">
        <v>44348</v>
      </c>
      <c r="BI5" s="16">
        <v>682</v>
      </c>
      <c r="BJ5" s="16">
        <v>822</v>
      </c>
      <c r="BK5" s="16">
        <v>679</v>
      </c>
      <c r="BL5" s="16">
        <v>700</v>
      </c>
      <c r="BM5" s="16">
        <v>700</v>
      </c>
      <c r="BN5" s="16">
        <v>6120000</v>
      </c>
      <c r="BO5" s="16">
        <v>18</v>
      </c>
      <c r="BP5" s="16">
        <f>BO5/BI5*100</f>
        <v>2.6392961876832843</v>
      </c>
      <c r="BQ5" s="16">
        <f>AVERAGE(BP2:BP6)</f>
        <v>-3.0350378481853846</v>
      </c>
      <c r="BR5" s="18">
        <v>44378</v>
      </c>
      <c r="BS5" s="16">
        <v>707</v>
      </c>
      <c r="BT5" s="16">
        <v>750</v>
      </c>
      <c r="BU5" s="16">
        <v>642</v>
      </c>
      <c r="BV5" s="16">
        <v>733</v>
      </c>
      <c r="BW5" s="16">
        <v>733</v>
      </c>
      <c r="BX5" s="16">
        <v>7129600</v>
      </c>
      <c r="BY5" s="16">
        <v>26</v>
      </c>
      <c r="BZ5" s="16">
        <f>BY5/BS5*100</f>
        <v>3.6775106082036775</v>
      </c>
      <c r="CA5" s="16">
        <f>AVERAGE(BZ2:BZ6)</f>
        <v>-12.10770838733327</v>
      </c>
      <c r="CB5" s="18">
        <v>44410</v>
      </c>
      <c r="CC5" s="16">
        <v>726</v>
      </c>
      <c r="CD5" s="16">
        <v>727</v>
      </c>
      <c r="CE5" s="16">
        <v>557</v>
      </c>
      <c r="CF5" s="16">
        <v>609</v>
      </c>
      <c r="CG5" s="16">
        <v>609</v>
      </c>
      <c r="CH5" s="16">
        <v>5260800</v>
      </c>
      <c r="CI5" s="16">
        <v>-117</v>
      </c>
      <c r="CJ5" s="16">
        <f>CI5/CC5*100</f>
        <v>-16.115702479338843</v>
      </c>
      <c r="CK5" s="16">
        <f>AVERAGE(CJ2:CJ6)</f>
        <v>11.034934889778301</v>
      </c>
      <c r="CL5" s="18">
        <v>44440</v>
      </c>
      <c r="CM5" s="16">
        <v>606</v>
      </c>
      <c r="CN5" s="16">
        <v>719</v>
      </c>
      <c r="CO5" s="16">
        <v>591</v>
      </c>
      <c r="CP5" s="16">
        <v>708</v>
      </c>
      <c r="CQ5" s="16">
        <v>708</v>
      </c>
      <c r="CR5" s="16">
        <v>4619900</v>
      </c>
      <c r="CS5" s="16">
        <v>102</v>
      </c>
      <c r="CT5" s="16">
        <f>CS5/CM5*100</f>
        <v>16.831683168316832</v>
      </c>
      <c r="CU5" s="16">
        <f>AVERAGE(CT2:CT6)</f>
        <v>0.52737907588537991</v>
      </c>
      <c r="CV5" s="18">
        <v>44470</v>
      </c>
      <c r="CW5" s="16">
        <v>705</v>
      </c>
      <c r="CX5" s="16">
        <v>824</v>
      </c>
      <c r="CY5" s="16">
        <v>661</v>
      </c>
      <c r="CZ5" s="16">
        <v>705</v>
      </c>
      <c r="DA5" s="16">
        <v>705</v>
      </c>
      <c r="DB5" s="16">
        <v>7954800</v>
      </c>
      <c r="DC5" s="16">
        <v>0</v>
      </c>
      <c r="DD5" s="16">
        <f>DC5/CW5*100</f>
        <v>0</v>
      </c>
      <c r="DE5" s="16">
        <f>AVERAGE(DD2:DD6)</f>
        <v>0.69210539819659478</v>
      </c>
      <c r="DF5" s="18">
        <v>44501</v>
      </c>
      <c r="DG5" s="16">
        <v>719</v>
      </c>
      <c r="DH5" s="16">
        <v>834</v>
      </c>
      <c r="DI5" s="16">
        <v>664</v>
      </c>
      <c r="DJ5" s="16">
        <v>669</v>
      </c>
      <c r="DK5" s="16">
        <v>669</v>
      </c>
      <c r="DL5" s="16">
        <v>5171600</v>
      </c>
      <c r="DM5" s="16">
        <v>-50</v>
      </c>
      <c r="DN5" s="16">
        <f>DM5/DG5*100</f>
        <v>-6.9541029207232263</v>
      </c>
      <c r="DO5" s="16">
        <f>AVERAGE(DN2:DN6)</f>
        <v>2.9700101047239267</v>
      </c>
      <c r="DP5" s="18">
        <v>44531</v>
      </c>
      <c r="DQ5" s="16">
        <v>665</v>
      </c>
      <c r="DR5" s="16">
        <v>689</v>
      </c>
      <c r="DS5" s="16">
        <v>577</v>
      </c>
      <c r="DT5" s="16">
        <v>604</v>
      </c>
      <c r="DU5" s="16">
        <v>604</v>
      </c>
      <c r="DV5" s="16">
        <v>3872700</v>
      </c>
      <c r="DW5" s="16">
        <v>-61</v>
      </c>
      <c r="DX5" s="16">
        <f>DW5/DQ5*100</f>
        <v>-9.1729323308270683</v>
      </c>
      <c r="DY5" s="16">
        <f>AVERAGE(DX2:DX6)</f>
        <v>-9.7577943549454567</v>
      </c>
    </row>
    <row r="6" spans="1:129">
      <c r="A6" s="17">
        <v>43221</v>
      </c>
      <c r="B6" s="16">
        <v>1111</v>
      </c>
      <c r="C6" s="16">
        <v>1129</v>
      </c>
      <c r="D6" s="16">
        <v>958</v>
      </c>
      <c r="E6" s="16">
        <v>970</v>
      </c>
      <c r="F6" s="16">
        <v>970</v>
      </c>
      <c r="G6" s="16">
        <v>7342500</v>
      </c>
      <c r="H6" s="16">
        <f t="shared" si="0"/>
        <v>-141</v>
      </c>
      <c r="J6" s="18">
        <v>44565</v>
      </c>
      <c r="K6" s="16">
        <v>606</v>
      </c>
      <c r="L6" s="16">
        <v>606</v>
      </c>
      <c r="M6" s="16">
        <v>411</v>
      </c>
      <c r="N6" s="16">
        <v>450</v>
      </c>
      <c r="O6" s="16">
        <v>450</v>
      </c>
      <c r="P6" s="16">
        <v>5055600</v>
      </c>
      <c r="Q6" s="16">
        <v>-156</v>
      </c>
      <c r="R6" s="16">
        <f>Q6/K6*100</f>
        <v>-25.742574257425744</v>
      </c>
      <c r="S6" s="16">
        <f>MEDIAN(R2:R6)</f>
        <v>-12.592592592592592</v>
      </c>
      <c r="T6" s="18">
        <v>44593</v>
      </c>
      <c r="U6" s="16">
        <v>454</v>
      </c>
      <c r="V6" s="16">
        <v>470</v>
      </c>
      <c r="W6" s="16">
        <v>400</v>
      </c>
      <c r="X6" s="16">
        <v>446</v>
      </c>
      <c r="Y6" s="16">
        <v>446</v>
      </c>
      <c r="Z6" s="16">
        <v>3294200</v>
      </c>
      <c r="AA6" s="16">
        <v>-8</v>
      </c>
      <c r="AB6" s="16">
        <f>AA6/U6*100</f>
        <v>-1.7621145374449341</v>
      </c>
      <c r="AC6" s="16">
        <f>MEDIAN(AB2:AB6)</f>
        <v>-1.7621145374449341</v>
      </c>
      <c r="AD6" s="18">
        <v>44621</v>
      </c>
      <c r="AE6" s="16">
        <v>449</v>
      </c>
      <c r="AF6" s="16">
        <v>463</v>
      </c>
      <c r="AG6" s="16">
        <v>366</v>
      </c>
      <c r="AH6" s="16">
        <v>426</v>
      </c>
      <c r="AI6" s="16">
        <v>426</v>
      </c>
      <c r="AJ6" s="16">
        <v>5075800</v>
      </c>
      <c r="AK6" s="16">
        <v>-23</v>
      </c>
      <c r="AL6" s="16">
        <f>AK6/AE6*100</f>
        <v>-5.1224944320712691</v>
      </c>
      <c r="AM6" s="16">
        <f>MEDIAN(AL2:AL6)</f>
        <v>-3.0344827586206895</v>
      </c>
      <c r="AN6" s="18">
        <v>44652</v>
      </c>
      <c r="AO6" s="16">
        <v>428</v>
      </c>
      <c r="AP6" s="16">
        <v>483</v>
      </c>
      <c r="AQ6" s="16">
        <v>323</v>
      </c>
      <c r="AR6" s="16">
        <v>330</v>
      </c>
      <c r="AS6" s="16">
        <v>330</v>
      </c>
      <c r="AT6" s="16">
        <v>5739900</v>
      </c>
      <c r="AU6" s="16">
        <v>-98</v>
      </c>
      <c r="AV6" s="16">
        <f>AU6/AO6*100</f>
        <v>-22.897196261682243</v>
      </c>
      <c r="AW6" s="16">
        <f>MEDIAN(AV2:AV6)</f>
        <v>-3.3898305084745761</v>
      </c>
      <c r="AX6" s="18">
        <v>44683</v>
      </c>
      <c r="AY6" s="16">
        <v>326</v>
      </c>
      <c r="AZ6" s="16">
        <v>348</v>
      </c>
      <c r="BA6" s="16">
        <v>285</v>
      </c>
      <c r="BB6" s="16">
        <v>346</v>
      </c>
      <c r="BC6" s="16">
        <v>346</v>
      </c>
      <c r="BD6" s="16">
        <v>7729500</v>
      </c>
      <c r="BE6" s="16">
        <v>20</v>
      </c>
      <c r="BF6" s="16">
        <f>BE6/AY6*100</f>
        <v>6.1349693251533743</v>
      </c>
      <c r="BG6" s="16">
        <f>MEDIAN(BF2:BF6)</f>
        <v>-2.745664739884393</v>
      </c>
      <c r="BH6" s="18">
        <v>44713</v>
      </c>
      <c r="BI6" s="16">
        <v>345</v>
      </c>
      <c r="BJ6" s="16">
        <v>385</v>
      </c>
      <c r="BK6" s="16">
        <v>304</v>
      </c>
      <c r="BL6" s="16">
        <v>323</v>
      </c>
      <c r="BM6" s="16">
        <v>323</v>
      </c>
      <c r="BN6" s="16">
        <v>10034700</v>
      </c>
      <c r="BO6" s="16">
        <v>-22</v>
      </c>
      <c r="BP6" s="16">
        <f>BO6/BI6*100</f>
        <v>-6.3768115942028984</v>
      </c>
      <c r="BQ6" s="16">
        <f>MEDIAN(BP2:BP6)</f>
        <v>-1.6666666666666667</v>
      </c>
      <c r="BR6" s="18">
        <v>44743</v>
      </c>
      <c r="BS6" s="16">
        <v>324</v>
      </c>
      <c r="BT6" s="16">
        <v>337</v>
      </c>
      <c r="BU6" s="16">
        <v>305</v>
      </c>
      <c r="BV6" s="16">
        <v>314</v>
      </c>
      <c r="BW6" s="16">
        <v>314</v>
      </c>
      <c r="BX6" s="16">
        <v>3722700</v>
      </c>
      <c r="BY6" s="16">
        <v>-10</v>
      </c>
      <c r="BZ6" s="16">
        <f>BY6/BS6*100</f>
        <v>-3.0864197530864197</v>
      </c>
      <c r="CA6" s="16">
        <f>MEDIAN(BZ2:BZ6)</f>
        <v>-9.8795180722891569</v>
      </c>
      <c r="CB6" s="18">
        <v>44774</v>
      </c>
      <c r="CC6" s="16">
        <v>317</v>
      </c>
      <c r="CD6" s="16">
        <v>367</v>
      </c>
      <c r="CE6" s="16">
        <v>305</v>
      </c>
      <c r="CF6" s="16">
        <v>360</v>
      </c>
      <c r="CG6" s="16">
        <v>360</v>
      </c>
      <c r="CH6" s="16">
        <v>5917600</v>
      </c>
      <c r="CI6" s="16">
        <v>43</v>
      </c>
      <c r="CJ6" s="16">
        <f>CI6/CC6*100</f>
        <v>13.564668769716087</v>
      </c>
      <c r="CK6" s="16">
        <f>MEDIAN(CJ2:CJ6)</f>
        <v>13.564668769716087</v>
      </c>
      <c r="CL6" s="18">
        <v>44805</v>
      </c>
      <c r="CM6" s="16">
        <v>355</v>
      </c>
      <c r="CN6" s="16">
        <v>369</v>
      </c>
      <c r="CO6" s="16">
        <v>306</v>
      </c>
      <c r="CP6" s="16">
        <v>314</v>
      </c>
      <c r="CQ6" s="16">
        <v>314</v>
      </c>
      <c r="CR6" s="16">
        <v>6013300</v>
      </c>
      <c r="CS6" s="16">
        <v>-41</v>
      </c>
      <c r="CT6" s="16">
        <f>CS6/CM6*100</f>
        <v>-11.549295774647888</v>
      </c>
      <c r="CU6" s="16">
        <f>MEDIAN(CT2:CT6)</f>
        <v>-3.5874439461883409</v>
      </c>
      <c r="CV6" s="18">
        <v>44837</v>
      </c>
      <c r="CW6" s="16">
        <v>307</v>
      </c>
      <c r="CX6" s="16">
        <v>357</v>
      </c>
      <c r="CY6" s="16">
        <v>293</v>
      </c>
      <c r="CZ6" s="16">
        <v>351</v>
      </c>
      <c r="DA6" s="16">
        <v>351</v>
      </c>
      <c r="DB6" s="16">
        <v>5032800</v>
      </c>
      <c r="DC6" s="16">
        <v>44</v>
      </c>
      <c r="DD6" s="16">
        <f>DC6/CW6*100</f>
        <v>14.332247557003258</v>
      </c>
      <c r="DE6" s="16">
        <f>MEDIAN(DD2:DD6)</f>
        <v>0</v>
      </c>
      <c r="DF6" s="18">
        <v>44866</v>
      </c>
      <c r="DG6" s="16">
        <v>347</v>
      </c>
      <c r="DH6" s="16">
        <v>355</v>
      </c>
      <c r="DI6" s="16">
        <v>288</v>
      </c>
      <c r="DJ6" s="16">
        <v>300</v>
      </c>
      <c r="DK6" s="16">
        <v>300</v>
      </c>
      <c r="DL6" s="16">
        <v>5777600</v>
      </c>
      <c r="DM6" s="16">
        <v>-47</v>
      </c>
      <c r="DN6" s="16">
        <f>DM6/DG6*100</f>
        <v>-13.544668587896252</v>
      </c>
      <c r="DO6" s="16">
        <f>MEDIAN(DN2:DN6)</f>
        <v>0</v>
      </c>
      <c r="DP6" s="18">
        <v>44896</v>
      </c>
      <c r="DQ6" s="16">
        <v>307</v>
      </c>
      <c r="DR6" s="16">
        <v>307</v>
      </c>
      <c r="DS6" s="16">
        <v>235</v>
      </c>
      <c r="DT6" s="16">
        <v>282</v>
      </c>
      <c r="DU6" s="16">
        <v>282</v>
      </c>
      <c r="DV6" s="16">
        <v>12242900</v>
      </c>
      <c r="DW6" s="16">
        <v>-25</v>
      </c>
      <c r="DX6" s="16">
        <f>DW6/DQ6*100</f>
        <v>-8.1433224755700326</v>
      </c>
      <c r="DY6" s="16">
        <f>MEDIAN(DX2:DX6)</f>
        <v>-9.1729323308270683</v>
      </c>
    </row>
    <row r="7" spans="1:129">
      <c r="A7" s="17">
        <v>43252</v>
      </c>
      <c r="B7" s="16">
        <v>961</v>
      </c>
      <c r="C7" s="16">
        <v>1043</v>
      </c>
      <c r="D7" s="16">
        <v>801</v>
      </c>
      <c r="E7" s="16">
        <v>848</v>
      </c>
      <c r="F7" s="16">
        <v>848</v>
      </c>
      <c r="G7" s="16">
        <v>10444100</v>
      </c>
      <c r="H7" s="16">
        <f t="shared" si="0"/>
        <v>-113</v>
      </c>
    </row>
    <row r="8" spans="1:129">
      <c r="A8" s="17">
        <v>43283</v>
      </c>
      <c r="B8" s="16">
        <v>857</v>
      </c>
      <c r="C8" s="16">
        <v>950</v>
      </c>
      <c r="D8" s="16">
        <v>604</v>
      </c>
      <c r="E8" s="16">
        <v>620</v>
      </c>
      <c r="F8" s="16">
        <v>620</v>
      </c>
      <c r="G8" s="16">
        <v>17972500</v>
      </c>
      <c r="H8" s="16">
        <f t="shared" si="0"/>
        <v>-237</v>
      </c>
    </row>
    <row r="9" spans="1:129">
      <c r="A9" s="17">
        <v>43313</v>
      </c>
      <c r="B9" s="16">
        <v>620</v>
      </c>
      <c r="C9" s="16">
        <v>849</v>
      </c>
      <c r="D9" s="16">
        <v>521</v>
      </c>
      <c r="E9" s="16">
        <v>676</v>
      </c>
      <c r="F9" s="16">
        <v>676</v>
      </c>
      <c r="G9" s="16">
        <v>25725500</v>
      </c>
      <c r="H9" s="16">
        <f t="shared" si="0"/>
        <v>56</v>
      </c>
    </row>
    <row r="10" spans="1:129">
      <c r="A10" s="17">
        <v>43346</v>
      </c>
      <c r="B10" s="16">
        <v>669</v>
      </c>
      <c r="C10" s="16">
        <v>711</v>
      </c>
      <c r="D10" s="16">
        <v>578</v>
      </c>
      <c r="E10" s="16">
        <v>645</v>
      </c>
      <c r="F10" s="16">
        <v>645</v>
      </c>
      <c r="G10" s="16">
        <v>11218200</v>
      </c>
      <c r="H10" s="16">
        <f t="shared" si="0"/>
        <v>-24</v>
      </c>
    </row>
    <row r="11" spans="1:129">
      <c r="A11" s="17">
        <v>43374</v>
      </c>
      <c r="B11" s="16">
        <v>652</v>
      </c>
      <c r="C11" s="16">
        <v>739</v>
      </c>
      <c r="D11" s="16">
        <v>510</v>
      </c>
      <c r="E11" s="16">
        <v>630</v>
      </c>
      <c r="F11" s="16">
        <v>630</v>
      </c>
      <c r="G11" s="16">
        <v>21063500</v>
      </c>
      <c r="H11" s="16">
        <f t="shared" si="0"/>
        <v>-22</v>
      </c>
    </row>
    <row r="12" spans="1:129">
      <c r="A12" s="17">
        <v>43405</v>
      </c>
      <c r="B12" s="16">
        <v>616</v>
      </c>
      <c r="C12" s="16">
        <v>815</v>
      </c>
      <c r="D12" s="16">
        <v>581</v>
      </c>
      <c r="E12" s="16">
        <v>696</v>
      </c>
      <c r="F12" s="16">
        <v>696</v>
      </c>
      <c r="G12" s="16">
        <v>11303900</v>
      </c>
      <c r="H12" s="16">
        <f t="shared" si="0"/>
        <v>80</v>
      </c>
    </row>
    <row r="13" spans="1:129">
      <c r="A13" s="17">
        <v>43437</v>
      </c>
      <c r="B13" s="16">
        <v>703</v>
      </c>
      <c r="C13" s="16">
        <v>721</v>
      </c>
      <c r="D13" s="16">
        <v>466</v>
      </c>
      <c r="E13" s="16">
        <v>532</v>
      </c>
      <c r="F13" s="16">
        <v>532</v>
      </c>
      <c r="G13" s="16">
        <v>8986400</v>
      </c>
      <c r="H13" s="16">
        <f t="shared" si="0"/>
        <v>-171</v>
      </c>
    </row>
    <row r="14" spans="1:129">
      <c r="A14" s="17">
        <v>43469</v>
      </c>
      <c r="B14" s="16">
        <v>510</v>
      </c>
      <c r="C14" s="16">
        <v>844</v>
      </c>
      <c r="D14" s="16">
        <v>505</v>
      </c>
      <c r="E14" s="16">
        <v>837</v>
      </c>
      <c r="F14" s="16">
        <v>837</v>
      </c>
      <c r="G14" s="16">
        <v>15816200</v>
      </c>
      <c r="H14" s="16">
        <f t="shared" si="0"/>
        <v>327</v>
      </c>
    </row>
    <row r="15" spans="1:129">
      <c r="A15" s="17">
        <v>43497</v>
      </c>
      <c r="B15" s="16">
        <v>837</v>
      </c>
      <c r="C15" s="16">
        <v>950</v>
      </c>
      <c r="D15" s="16">
        <v>812</v>
      </c>
      <c r="E15" s="16">
        <v>908</v>
      </c>
      <c r="F15" s="16">
        <v>908</v>
      </c>
      <c r="G15" s="16">
        <v>10594400</v>
      </c>
      <c r="H15" s="16">
        <f t="shared" si="0"/>
        <v>71</v>
      </c>
    </row>
    <row r="16" spans="1:129">
      <c r="A16" s="17">
        <v>43525</v>
      </c>
      <c r="B16" s="16">
        <v>918</v>
      </c>
      <c r="C16" s="16">
        <v>1018</v>
      </c>
      <c r="D16" s="16">
        <v>837</v>
      </c>
      <c r="E16" s="16">
        <v>968</v>
      </c>
      <c r="F16" s="16">
        <v>968</v>
      </c>
      <c r="G16" s="16">
        <v>7585900</v>
      </c>
      <c r="H16" s="16">
        <f t="shared" si="0"/>
        <v>50</v>
      </c>
    </row>
    <row r="17" spans="1:8">
      <c r="A17" s="17">
        <v>43556</v>
      </c>
      <c r="B17" s="16">
        <v>969</v>
      </c>
      <c r="C17" s="16">
        <v>1114</v>
      </c>
      <c r="D17" s="16">
        <v>841</v>
      </c>
      <c r="E17" s="16">
        <v>1062</v>
      </c>
      <c r="F17" s="16">
        <v>1062</v>
      </c>
      <c r="G17" s="16">
        <v>9497100</v>
      </c>
      <c r="H17" s="16">
        <f t="shared" si="0"/>
        <v>93</v>
      </c>
    </row>
    <row r="18" spans="1:8">
      <c r="A18" s="17">
        <v>43592</v>
      </c>
      <c r="B18" s="16">
        <v>1062</v>
      </c>
      <c r="C18" s="16">
        <v>1080</v>
      </c>
      <c r="D18" s="16">
        <v>810</v>
      </c>
      <c r="E18" s="16">
        <v>813</v>
      </c>
      <c r="F18" s="16">
        <v>813</v>
      </c>
      <c r="G18" s="16">
        <v>5498700</v>
      </c>
      <c r="H18" s="16">
        <f t="shared" si="0"/>
        <v>-249</v>
      </c>
    </row>
    <row r="19" spans="1:8">
      <c r="A19" s="17">
        <v>43619</v>
      </c>
      <c r="B19" s="16">
        <v>805</v>
      </c>
      <c r="C19" s="16">
        <v>877</v>
      </c>
      <c r="D19" s="16">
        <v>777</v>
      </c>
      <c r="E19" s="16">
        <v>821</v>
      </c>
      <c r="F19" s="16">
        <v>821</v>
      </c>
      <c r="G19" s="16">
        <v>3277700</v>
      </c>
      <c r="H19" s="16">
        <f t="shared" si="0"/>
        <v>16</v>
      </c>
    </row>
    <row r="20" spans="1:8">
      <c r="A20" s="17">
        <v>43647</v>
      </c>
      <c r="B20" s="16">
        <v>830</v>
      </c>
      <c r="C20" s="16">
        <v>920</v>
      </c>
      <c r="D20" s="16">
        <v>744</v>
      </c>
      <c r="E20" s="16">
        <v>748</v>
      </c>
      <c r="F20" s="16">
        <v>748</v>
      </c>
      <c r="G20" s="16">
        <v>6634900</v>
      </c>
      <c r="H20" s="16">
        <f t="shared" si="0"/>
        <v>-82</v>
      </c>
    </row>
    <row r="21" spans="1:8">
      <c r="A21" s="17">
        <v>43678</v>
      </c>
      <c r="B21" s="16">
        <v>747</v>
      </c>
      <c r="C21" s="16">
        <v>898</v>
      </c>
      <c r="D21" s="16">
        <v>662</v>
      </c>
      <c r="E21" s="16">
        <v>895</v>
      </c>
      <c r="F21" s="16">
        <v>895</v>
      </c>
      <c r="G21" s="16">
        <v>6071100</v>
      </c>
      <c r="H21" s="16">
        <f t="shared" si="0"/>
        <v>148</v>
      </c>
    </row>
    <row r="22" spans="1:8">
      <c r="A22" s="17">
        <v>43710</v>
      </c>
      <c r="B22" s="16">
        <v>887</v>
      </c>
      <c r="C22" s="16">
        <v>928</v>
      </c>
      <c r="D22" s="16">
        <v>787</v>
      </c>
      <c r="E22" s="16">
        <v>787</v>
      </c>
      <c r="F22" s="16">
        <v>787</v>
      </c>
      <c r="G22" s="16">
        <v>2998400</v>
      </c>
      <c r="H22" s="16">
        <f t="shared" si="0"/>
        <v>-100</v>
      </c>
    </row>
    <row r="23" spans="1:8">
      <c r="A23" s="17">
        <v>43739</v>
      </c>
      <c r="B23" s="16">
        <v>800</v>
      </c>
      <c r="C23" s="16">
        <v>807</v>
      </c>
      <c r="D23" s="16">
        <v>683</v>
      </c>
      <c r="E23" s="16">
        <v>736</v>
      </c>
      <c r="F23" s="16">
        <v>736</v>
      </c>
      <c r="G23" s="16">
        <v>6705100</v>
      </c>
      <c r="H23" s="16">
        <f t="shared" si="0"/>
        <v>-64</v>
      </c>
    </row>
    <row r="24" spans="1:8">
      <c r="A24" s="17">
        <v>43770</v>
      </c>
      <c r="B24" s="16">
        <v>729</v>
      </c>
      <c r="C24" s="16">
        <v>787</v>
      </c>
      <c r="D24" s="16">
        <v>654</v>
      </c>
      <c r="E24" s="16">
        <v>729</v>
      </c>
      <c r="F24" s="16">
        <v>729</v>
      </c>
      <c r="G24" s="16">
        <v>6618300</v>
      </c>
      <c r="H24" s="16">
        <f t="shared" si="0"/>
        <v>0</v>
      </c>
    </row>
    <row r="25" spans="1:8">
      <c r="A25" s="17">
        <v>43801</v>
      </c>
      <c r="B25" s="16">
        <v>726</v>
      </c>
      <c r="C25" s="16">
        <v>735</v>
      </c>
      <c r="D25" s="16">
        <v>603</v>
      </c>
      <c r="E25" s="16">
        <v>610</v>
      </c>
      <c r="F25" s="16">
        <v>610</v>
      </c>
      <c r="G25" s="16">
        <v>5871000</v>
      </c>
      <c r="H25" s="16">
        <f t="shared" si="0"/>
        <v>-116</v>
      </c>
    </row>
    <row r="26" spans="1:8">
      <c r="A26" s="17">
        <v>43836</v>
      </c>
      <c r="B26" s="16">
        <v>607</v>
      </c>
      <c r="C26" s="16">
        <v>621</v>
      </c>
      <c r="D26" s="16">
        <v>495</v>
      </c>
      <c r="E26" s="16">
        <v>514</v>
      </c>
      <c r="F26" s="16">
        <v>514</v>
      </c>
      <c r="G26" s="16">
        <v>7044900</v>
      </c>
      <c r="H26" s="16">
        <f t="shared" si="0"/>
        <v>-93</v>
      </c>
    </row>
    <row r="27" spans="1:8">
      <c r="A27" s="17">
        <v>43864</v>
      </c>
      <c r="B27" s="16">
        <v>504</v>
      </c>
      <c r="C27" s="16">
        <v>542</v>
      </c>
      <c r="D27" s="16">
        <v>371</v>
      </c>
      <c r="E27" s="16">
        <v>377</v>
      </c>
      <c r="F27" s="16">
        <v>377</v>
      </c>
      <c r="G27" s="16">
        <v>6342400</v>
      </c>
      <c r="H27" s="16">
        <f t="shared" si="0"/>
        <v>-127</v>
      </c>
    </row>
    <row r="28" spans="1:8">
      <c r="A28" s="17">
        <v>43892</v>
      </c>
      <c r="B28" s="16">
        <v>369</v>
      </c>
      <c r="C28" s="16">
        <v>411</v>
      </c>
      <c r="D28" s="16">
        <v>201</v>
      </c>
      <c r="E28" s="16">
        <v>233</v>
      </c>
      <c r="F28" s="16">
        <v>233</v>
      </c>
      <c r="G28" s="16">
        <v>14429600</v>
      </c>
      <c r="H28" s="16">
        <f t="shared" si="0"/>
        <v>-136</v>
      </c>
    </row>
    <row r="29" spans="1:8">
      <c r="A29" s="17">
        <v>43922</v>
      </c>
      <c r="B29" s="16">
        <v>238</v>
      </c>
      <c r="C29" s="16">
        <v>298</v>
      </c>
      <c r="D29" s="16">
        <v>200</v>
      </c>
      <c r="E29" s="16">
        <v>293</v>
      </c>
      <c r="F29" s="16">
        <v>293</v>
      </c>
      <c r="G29" s="16">
        <v>12311400</v>
      </c>
      <c r="H29" s="16">
        <f t="shared" si="0"/>
        <v>55</v>
      </c>
    </row>
    <row r="30" spans="1:8">
      <c r="A30" s="17">
        <v>43952</v>
      </c>
      <c r="B30" s="16">
        <v>288</v>
      </c>
      <c r="C30" s="16">
        <v>388</v>
      </c>
      <c r="D30" s="16">
        <v>285</v>
      </c>
      <c r="E30" s="16">
        <v>355</v>
      </c>
      <c r="F30" s="16">
        <v>355</v>
      </c>
      <c r="G30" s="16">
        <v>16068500</v>
      </c>
      <c r="H30" s="16">
        <f t="shared" si="0"/>
        <v>67</v>
      </c>
    </row>
    <row r="31" spans="1:8">
      <c r="A31" s="17">
        <v>43983</v>
      </c>
      <c r="B31" s="16">
        <v>360</v>
      </c>
      <c r="C31" s="16">
        <v>411</v>
      </c>
      <c r="D31" s="16">
        <v>341</v>
      </c>
      <c r="E31" s="16">
        <v>354</v>
      </c>
      <c r="F31" s="16">
        <v>354</v>
      </c>
      <c r="G31" s="16">
        <v>19530600</v>
      </c>
      <c r="H31" s="16">
        <f t="shared" si="0"/>
        <v>-6</v>
      </c>
    </row>
    <row r="32" spans="1:8">
      <c r="A32" s="17">
        <v>44013</v>
      </c>
      <c r="B32" s="16">
        <v>356</v>
      </c>
      <c r="C32" s="16">
        <v>387</v>
      </c>
      <c r="D32" s="16">
        <v>269</v>
      </c>
      <c r="E32" s="16">
        <v>272</v>
      </c>
      <c r="F32" s="16">
        <v>272</v>
      </c>
      <c r="G32" s="16">
        <v>19877400</v>
      </c>
      <c r="H32" s="16">
        <f t="shared" si="0"/>
        <v>-84</v>
      </c>
    </row>
    <row r="33" spans="1:8">
      <c r="A33" s="17">
        <v>44046</v>
      </c>
      <c r="B33" s="16">
        <v>277</v>
      </c>
      <c r="C33" s="16">
        <v>363</v>
      </c>
      <c r="D33" s="16">
        <v>268</v>
      </c>
      <c r="E33" s="16">
        <v>357</v>
      </c>
      <c r="F33" s="16">
        <v>357</v>
      </c>
      <c r="G33" s="16">
        <v>13835900</v>
      </c>
      <c r="H33" s="16">
        <f t="shared" si="0"/>
        <v>80</v>
      </c>
    </row>
    <row r="34" spans="1:8">
      <c r="A34" s="17">
        <v>44075</v>
      </c>
      <c r="B34" s="16">
        <v>352</v>
      </c>
      <c r="C34" s="16">
        <v>418</v>
      </c>
      <c r="D34" s="16">
        <v>346</v>
      </c>
      <c r="E34" s="16">
        <v>395</v>
      </c>
      <c r="F34" s="16">
        <v>395</v>
      </c>
      <c r="G34" s="16">
        <v>9977300</v>
      </c>
      <c r="H34" s="16">
        <f t="shared" ref="H34:H61" si="1">E34-B34</f>
        <v>43</v>
      </c>
    </row>
    <row r="35" spans="1:8">
      <c r="A35" s="17">
        <v>44106</v>
      </c>
      <c r="B35" s="16">
        <v>398</v>
      </c>
      <c r="C35" s="16">
        <v>419</v>
      </c>
      <c r="D35" s="16">
        <v>352</v>
      </c>
      <c r="E35" s="16">
        <v>400</v>
      </c>
      <c r="F35" s="16">
        <v>400</v>
      </c>
      <c r="G35" s="16">
        <v>9782500</v>
      </c>
      <c r="H35" s="16">
        <f t="shared" si="1"/>
        <v>2</v>
      </c>
    </row>
    <row r="36" spans="1:8">
      <c r="A36" s="17">
        <v>44137</v>
      </c>
      <c r="B36" s="16">
        <v>398</v>
      </c>
      <c r="C36" s="16">
        <v>520</v>
      </c>
      <c r="D36" s="16">
        <v>367</v>
      </c>
      <c r="E36" s="16">
        <v>487</v>
      </c>
      <c r="F36" s="16">
        <v>487</v>
      </c>
      <c r="G36" s="16">
        <v>20150600</v>
      </c>
      <c r="H36" s="16">
        <f t="shared" si="1"/>
        <v>89</v>
      </c>
    </row>
    <row r="37" spans="1:8">
      <c r="A37" s="17">
        <v>44166</v>
      </c>
      <c r="B37" s="16">
        <v>487</v>
      </c>
      <c r="C37" s="16">
        <v>554</v>
      </c>
      <c r="D37" s="16">
        <v>484</v>
      </c>
      <c r="E37" s="16">
        <v>530</v>
      </c>
      <c r="F37" s="16">
        <v>530</v>
      </c>
      <c r="G37" s="16">
        <v>11700900</v>
      </c>
      <c r="H37" s="16">
        <f t="shared" si="1"/>
        <v>43</v>
      </c>
    </row>
    <row r="38" spans="1:8">
      <c r="A38" s="17">
        <v>44200</v>
      </c>
      <c r="B38" s="16">
        <v>540</v>
      </c>
      <c r="C38" s="16">
        <v>543</v>
      </c>
      <c r="D38" s="16">
        <v>444</v>
      </c>
      <c r="E38" s="16">
        <v>472</v>
      </c>
      <c r="F38" s="16">
        <v>472</v>
      </c>
      <c r="G38" s="16">
        <v>9116800</v>
      </c>
      <c r="H38" s="16">
        <f t="shared" si="1"/>
        <v>-68</v>
      </c>
    </row>
    <row r="39" spans="1:8">
      <c r="A39" s="17">
        <v>44228</v>
      </c>
      <c r="B39" s="16">
        <v>468</v>
      </c>
      <c r="C39" s="16">
        <v>770</v>
      </c>
      <c r="D39" s="16">
        <v>465</v>
      </c>
      <c r="E39" s="16">
        <v>714</v>
      </c>
      <c r="F39" s="16">
        <v>714</v>
      </c>
      <c r="G39" s="16">
        <v>18789400</v>
      </c>
      <c r="H39" s="16">
        <f t="shared" si="1"/>
        <v>246</v>
      </c>
    </row>
    <row r="40" spans="1:8">
      <c r="A40" s="17">
        <v>44256</v>
      </c>
      <c r="B40" s="16">
        <v>725</v>
      </c>
      <c r="C40" s="16">
        <v>840</v>
      </c>
      <c r="D40" s="16">
        <v>673</v>
      </c>
      <c r="E40" s="16">
        <v>703</v>
      </c>
      <c r="F40" s="16">
        <v>703</v>
      </c>
      <c r="G40" s="16">
        <v>11390600</v>
      </c>
      <c r="H40" s="16">
        <f t="shared" si="1"/>
        <v>-22</v>
      </c>
    </row>
    <row r="41" spans="1:8">
      <c r="A41" s="17">
        <v>44287</v>
      </c>
      <c r="B41" s="16">
        <v>708</v>
      </c>
      <c r="C41" s="16">
        <v>770</v>
      </c>
      <c r="D41" s="16">
        <v>602</v>
      </c>
      <c r="E41" s="16">
        <v>684</v>
      </c>
      <c r="F41" s="16">
        <v>684</v>
      </c>
      <c r="G41" s="16">
        <v>7004100</v>
      </c>
      <c r="H41" s="16">
        <f t="shared" si="1"/>
        <v>-24</v>
      </c>
    </row>
    <row r="42" spans="1:8">
      <c r="A42" s="17">
        <v>44322</v>
      </c>
      <c r="B42" s="16">
        <v>692</v>
      </c>
      <c r="C42" s="16">
        <v>749</v>
      </c>
      <c r="D42" s="16">
        <v>639</v>
      </c>
      <c r="E42" s="16">
        <v>673</v>
      </c>
      <c r="F42" s="16">
        <v>673</v>
      </c>
      <c r="G42" s="16">
        <v>6775100</v>
      </c>
      <c r="H42" s="16">
        <f t="shared" si="1"/>
        <v>-19</v>
      </c>
    </row>
    <row r="43" spans="1:8">
      <c r="A43" s="17">
        <v>44348</v>
      </c>
      <c r="B43" s="16">
        <v>682</v>
      </c>
      <c r="C43" s="16">
        <v>822</v>
      </c>
      <c r="D43" s="16">
        <v>679</v>
      </c>
      <c r="E43" s="16">
        <v>700</v>
      </c>
      <c r="F43" s="16">
        <v>700</v>
      </c>
      <c r="G43" s="16">
        <v>6120000</v>
      </c>
      <c r="H43" s="16">
        <f t="shared" si="1"/>
        <v>18</v>
      </c>
    </row>
    <row r="44" spans="1:8">
      <c r="A44" s="17">
        <v>44378</v>
      </c>
      <c r="B44" s="16">
        <v>707</v>
      </c>
      <c r="C44" s="16">
        <v>750</v>
      </c>
      <c r="D44" s="16">
        <v>642</v>
      </c>
      <c r="E44" s="16">
        <v>733</v>
      </c>
      <c r="F44" s="16">
        <v>733</v>
      </c>
      <c r="G44" s="16">
        <v>7129600</v>
      </c>
      <c r="H44" s="16">
        <f t="shared" si="1"/>
        <v>26</v>
      </c>
    </row>
    <row r="45" spans="1:8">
      <c r="A45" s="17">
        <v>44410</v>
      </c>
      <c r="B45" s="16">
        <v>726</v>
      </c>
      <c r="C45" s="16">
        <v>727</v>
      </c>
      <c r="D45" s="16">
        <v>557</v>
      </c>
      <c r="E45" s="16">
        <v>609</v>
      </c>
      <c r="F45" s="16">
        <v>609</v>
      </c>
      <c r="G45" s="16">
        <v>5260800</v>
      </c>
      <c r="H45" s="16">
        <f t="shared" si="1"/>
        <v>-117</v>
      </c>
    </row>
    <row r="46" spans="1:8">
      <c r="A46" s="17">
        <v>44440</v>
      </c>
      <c r="B46" s="16">
        <v>606</v>
      </c>
      <c r="C46" s="16">
        <v>719</v>
      </c>
      <c r="D46" s="16">
        <v>591</v>
      </c>
      <c r="E46" s="16">
        <v>708</v>
      </c>
      <c r="F46" s="16">
        <v>708</v>
      </c>
      <c r="G46" s="16">
        <v>4619900</v>
      </c>
      <c r="H46" s="16">
        <f t="shared" si="1"/>
        <v>102</v>
      </c>
    </row>
    <row r="47" spans="1:8">
      <c r="A47" s="17">
        <v>44470</v>
      </c>
      <c r="B47" s="16">
        <v>705</v>
      </c>
      <c r="C47" s="16">
        <v>824</v>
      </c>
      <c r="D47" s="16">
        <v>661</v>
      </c>
      <c r="E47" s="16">
        <v>705</v>
      </c>
      <c r="F47" s="16">
        <v>705</v>
      </c>
      <c r="G47" s="16">
        <v>7954800</v>
      </c>
      <c r="H47" s="16">
        <f t="shared" si="1"/>
        <v>0</v>
      </c>
    </row>
    <row r="48" spans="1:8">
      <c r="A48" s="17">
        <v>44501</v>
      </c>
      <c r="B48" s="16">
        <v>719</v>
      </c>
      <c r="C48" s="16">
        <v>834</v>
      </c>
      <c r="D48" s="16">
        <v>664</v>
      </c>
      <c r="E48" s="16">
        <v>669</v>
      </c>
      <c r="F48" s="16">
        <v>669</v>
      </c>
      <c r="G48" s="16">
        <v>5171600</v>
      </c>
      <c r="H48" s="16">
        <f t="shared" si="1"/>
        <v>-50</v>
      </c>
    </row>
    <row r="49" spans="1:8">
      <c r="A49" s="17">
        <v>44531</v>
      </c>
      <c r="B49" s="16">
        <v>665</v>
      </c>
      <c r="C49" s="16">
        <v>689</v>
      </c>
      <c r="D49" s="16">
        <v>577</v>
      </c>
      <c r="E49" s="16">
        <v>604</v>
      </c>
      <c r="F49" s="16">
        <v>604</v>
      </c>
      <c r="G49" s="16">
        <v>3872700</v>
      </c>
      <c r="H49" s="16">
        <f t="shared" si="1"/>
        <v>-61</v>
      </c>
    </row>
    <row r="50" spans="1:8">
      <c r="A50" s="17">
        <v>44565</v>
      </c>
      <c r="B50" s="16">
        <v>606</v>
      </c>
      <c r="C50" s="16">
        <v>606</v>
      </c>
      <c r="D50" s="16">
        <v>411</v>
      </c>
      <c r="E50" s="16">
        <v>450</v>
      </c>
      <c r="F50" s="16">
        <v>450</v>
      </c>
      <c r="G50" s="16">
        <v>5055600</v>
      </c>
      <c r="H50" s="16">
        <f t="shared" si="1"/>
        <v>-156</v>
      </c>
    </row>
    <row r="51" spans="1:8">
      <c r="A51" s="17">
        <v>44593</v>
      </c>
      <c r="B51" s="16">
        <v>454</v>
      </c>
      <c r="C51" s="16">
        <v>470</v>
      </c>
      <c r="D51" s="16">
        <v>400</v>
      </c>
      <c r="E51" s="16">
        <v>446</v>
      </c>
      <c r="F51" s="16">
        <v>446</v>
      </c>
      <c r="G51" s="16">
        <v>3294200</v>
      </c>
      <c r="H51" s="16">
        <f t="shared" si="1"/>
        <v>-8</v>
      </c>
    </row>
    <row r="52" spans="1:8">
      <c r="A52" s="17">
        <v>44621</v>
      </c>
      <c r="B52" s="16">
        <v>449</v>
      </c>
      <c r="C52" s="16">
        <v>463</v>
      </c>
      <c r="D52" s="16">
        <v>366</v>
      </c>
      <c r="E52" s="16">
        <v>426</v>
      </c>
      <c r="F52" s="16">
        <v>426</v>
      </c>
      <c r="G52" s="16">
        <v>5075800</v>
      </c>
      <c r="H52" s="16">
        <f t="shared" si="1"/>
        <v>-23</v>
      </c>
    </row>
    <row r="53" spans="1:8">
      <c r="A53" s="17">
        <v>44652</v>
      </c>
      <c r="B53" s="16">
        <v>428</v>
      </c>
      <c r="C53" s="16">
        <v>483</v>
      </c>
      <c r="D53" s="16">
        <v>323</v>
      </c>
      <c r="E53" s="16">
        <v>330</v>
      </c>
      <c r="F53" s="16">
        <v>330</v>
      </c>
      <c r="G53" s="16">
        <v>5739900</v>
      </c>
      <c r="H53" s="16">
        <f t="shared" si="1"/>
        <v>-98</v>
      </c>
    </row>
    <row r="54" spans="1:8">
      <c r="A54" s="17">
        <v>44683</v>
      </c>
      <c r="B54" s="16">
        <v>326</v>
      </c>
      <c r="C54" s="16">
        <v>348</v>
      </c>
      <c r="D54" s="16">
        <v>285</v>
      </c>
      <c r="E54" s="16">
        <v>346</v>
      </c>
      <c r="F54" s="16">
        <v>346</v>
      </c>
      <c r="G54" s="16">
        <v>7729500</v>
      </c>
      <c r="H54" s="16">
        <f t="shared" si="1"/>
        <v>20</v>
      </c>
    </row>
    <row r="55" spans="1:8">
      <c r="A55" s="17">
        <v>44713</v>
      </c>
      <c r="B55" s="16">
        <v>345</v>
      </c>
      <c r="C55" s="16">
        <v>385</v>
      </c>
      <c r="D55" s="16">
        <v>304</v>
      </c>
      <c r="E55" s="16">
        <v>323</v>
      </c>
      <c r="F55" s="16">
        <v>323</v>
      </c>
      <c r="G55" s="16">
        <v>10034700</v>
      </c>
      <c r="H55" s="16">
        <f t="shared" si="1"/>
        <v>-22</v>
      </c>
    </row>
    <row r="56" spans="1:8">
      <c r="A56" s="17">
        <v>44743</v>
      </c>
      <c r="B56" s="16">
        <v>324</v>
      </c>
      <c r="C56" s="16">
        <v>337</v>
      </c>
      <c r="D56" s="16">
        <v>305</v>
      </c>
      <c r="E56" s="16">
        <v>314</v>
      </c>
      <c r="F56" s="16">
        <v>314</v>
      </c>
      <c r="G56" s="16">
        <v>3722700</v>
      </c>
      <c r="H56" s="16">
        <f t="shared" si="1"/>
        <v>-10</v>
      </c>
    </row>
    <row r="57" spans="1:8">
      <c r="A57" s="17">
        <v>44774</v>
      </c>
      <c r="B57" s="16">
        <v>317</v>
      </c>
      <c r="C57" s="16">
        <v>367</v>
      </c>
      <c r="D57" s="16">
        <v>305</v>
      </c>
      <c r="E57" s="16">
        <v>360</v>
      </c>
      <c r="F57" s="16">
        <v>360</v>
      </c>
      <c r="G57" s="16">
        <v>5917600</v>
      </c>
      <c r="H57" s="16">
        <f t="shared" si="1"/>
        <v>43</v>
      </c>
    </row>
    <row r="58" spans="1:8">
      <c r="A58" s="17">
        <v>44805</v>
      </c>
      <c r="B58" s="16">
        <v>355</v>
      </c>
      <c r="C58" s="16">
        <v>369</v>
      </c>
      <c r="D58" s="16">
        <v>306</v>
      </c>
      <c r="E58" s="16">
        <v>314</v>
      </c>
      <c r="F58" s="16">
        <v>314</v>
      </c>
      <c r="G58" s="16">
        <v>6013300</v>
      </c>
      <c r="H58" s="16">
        <f t="shared" si="1"/>
        <v>-41</v>
      </c>
    </row>
    <row r="59" spans="1:8">
      <c r="A59" s="17">
        <v>44837</v>
      </c>
      <c r="B59" s="16">
        <v>307</v>
      </c>
      <c r="C59" s="16">
        <v>357</v>
      </c>
      <c r="D59" s="16">
        <v>293</v>
      </c>
      <c r="E59" s="16">
        <v>351</v>
      </c>
      <c r="F59" s="16">
        <v>351</v>
      </c>
      <c r="G59" s="16">
        <v>5032800</v>
      </c>
      <c r="H59" s="16">
        <f t="shared" si="1"/>
        <v>44</v>
      </c>
    </row>
    <row r="60" spans="1:8">
      <c r="A60" s="17">
        <v>44866</v>
      </c>
      <c r="B60" s="16">
        <v>347</v>
      </c>
      <c r="C60" s="16">
        <v>355</v>
      </c>
      <c r="D60" s="16">
        <v>288</v>
      </c>
      <c r="E60" s="16">
        <v>300</v>
      </c>
      <c r="F60" s="16">
        <v>300</v>
      </c>
      <c r="G60" s="16">
        <v>5777600</v>
      </c>
      <c r="H60" s="16">
        <f t="shared" si="1"/>
        <v>-47</v>
      </c>
    </row>
    <row r="61" spans="1:8">
      <c r="A61" s="17">
        <v>44896</v>
      </c>
      <c r="B61" s="16">
        <v>307</v>
      </c>
      <c r="C61" s="16">
        <v>307</v>
      </c>
      <c r="D61" s="16">
        <v>235</v>
      </c>
      <c r="E61" s="16">
        <v>282</v>
      </c>
      <c r="F61" s="16">
        <v>282</v>
      </c>
      <c r="G61" s="16">
        <v>12242900</v>
      </c>
      <c r="H61" s="16">
        <f t="shared" si="1"/>
        <v>-25</v>
      </c>
    </row>
  </sheetData>
  <phoneticPr fontId="32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E8806-6AE1-44AD-8941-3152BFF9C604}">
  <sheetPr codeName="Sheet17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1493</v>
      </c>
      <c r="C2" s="16">
        <v>1505</v>
      </c>
      <c r="D2" s="16">
        <v>1361</v>
      </c>
      <c r="E2" s="16">
        <v>1361</v>
      </c>
      <c r="F2" s="16">
        <v>1361</v>
      </c>
      <c r="G2" s="16">
        <v>241200</v>
      </c>
      <c r="H2" s="16">
        <f t="shared" ref="H2:H33" si="0">E2-B2</f>
        <v>-132</v>
      </c>
      <c r="J2" s="18" cm="1">
        <f t="array" ref="J2:Q6">_xlfn._xlws.FILTER(A2:H61,MONTH(A2:A61)=1,"")</f>
        <v>43104</v>
      </c>
      <c r="K2" s="16">
        <v>1493</v>
      </c>
      <c r="L2" s="16">
        <v>1505</v>
      </c>
      <c r="M2" s="16">
        <v>1361</v>
      </c>
      <c r="N2" s="16">
        <v>1361</v>
      </c>
      <c r="O2" s="16">
        <v>1361</v>
      </c>
      <c r="P2" s="16">
        <v>241200</v>
      </c>
      <c r="Q2" s="16">
        <v>-132</v>
      </c>
      <c r="R2" s="16">
        <f>Q2/K2*100</f>
        <v>-8.8412592096450098</v>
      </c>
      <c r="S2" s="16">
        <f>COUNT(Q2:Q6)</f>
        <v>5</v>
      </c>
      <c r="T2" s="18" cm="1">
        <f t="array" ref="T2:AA6">_xlfn._xlws.FILTER(A2:H61,MONTH(A2:A61)=2,"")</f>
        <v>43132</v>
      </c>
      <c r="U2" s="16">
        <v>1361</v>
      </c>
      <c r="V2" s="16">
        <v>1362</v>
      </c>
      <c r="W2" s="16">
        <v>1235</v>
      </c>
      <c r="X2" s="16">
        <v>1316</v>
      </c>
      <c r="Y2" s="16">
        <v>1316</v>
      </c>
      <c r="Z2" s="16">
        <v>63200</v>
      </c>
      <c r="AA2" s="16">
        <v>-45</v>
      </c>
      <c r="AB2" s="16">
        <f>AA2/U2*100</f>
        <v>-3.306392358559882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1316</v>
      </c>
      <c r="AF2" s="16">
        <v>1412</v>
      </c>
      <c r="AG2" s="16">
        <v>1306</v>
      </c>
      <c r="AH2" s="16">
        <v>1388</v>
      </c>
      <c r="AI2" s="16">
        <v>1388</v>
      </c>
      <c r="AJ2" s="16">
        <v>63500</v>
      </c>
      <c r="AK2" s="16">
        <v>72</v>
      </c>
      <c r="AL2" s="16">
        <f>AK2/AE2*100</f>
        <v>5.4711246200607899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1394</v>
      </c>
      <c r="AP2" s="16">
        <v>1415</v>
      </c>
      <c r="AQ2" s="16">
        <v>1368</v>
      </c>
      <c r="AR2" s="16">
        <v>1400</v>
      </c>
      <c r="AS2" s="16">
        <v>1400</v>
      </c>
      <c r="AT2" s="16">
        <v>45600</v>
      </c>
      <c r="AU2" s="16">
        <v>6</v>
      </c>
      <c r="AV2" s="16">
        <f>AU2/AO2*100</f>
        <v>0.43041606886657102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1400</v>
      </c>
      <c r="AZ2" s="16">
        <v>1473</v>
      </c>
      <c r="BA2" s="16">
        <v>1400</v>
      </c>
      <c r="BB2" s="16">
        <v>1465</v>
      </c>
      <c r="BC2" s="16">
        <v>1465</v>
      </c>
      <c r="BD2" s="16">
        <v>48100</v>
      </c>
      <c r="BE2" s="16">
        <v>65</v>
      </c>
      <c r="BF2" s="16">
        <f>BE2/AY2*100</f>
        <v>4.6428571428571432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1464</v>
      </c>
      <c r="BJ2" s="16">
        <v>1640</v>
      </c>
      <c r="BK2" s="16">
        <v>1455</v>
      </c>
      <c r="BL2" s="16">
        <v>1589</v>
      </c>
      <c r="BM2" s="16">
        <v>1589</v>
      </c>
      <c r="BN2" s="16">
        <v>142200</v>
      </c>
      <c r="BO2" s="16">
        <v>125</v>
      </c>
      <c r="BP2" s="16">
        <f>BO2/BI2*100</f>
        <v>8.5382513661202175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1577</v>
      </c>
      <c r="BT2" s="16">
        <v>1577</v>
      </c>
      <c r="BU2" s="16">
        <v>1440</v>
      </c>
      <c r="BV2" s="16">
        <v>1440</v>
      </c>
      <c r="BW2" s="16">
        <v>1440</v>
      </c>
      <c r="BX2" s="16">
        <v>158400</v>
      </c>
      <c r="BY2" s="16">
        <v>-137</v>
      </c>
      <c r="BZ2" s="16">
        <f>BY2/BS2*100</f>
        <v>-8.6873811033608117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1440</v>
      </c>
      <c r="CD2" s="16">
        <v>1469</v>
      </c>
      <c r="CE2" s="16">
        <v>1400</v>
      </c>
      <c r="CF2" s="16">
        <v>1450</v>
      </c>
      <c r="CG2" s="16">
        <v>1450</v>
      </c>
      <c r="CH2" s="16">
        <v>43000</v>
      </c>
      <c r="CI2" s="16">
        <v>10</v>
      </c>
      <c r="CJ2" s="16">
        <f>CI2/CC2*100</f>
        <v>0.69444444444444442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1455</v>
      </c>
      <c r="CN2" s="16">
        <v>1527</v>
      </c>
      <c r="CO2" s="16">
        <v>1442</v>
      </c>
      <c r="CP2" s="16">
        <v>1519</v>
      </c>
      <c r="CQ2" s="16">
        <v>1519</v>
      </c>
      <c r="CR2" s="16">
        <v>73500</v>
      </c>
      <c r="CS2" s="16">
        <v>64</v>
      </c>
      <c r="CT2" s="16">
        <f>CS2/CM2*100</f>
        <v>4.398625429553265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1519</v>
      </c>
      <c r="CX2" s="16">
        <v>1556</v>
      </c>
      <c r="CY2" s="16">
        <v>1459</v>
      </c>
      <c r="CZ2" s="16">
        <v>1491</v>
      </c>
      <c r="DA2" s="16">
        <v>1491</v>
      </c>
      <c r="DB2" s="16">
        <v>65600</v>
      </c>
      <c r="DC2" s="16">
        <v>-28</v>
      </c>
      <c r="DD2" s="16">
        <f>DC2/CW2*100</f>
        <v>-1.8433179723502304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1491</v>
      </c>
      <c r="DH2" s="16">
        <v>1570</v>
      </c>
      <c r="DI2" s="16">
        <v>1491</v>
      </c>
      <c r="DJ2" s="16">
        <v>1551</v>
      </c>
      <c r="DK2" s="16">
        <v>1551</v>
      </c>
      <c r="DL2" s="16">
        <v>38200</v>
      </c>
      <c r="DM2" s="16">
        <v>60</v>
      </c>
      <c r="DN2" s="16">
        <f>DM2/DG2*100</f>
        <v>4.0241448692152915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1568</v>
      </c>
      <c r="DR2" s="16">
        <v>1724</v>
      </c>
      <c r="DS2" s="16">
        <v>1252</v>
      </c>
      <c r="DT2" s="16">
        <v>1535</v>
      </c>
      <c r="DU2" s="16">
        <v>1535</v>
      </c>
      <c r="DV2" s="16">
        <v>177400</v>
      </c>
      <c r="DW2" s="16">
        <v>-33</v>
      </c>
      <c r="DX2" s="16">
        <f>DW2/DQ2*100</f>
        <v>-2.1045918367346936</v>
      </c>
      <c r="DY2" s="16">
        <f>COUNT(DW2:DW6)</f>
        <v>5</v>
      </c>
    </row>
    <row r="3" spans="1:129">
      <c r="A3" s="17">
        <v>43132</v>
      </c>
      <c r="B3" s="16">
        <v>1361</v>
      </c>
      <c r="C3" s="16">
        <v>1362</v>
      </c>
      <c r="D3" s="16">
        <v>1235</v>
      </c>
      <c r="E3" s="16">
        <v>1316</v>
      </c>
      <c r="F3" s="16">
        <v>1316</v>
      </c>
      <c r="G3" s="16">
        <v>63200</v>
      </c>
      <c r="H3" s="16">
        <f t="shared" si="0"/>
        <v>-45</v>
      </c>
      <c r="J3" s="18">
        <v>43469</v>
      </c>
      <c r="K3" s="16">
        <v>1490</v>
      </c>
      <c r="L3" s="16">
        <v>1595</v>
      </c>
      <c r="M3" s="16">
        <v>1433</v>
      </c>
      <c r="N3" s="16">
        <v>1459</v>
      </c>
      <c r="O3" s="16">
        <v>1459</v>
      </c>
      <c r="P3" s="16">
        <v>119000</v>
      </c>
      <c r="Q3" s="16">
        <v>-31</v>
      </c>
      <c r="R3" s="16">
        <f>Q3/K3*100</f>
        <v>-2.0805369127516777</v>
      </c>
      <c r="S3" s="16">
        <f>COUNTIF(Q2:Q6,"&gt;0")</f>
        <v>1</v>
      </c>
      <c r="T3" s="18">
        <v>43497</v>
      </c>
      <c r="U3" s="16">
        <v>1461</v>
      </c>
      <c r="V3" s="16">
        <v>1487</v>
      </c>
      <c r="W3" s="16">
        <v>1450</v>
      </c>
      <c r="X3" s="16">
        <v>1468</v>
      </c>
      <c r="Y3" s="16">
        <v>1468</v>
      </c>
      <c r="Z3" s="16">
        <v>42000</v>
      </c>
      <c r="AA3" s="16">
        <v>7</v>
      </c>
      <c r="AB3" s="16">
        <f>AA3/U3*100</f>
        <v>0.4791238877481177</v>
      </c>
      <c r="AC3" s="16">
        <f>COUNTIF(AA2:AA6,"&gt;0")</f>
        <v>1</v>
      </c>
      <c r="AD3" s="18">
        <v>43525</v>
      </c>
      <c r="AE3" s="16">
        <v>1466</v>
      </c>
      <c r="AF3" s="16">
        <v>1571</v>
      </c>
      <c r="AG3" s="16">
        <v>1455</v>
      </c>
      <c r="AH3" s="16">
        <v>1503</v>
      </c>
      <c r="AI3" s="16">
        <v>1503</v>
      </c>
      <c r="AJ3" s="16">
        <v>73700</v>
      </c>
      <c r="AK3" s="16">
        <v>37</v>
      </c>
      <c r="AL3" s="16">
        <f>AK3/AE3*100</f>
        <v>2.5238744884038202</v>
      </c>
      <c r="AM3" s="16">
        <f>COUNTIF(AK2:AK6,"&gt;0")</f>
        <v>4</v>
      </c>
      <c r="AN3" s="18">
        <v>43556</v>
      </c>
      <c r="AO3" s="16">
        <v>1520</v>
      </c>
      <c r="AP3" s="16">
        <v>1596</v>
      </c>
      <c r="AQ3" s="16">
        <v>1505</v>
      </c>
      <c r="AR3" s="16">
        <v>1559</v>
      </c>
      <c r="AS3" s="16">
        <v>1559</v>
      </c>
      <c r="AT3" s="16">
        <v>46300</v>
      </c>
      <c r="AU3" s="16">
        <v>39</v>
      </c>
      <c r="AV3" s="16">
        <f>AU3/AO3*100</f>
        <v>2.5657894736842106</v>
      </c>
      <c r="AW3" s="16">
        <f>COUNTIF(AU2:AU6,"&gt;0")</f>
        <v>5</v>
      </c>
      <c r="AX3" s="18">
        <v>43592</v>
      </c>
      <c r="AY3" s="16">
        <v>1578</v>
      </c>
      <c r="AZ3" s="16">
        <v>1675</v>
      </c>
      <c r="BA3" s="16">
        <v>1559</v>
      </c>
      <c r="BB3" s="16">
        <v>1639</v>
      </c>
      <c r="BC3" s="16">
        <v>1639</v>
      </c>
      <c r="BD3" s="16">
        <v>45600</v>
      </c>
      <c r="BE3" s="16">
        <v>61</v>
      </c>
      <c r="BF3" s="16">
        <f>BE3/AY3*100</f>
        <v>3.8656527249683146</v>
      </c>
      <c r="BG3" s="16">
        <f>COUNTIF(BE2:BE6,"&gt;0")</f>
        <v>4</v>
      </c>
      <c r="BH3" s="18">
        <v>43619</v>
      </c>
      <c r="BI3" s="16">
        <v>1633</v>
      </c>
      <c r="BJ3" s="16">
        <v>1715</v>
      </c>
      <c r="BK3" s="16">
        <v>1590</v>
      </c>
      <c r="BL3" s="16">
        <v>1660</v>
      </c>
      <c r="BM3" s="16">
        <v>1660</v>
      </c>
      <c r="BN3" s="16">
        <v>65300</v>
      </c>
      <c r="BO3" s="16">
        <v>27</v>
      </c>
      <c r="BP3" s="16">
        <f>BO3/BI3*100</f>
        <v>1.653398652786283</v>
      </c>
      <c r="BQ3" s="16">
        <f>COUNTIF(BO2:BO6,"&gt;0")</f>
        <v>4</v>
      </c>
      <c r="BR3" s="18">
        <v>43647</v>
      </c>
      <c r="BS3" s="16">
        <v>1660</v>
      </c>
      <c r="BT3" s="16">
        <v>1706</v>
      </c>
      <c r="BU3" s="16">
        <v>1549</v>
      </c>
      <c r="BV3" s="16">
        <v>1556</v>
      </c>
      <c r="BW3" s="16">
        <v>1556</v>
      </c>
      <c r="BX3" s="16">
        <v>153900</v>
      </c>
      <c r="BY3" s="16">
        <v>-104</v>
      </c>
      <c r="BZ3" s="16">
        <f>BY3/BS3*100</f>
        <v>-6.2650602409638561</v>
      </c>
      <c r="CA3" s="16">
        <f>COUNTIF(BY2:BY6,"&gt;0")</f>
        <v>0</v>
      </c>
      <c r="CB3" s="18">
        <v>43678</v>
      </c>
      <c r="CC3" s="16">
        <v>1554</v>
      </c>
      <c r="CD3" s="16">
        <v>1599</v>
      </c>
      <c r="CE3" s="16">
        <v>1521</v>
      </c>
      <c r="CF3" s="16">
        <v>1585</v>
      </c>
      <c r="CG3" s="16">
        <v>1585</v>
      </c>
      <c r="CH3" s="16">
        <v>40800</v>
      </c>
      <c r="CI3" s="16">
        <v>31</v>
      </c>
      <c r="CJ3" s="16">
        <f>CI3/CC3*100</f>
        <v>1.9948519948519947</v>
      </c>
      <c r="CK3" s="16">
        <f>COUNTIF(CI2:CI6,"&gt;0")</f>
        <v>4</v>
      </c>
      <c r="CL3" s="18">
        <v>43710</v>
      </c>
      <c r="CM3" s="16">
        <v>1585</v>
      </c>
      <c r="CN3" s="16">
        <v>1666</v>
      </c>
      <c r="CO3" s="16">
        <v>1579</v>
      </c>
      <c r="CP3" s="16">
        <v>1612</v>
      </c>
      <c r="CQ3" s="16">
        <v>1612</v>
      </c>
      <c r="CR3" s="16">
        <v>53200</v>
      </c>
      <c r="CS3" s="16">
        <v>27</v>
      </c>
      <c r="CT3" s="16">
        <f>CS3/CM3*100</f>
        <v>1.7034700315457414</v>
      </c>
      <c r="CU3" s="16">
        <f>COUNTIF(CS2:CS6,"&gt;0")</f>
        <v>5</v>
      </c>
      <c r="CV3" s="18">
        <v>43739</v>
      </c>
      <c r="CW3" s="16">
        <v>1622</v>
      </c>
      <c r="CX3" s="16">
        <v>1713</v>
      </c>
      <c r="CY3" s="16">
        <v>1619</v>
      </c>
      <c r="CZ3" s="16">
        <v>1709</v>
      </c>
      <c r="DA3" s="16">
        <v>1709</v>
      </c>
      <c r="DB3" s="16">
        <v>46100</v>
      </c>
      <c r="DC3" s="16">
        <v>87</v>
      </c>
      <c r="DD3" s="16">
        <f>DC3/CW3*100</f>
        <v>5.3637484586929718</v>
      </c>
      <c r="DE3" s="16">
        <f>COUNTIF(DC2:DC6,"&gt;0")</f>
        <v>4</v>
      </c>
      <c r="DF3" s="18">
        <v>43770</v>
      </c>
      <c r="DG3" s="16">
        <v>1715</v>
      </c>
      <c r="DH3" s="16">
        <v>2172</v>
      </c>
      <c r="DI3" s="16">
        <v>1711</v>
      </c>
      <c r="DJ3" s="16">
        <v>1953</v>
      </c>
      <c r="DK3" s="16">
        <v>1953</v>
      </c>
      <c r="DL3" s="16">
        <v>169300</v>
      </c>
      <c r="DM3" s="16">
        <v>238</v>
      </c>
      <c r="DN3" s="16">
        <f>DM3/DG3*100</f>
        <v>13.877551020408163</v>
      </c>
      <c r="DO3" s="16">
        <f>COUNTIF(DM2:DM6,"&gt;0")</f>
        <v>4</v>
      </c>
      <c r="DP3" s="18">
        <v>43801</v>
      </c>
      <c r="DQ3" s="16">
        <v>1975</v>
      </c>
      <c r="DR3" s="16">
        <v>2240</v>
      </c>
      <c r="DS3" s="16">
        <v>1909</v>
      </c>
      <c r="DT3" s="16">
        <v>2165</v>
      </c>
      <c r="DU3" s="16">
        <v>2165</v>
      </c>
      <c r="DV3" s="16">
        <v>182000</v>
      </c>
      <c r="DW3" s="16">
        <v>190</v>
      </c>
      <c r="DX3" s="16">
        <f>DW3/DQ3*100</f>
        <v>9.6202531645569618</v>
      </c>
      <c r="DY3" s="16">
        <f>COUNTIF(DW2:DW6,"&gt;0")</f>
        <v>4</v>
      </c>
    </row>
    <row r="4" spans="1:129">
      <c r="A4" s="17">
        <v>43160</v>
      </c>
      <c r="B4" s="16">
        <v>1316</v>
      </c>
      <c r="C4" s="16">
        <v>1412</v>
      </c>
      <c r="D4" s="16">
        <v>1306</v>
      </c>
      <c r="E4" s="16">
        <v>1388</v>
      </c>
      <c r="F4" s="16">
        <v>1388</v>
      </c>
      <c r="G4" s="16">
        <v>63500</v>
      </c>
      <c r="H4" s="16">
        <f t="shared" si="0"/>
        <v>72</v>
      </c>
      <c r="J4" s="18">
        <v>43836</v>
      </c>
      <c r="K4" s="16">
        <v>2166</v>
      </c>
      <c r="L4" s="16">
        <v>2702</v>
      </c>
      <c r="M4" s="16">
        <v>2127</v>
      </c>
      <c r="N4" s="16">
        <v>2265</v>
      </c>
      <c r="O4" s="16">
        <v>2265</v>
      </c>
      <c r="P4" s="16">
        <v>314400</v>
      </c>
      <c r="Q4" s="16">
        <v>99</v>
      </c>
      <c r="R4" s="16">
        <f>Q4/K4*100</f>
        <v>4.5706371191135737</v>
      </c>
      <c r="S4" s="19">
        <f>S3/S2*100</f>
        <v>20</v>
      </c>
      <c r="T4" s="18">
        <v>43864</v>
      </c>
      <c r="U4" s="16">
        <v>2145</v>
      </c>
      <c r="V4" s="16">
        <v>2430</v>
      </c>
      <c r="W4" s="16">
        <v>1563</v>
      </c>
      <c r="X4" s="16">
        <v>1591</v>
      </c>
      <c r="Y4" s="16">
        <v>1591</v>
      </c>
      <c r="Z4" s="16">
        <v>232600</v>
      </c>
      <c r="AA4" s="16">
        <v>-554</v>
      </c>
      <c r="AB4" s="16">
        <f>AA4/U4*100</f>
        <v>-25.827505827505824</v>
      </c>
      <c r="AC4" s="19">
        <f>AC3/AC2*100</f>
        <v>20</v>
      </c>
      <c r="AD4" s="18">
        <v>43892</v>
      </c>
      <c r="AE4" s="16">
        <v>1598</v>
      </c>
      <c r="AF4" s="16">
        <v>1932</v>
      </c>
      <c r="AG4" s="16">
        <v>1180</v>
      </c>
      <c r="AH4" s="16">
        <v>1436</v>
      </c>
      <c r="AI4" s="16">
        <v>1436</v>
      </c>
      <c r="AJ4" s="16">
        <v>251800</v>
      </c>
      <c r="AK4" s="16">
        <v>-162</v>
      </c>
      <c r="AL4" s="16">
        <f>AK4/AE4*100</f>
        <v>-10.137672090112641</v>
      </c>
      <c r="AM4" s="19">
        <f>AM3/AM2*100</f>
        <v>80</v>
      </c>
      <c r="AN4" s="18">
        <v>43922</v>
      </c>
      <c r="AO4" s="16">
        <v>1406</v>
      </c>
      <c r="AP4" s="16">
        <v>1591</v>
      </c>
      <c r="AQ4" s="16">
        <v>1300</v>
      </c>
      <c r="AR4" s="16">
        <v>1586</v>
      </c>
      <c r="AS4" s="16">
        <v>1586</v>
      </c>
      <c r="AT4" s="16">
        <v>98200</v>
      </c>
      <c r="AU4" s="16">
        <v>180</v>
      </c>
      <c r="AV4" s="16">
        <f>AU4/AO4*100</f>
        <v>12.802275960170698</v>
      </c>
      <c r="AW4" s="19">
        <f>AW3/AW2*100</f>
        <v>100</v>
      </c>
      <c r="AX4" s="18">
        <v>43952</v>
      </c>
      <c r="AY4" s="16">
        <v>1559</v>
      </c>
      <c r="AZ4" s="16">
        <v>2000</v>
      </c>
      <c r="BA4" s="16">
        <v>1551</v>
      </c>
      <c r="BB4" s="16">
        <v>1994</v>
      </c>
      <c r="BC4" s="16">
        <v>1994</v>
      </c>
      <c r="BD4" s="16">
        <v>121900</v>
      </c>
      <c r="BE4" s="16">
        <v>435</v>
      </c>
      <c r="BF4" s="16">
        <f>BE4/AY4*100</f>
        <v>27.902501603592043</v>
      </c>
      <c r="BG4" s="19">
        <f>BG3/BG2*100</f>
        <v>80</v>
      </c>
      <c r="BH4" s="18">
        <v>43983</v>
      </c>
      <c r="BI4" s="16">
        <v>2000</v>
      </c>
      <c r="BJ4" s="16">
        <v>2059</v>
      </c>
      <c r="BK4" s="16">
        <v>1805</v>
      </c>
      <c r="BL4" s="16">
        <v>1957</v>
      </c>
      <c r="BM4" s="16">
        <v>1957</v>
      </c>
      <c r="BN4" s="16">
        <v>104600</v>
      </c>
      <c r="BO4" s="16">
        <v>-43</v>
      </c>
      <c r="BP4" s="16">
        <f>BO4/BI4*100</f>
        <v>-2.15</v>
      </c>
      <c r="BQ4" s="19">
        <f>BQ3/BQ2*100</f>
        <v>80</v>
      </c>
      <c r="BR4" s="18">
        <v>44013</v>
      </c>
      <c r="BS4" s="16">
        <v>1937</v>
      </c>
      <c r="BT4" s="16">
        <v>1973</v>
      </c>
      <c r="BU4" s="16">
        <v>1560</v>
      </c>
      <c r="BV4" s="16">
        <v>1622</v>
      </c>
      <c r="BW4" s="16">
        <v>1622</v>
      </c>
      <c r="BX4" s="16">
        <v>115200</v>
      </c>
      <c r="BY4" s="16">
        <v>-315</v>
      </c>
      <c r="BZ4" s="16">
        <f>BY4/BS4*100</f>
        <v>-16.26226122870418</v>
      </c>
      <c r="CA4" s="19">
        <f>CA3/CA2*100</f>
        <v>0</v>
      </c>
      <c r="CB4" s="18">
        <v>44046</v>
      </c>
      <c r="CC4" s="16">
        <v>1609</v>
      </c>
      <c r="CD4" s="16">
        <v>1807</v>
      </c>
      <c r="CE4" s="16">
        <v>1609</v>
      </c>
      <c r="CF4" s="16">
        <v>1706</v>
      </c>
      <c r="CG4" s="16">
        <v>1706</v>
      </c>
      <c r="CH4" s="16">
        <v>40600</v>
      </c>
      <c r="CI4" s="16">
        <v>97</v>
      </c>
      <c r="CJ4" s="16">
        <f>CI4/CC4*100</f>
        <v>6.0285891858297083</v>
      </c>
      <c r="CK4" s="19">
        <f>CK3/CK2*100</f>
        <v>80</v>
      </c>
      <c r="CL4" s="18">
        <v>44075</v>
      </c>
      <c r="CM4" s="16">
        <v>1710</v>
      </c>
      <c r="CN4" s="16">
        <v>1906</v>
      </c>
      <c r="CO4" s="16">
        <v>1702</v>
      </c>
      <c r="CP4" s="16">
        <v>1853</v>
      </c>
      <c r="CQ4" s="16">
        <v>1853</v>
      </c>
      <c r="CR4" s="16">
        <v>63600</v>
      </c>
      <c r="CS4" s="16">
        <v>143</v>
      </c>
      <c r="CT4" s="16">
        <f>CS4/CM4*100</f>
        <v>8.3625730994152043</v>
      </c>
      <c r="CU4" s="19">
        <f>CU3/CU2*100</f>
        <v>100</v>
      </c>
      <c r="CV4" s="18">
        <v>44106</v>
      </c>
      <c r="CW4" s="16">
        <v>1853</v>
      </c>
      <c r="CX4" s="16">
        <v>1985</v>
      </c>
      <c r="CY4" s="16">
        <v>1838</v>
      </c>
      <c r="CZ4" s="16">
        <v>1875</v>
      </c>
      <c r="DA4" s="16">
        <v>1875</v>
      </c>
      <c r="DB4" s="16">
        <v>43700</v>
      </c>
      <c r="DC4" s="16">
        <v>22</v>
      </c>
      <c r="DD4" s="16">
        <f>DC4/CW4*100</f>
        <v>1.1872638963842417</v>
      </c>
      <c r="DE4" s="19">
        <f>DE3/DE2*100</f>
        <v>80</v>
      </c>
      <c r="DF4" s="18">
        <v>44137</v>
      </c>
      <c r="DG4" s="16">
        <v>1870</v>
      </c>
      <c r="DH4" s="16">
        <v>1938</v>
      </c>
      <c r="DI4" s="16">
        <v>1870</v>
      </c>
      <c r="DJ4" s="16">
        <v>1912</v>
      </c>
      <c r="DK4" s="16">
        <v>1912</v>
      </c>
      <c r="DL4" s="16">
        <v>30700</v>
      </c>
      <c r="DM4" s="16">
        <v>42</v>
      </c>
      <c r="DN4" s="16">
        <f>DM4/DG4*100</f>
        <v>2.2459893048128343</v>
      </c>
      <c r="DO4" s="19">
        <f>DO3/DO2*100</f>
        <v>80</v>
      </c>
      <c r="DP4" s="18">
        <v>44166</v>
      </c>
      <c r="DQ4" s="16">
        <v>1920</v>
      </c>
      <c r="DR4" s="16">
        <v>2024</v>
      </c>
      <c r="DS4" s="16">
        <v>1907</v>
      </c>
      <c r="DT4" s="16">
        <v>2012</v>
      </c>
      <c r="DU4" s="16">
        <v>2012</v>
      </c>
      <c r="DV4" s="16">
        <v>81700</v>
      </c>
      <c r="DW4" s="16">
        <v>92</v>
      </c>
      <c r="DX4" s="16">
        <f>DW4/DQ4*100</f>
        <v>4.791666666666667</v>
      </c>
      <c r="DY4" s="19">
        <f>DY3/DY2*100</f>
        <v>80</v>
      </c>
    </row>
    <row r="5" spans="1:129">
      <c r="A5" s="17">
        <v>43192</v>
      </c>
      <c r="B5" s="16">
        <v>1394</v>
      </c>
      <c r="C5" s="16">
        <v>1415</v>
      </c>
      <c r="D5" s="16">
        <v>1368</v>
      </c>
      <c r="E5" s="16">
        <v>1400</v>
      </c>
      <c r="F5" s="16">
        <v>1400</v>
      </c>
      <c r="G5" s="16">
        <v>45600</v>
      </c>
      <c r="H5" s="16">
        <f t="shared" si="0"/>
        <v>6</v>
      </c>
      <c r="J5" s="18">
        <v>44200</v>
      </c>
      <c r="K5" s="16">
        <v>1999</v>
      </c>
      <c r="L5" s="16">
        <v>1999</v>
      </c>
      <c r="M5" s="16">
        <v>1792</v>
      </c>
      <c r="N5" s="16">
        <v>1823</v>
      </c>
      <c r="O5" s="16">
        <v>1823</v>
      </c>
      <c r="P5" s="16">
        <v>171500</v>
      </c>
      <c r="Q5" s="16">
        <v>-176</v>
      </c>
      <c r="R5" s="16">
        <f>Q5/K5*100</f>
        <v>-8.8044022011005509</v>
      </c>
      <c r="S5" s="16">
        <f>AVERAGE(R2:R6)</f>
        <v>-3.6355937416583899</v>
      </c>
      <c r="T5" s="18">
        <v>44228</v>
      </c>
      <c r="U5" s="16">
        <v>1823</v>
      </c>
      <c r="V5" s="16">
        <v>1846</v>
      </c>
      <c r="W5" s="16">
        <v>1804</v>
      </c>
      <c r="X5" s="16">
        <v>1823</v>
      </c>
      <c r="Y5" s="16">
        <v>1823</v>
      </c>
      <c r="Z5" s="16">
        <v>76300</v>
      </c>
      <c r="AA5" s="16">
        <v>0</v>
      </c>
      <c r="AB5" s="16">
        <f>AA5/U5*100</f>
        <v>0</v>
      </c>
      <c r="AC5" s="16">
        <f>AVERAGE(AB2:AB6)</f>
        <v>-5.8162881929968506</v>
      </c>
      <c r="AD5" s="18">
        <v>44256</v>
      </c>
      <c r="AE5" s="16">
        <v>1830</v>
      </c>
      <c r="AF5" s="16">
        <v>1888</v>
      </c>
      <c r="AG5" s="16">
        <v>1810</v>
      </c>
      <c r="AH5" s="16">
        <v>1872</v>
      </c>
      <c r="AI5" s="16">
        <v>1872</v>
      </c>
      <c r="AJ5" s="16">
        <v>74500</v>
      </c>
      <c r="AK5" s="16">
        <v>42</v>
      </c>
      <c r="AL5" s="16">
        <f>AK5/AE5*100</f>
        <v>2.2950819672131146</v>
      </c>
      <c r="AM5" s="16">
        <f>AVERAGE(AL2:AL6)</f>
        <v>6.2447700149777428E-2</v>
      </c>
      <c r="AN5" s="18">
        <v>44287</v>
      </c>
      <c r="AO5" s="16">
        <v>1882</v>
      </c>
      <c r="AP5" s="16">
        <v>1920</v>
      </c>
      <c r="AQ5" s="16">
        <v>1850</v>
      </c>
      <c r="AR5" s="16">
        <v>1895</v>
      </c>
      <c r="AS5" s="16">
        <v>1895</v>
      </c>
      <c r="AT5" s="16">
        <v>76300</v>
      </c>
      <c r="AU5" s="16">
        <v>13</v>
      </c>
      <c r="AV5" s="16">
        <f>AU5/AO5*100</f>
        <v>0.6907545164718385</v>
      </c>
      <c r="AW5" s="16">
        <f>AVERAGE(AV2:AV6)</f>
        <v>3.5870812691841372</v>
      </c>
      <c r="AX5" s="18">
        <v>44322</v>
      </c>
      <c r="AY5" s="16">
        <v>1900</v>
      </c>
      <c r="AZ5" s="16">
        <v>1920</v>
      </c>
      <c r="BA5" s="16">
        <v>1880</v>
      </c>
      <c r="BB5" s="16">
        <v>1894</v>
      </c>
      <c r="BC5" s="16">
        <v>1894</v>
      </c>
      <c r="BD5" s="16">
        <v>36600</v>
      </c>
      <c r="BE5" s="16">
        <v>-6</v>
      </c>
      <c r="BF5" s="16">
        <f>BE5/AY5*100</f>
        <v>-0.31578947368421051</v>
      </c>
      <c r="BG5" s="16">
        <f>AVERAGE(BF2:BF6)</f>
        <v>7.3771055165118851</v>
      </c>
      <c r="BH5" s="18">
        <v>44348</v>
      </c>
      <c r="BI5" s="16">
        <v>1905</v>
      </c>
      <c r="BJ5" s="16">
        <v>1941</v>
      </c>
      <c r="BK5" s="16">
        <v>1885</v>
      </c>
      <c r="BL5" s="16">
        <v>1933</v>
      </c>
      <c r="BM5" s="16">
        <v>1933</v>
      </c>
      <c r="BN5" s="16">
        <v>80500</v>
      </c>
      <c r="BO5" s="16">
        <v>28</v>
      </c>
      <c r="BP5" s="16">
        <f>BO5/BI5*100</f>
        <v>1.4698162729658792</v>
      </c>
      <c r="BQ5" s="16">
        <f>AVERAGE(BP2:BP6)</f>
        <v>2.161763938187657</v>
      </c>
      <c r="BR5" s="18">
        <v>44378</v>
      </c>
      <c r="BS5" s="16">
        <v>1933</v>
      </c>
      <c r="BT5" s="16">
        <v>1940</v>
      </c>
      <c r="BU5" s="16">
        <v>1811</v>
      </c>
      <c r="BV5" s="16">
        <v>1858</v>
      </c>
      <c r="BW5" s="16">
        <v>1858</v>
      </c>
      <c r="BX5" s="16">
        <v>113100</v>
      </c>
      <c r="BY5" s="16">
        <v>-75</v>
      </c>
      <c r="BZ5" s="16">
        <f>BY5/BS5*100</f>
        <v>-3.8799793067770301</v>
      </c>
      <c r="CA5" s="16">
        <f>AVERAGE(BZ2:BZ6)</f>
        <v>-7.0906576874365852</v>
      </c>
      <c r="CB5" s="18">
        <v>44410</v>
      </c>
      <c r="CC5" s="16">
        <v>1849</v>
      </c>
      <c r="CD5" s="16">
        <v>1862</v>
      </c>
      <c r="CE5" s="16">
        <v>1821</v>
      </c>
      <c r="CF5" s="16">
        <v>1839</v>
      </c>
      <c r="CG5" s="16">
        <v>1839</v>
      </c>
      <c r="CH5" s="16">
        <v>37900</v>
      </c>
      <c r="CI5" s="16">
        <v>-10</v>
      </c>
      <c r="CJ5" s="16">
        <f>CI5/CC5*100</f>
        <v>-0.54083288263926443</v>
      </c>
      <c r="CK5" s="16">
        <f>AVERAGE(CJ2:CJ6)</f>
        <v>1.7892567023435304</v>
      </c>
      <c r="CL5" s="18">
        <v>44440</v>
      </c>
      <c r="CM5" s="16">
        <v>1836</v>
      </c>
      <c r="CN5" s="16">
        <v>1910</v>
      </c>
      <c r="CO5" s="16">
        <v>1836</v>
      </c>
      <c r="CP5" s="16">
        <v>1902</v>
      </c>
      <c r="CQ5" s="16">
        <v>1902</v>
      </c>
      <c r="CR5" s="16">
        <v>55200</v>
      </c>
      <c r="CS5" s="16">
        <v>66</v>
      </c>
      <c r="CT5" s="16">
        <f>CS5/CM5*100</f>
        <v>3.594771241830065</v>
      </c>
      <c r="CU5" s="16">
        <f>AVERAGE(CT2:CT6)</f>
        <v>3.9491388546947106</v>
      </c>
      <c r="CV5" s="18">
        <v>44470</v>
      </c>
      <c r="CW5" s="16">
        <v>1903</v>
      </c>
      <c r="CX5" s="16">
        <v>1911</v>
      </c>
      <c r="CY5" s="16">
        <v>1881</v>
      </c>
      <c r="CZ5" s="16">
        <v>1910</v>
      </c>
      <c r="DA5" s="16">
        <v>1910</v>
      </c>
      <c r="DB5" s="16">
        <v>35700</v>
      </c>
      <c r="DC5" s="16">
        <v>7</v>
      </c>
      <c r="DD5" s="16">
        <f>DC5/CW5*100</f>
        <v>0.36784025223331585</v>
      </c>
      <c r="DE5" s="16">
        <f>AVERAGE(DD2:DD6)</f>
        <v>1.7279583326145498</v>
      </c>
      <c r="DF5" s="18">
        <v>44501</v>
      </c>
      <c r="DG5" s="16">
        <v>1910</v>
      </c>
      <c r="DH5" s="16">
        <v>1942</v>
      </c>
      <c r="DI5" s="16">
        <v>1881</v>
      </c>
      <c r="DJ5" s="16">
        <v>1900</v>
      </c>
      <c r="DK5" s="16">
        <v>1900</v>
      </c>
      <c r="DL5" s="16">
        <v>43800</v>
      </c>
      <c r="DM5" s="16">
        <v>-10</v>
      </c>
      <c r="DN5" s="16">
        <f>DM5/DG5*100</f>
        <v>-0.52356020942408377</v>
      </c>
      <c r="DO5" s="16">
        <f>AVERAGE(DN2:DN6)</f>
        <v>5.8240498032039918</v>
      </c>
      <c r="DP5" s="18">
        <v>44531</v>
      </c>
      <c r="DQ5" s="16">
        <v>1913</v>
      </c>
      <c r="DR5" s="16">
        <v>1920</v>
      </c>
      <c r="DS5" s="16">
        <v>1881</v>
      </c>
      <c r="DT5" s="16">
        <v>1920</v>
      </c>
      <c r="DU5" s="16">
        <v>1920</v>
      </c>
      <c r="DV5" s="16">
        <v>45000</v>
      </c>
      <c r="DW5" s="16">
        <v>7</v>
      </c>
      <c r="DX5" s="16">
        <f>DW5/DQ5*100</f>
        <v>0.36591740721380034</v>
      </c>
      <c r="DY5" s="16">
        <f>AVERAGE(DX2:DX6)</f>
        <v>4.7812484660360282</v>
      </c>
    </row>
    <row r="6" spans="1:129">
      <c r="A6" s="17">
        <v>43221</v>
      </c>
      <c r="B6" s="16">
        <v>1400</v>
      </c>
      <c r="C6" s="16">
        <v>1473</v>
      </c>
      <c r="D6" s="16">
        <v>1400</v>
      </c>
      <c r="E6" s="16">
        <v>1465</v>
      </c>
      <c r="F6" s="16">
        <v>1465</v>
      </c>
      <c r="G6" s="16">
        <v>48100</v>
      </c>
      <c r="H6" s="16">
        <f t="shared" si="0"/>
        <v>65</v>
      </c>
      <c r="J6" s="18">
        <v>44565</v>
      </c>
      <c r="K6" s="16">
        <v>1919</v>
      </c>
      <c r="L6" s="16">
        <v>1929</v>
      </c>
      <c r="M6" s="16">
        <v>1843</v>
      </c>
      <c r="N6" s="16">
        <v>1861</v>
      </c>
      <c r="O6" s="16">
        <v>1861</v>
      </c>
      <c r="P6" s="16">
        <v>97100</v>
      </c>
      <c r="Q6" s="16">
        <v>-58</v>
      </c>
      <c r="R6" s="16">
        <f>Q6/K6*100</f>
        <v>-3.0224075039082856</v>
      </c>
      <c r="S6" s="16">
        <f>MEDIAN(R2:R6)</f>
        <v>-3.0224075039082856</v>
      </c>
      <c r="T6" s="18">
        <v>44593</v>
      </c>
      <c r="U6" s="16">
        <v>1875</v>
      </c>
      <c r="V6" s="16">
        <v>1879</v>
      </c>
      <c r="W6" s="16">
        <v>1855</v>
      </c>
      <c r="X6" s="16">
        <v>1867</v>
      </c>
      <c r="Y6" s="16">
        <v>1867</v>
      </c>
      <c r="Z6" s="16">
        <v>36100</v>
      </c>
      <c r="AA6" s="16">
        <v>-8</v>
      </c>
      <c r="AB6" s="16">
        <f>AA6/U6*100</f>
        <v>-0.42666666666666669</v>
      </c>
      <c r="AC6" s="16">
        <f>MEDIAN(AB2:AB6)</f>
        <v>-0.42666666666666669</v>
      </c>
      <c r="AD6" s="18">
        <v>44621</v>
      </c>
      <c r="AE6" s="16">
        <v>1877</v>
      </c>
      <c r="AF6" s="16">
        <v>1887</v>
      </c>
      <c r="AG6" s="16">
        <v>1810</v>
      </c>
      <c r="AH6" s="16">
        <v>1880</v>
      </c>
      <c r="AI6" s="16">
        <v>1880</v>
      </c>
      <c r="AJ6" s="16">
        <v>42300</v>
      </c>
      <c r="AK6" s="16">
        <v>3</v>
      </c>
      <c r="AL6" s="16">
        <f>AK6/AE6*100</f>
        <v>0.15982951518380392</v>
      </c>
      <c r="AM6" s="16">
        <f>MEDIAN(AL2:AL6)</f>
        <v>2.2950819672131146</v>
      </c>
      <c r="AN6" s="18">
        <v>44652</v>
      </c>
      <c r="AO6" s="16">
        <v>1867</v>
      </c>
      <c r="AP6" s="16">
        <v>1907</v>
      </c>
      <c r="AQ6" s="16">
        <v>1867</v>
      </c>
      <c r="AR6" s="16">
        <v>1894</v>
      </c>
      <c r="AS6" s="16">
        <v>1894</v>
      </c>
      <c r="AT6" s="16">
        <v>20300</v>
      </c>
      <c r="AU6" s="16">
        <v>27</v>
      </c>
      <c r="AV6" s="16">
        <f>AU6/AO6*100</f>
        <v>1.44617032672737</v>
      </c>
      <c r="AW6" s="16">
        <f>MEDIAN(AV2:AV6)</f>
        <v>1.44617032672737</v>
      </c>
      <c r="AX6" s="18">
        <v>44683</v>
      </c>
      <c r="AY6" s="16">
        <v>1898</v>
      </c>
      <c r="AZ6" s="16">
        <v>1928</v>
      </c>
      <c r="BA6" s="16">
        <v>1886</v>
      </c>
      <c r="BB6" s="16">
        <v>1913</v>
      </c>
      <c r="BC6" s="16">
        <v>1913</v>
      </c>
      <c r="BD6" s="16">
        <v>31200</v>
      </c>
      <c r="BE6" s="16">
        <v>15</v>
      </c>
      <c r="BF6" s="16">
        <f>BE6/AY6*100</f>
        <v>0.79030558482613289</v>
      </c>
      <c r="BG6" s="16">
        <f>MEDIAN(BF2:BF6)</f>
        <v>3.8656527249683146</v>
      </c>
      <c r="BH6" s="18">
        <v>44713</v>
      </c>
      <c r="BI6" s="16">
        <v>1927</v>
      </c>
      <c r="BJ6" s="16">
        <v>1969</v>
      </c>
      <c r="BK6" s="16">
        <v>1914</v>
      </c>
      <c r="BL6" s="16">
        <v>1952</v>
      </c>
      <c r="BM6" s="16">
        <v>1952</v>
      </c>
      <c r="BN6" s="16">
        <v>48100</v>
      </c>
      <c r="BO6" s="16">
        <v>25</v>
      </c>
      <c r="BP6" s="16">
        <f>BO6/BI6*100</f>
        <v>1.2973533990659056</v>
      </c>
      <c r="BQ6" s="16">
        <f>MEDIAN(BP2:BP6)</f>
        <v>1.4698162729658792</v>
      </c>
      <c r="BR6" s="18">
        <v>44743</v>
      </c>
      <c r="BS6" s="16">
        <v>1952</v>
      </c>
      <c r="BT6" s="16">
        <v>2035</v>
      </c>
      <c r="BU6" s="16">
        <v>1935</v>
      </c>
      <c r="BV6" s="16">
        <v>1945</v>
      </c>
      <c r="BW6" s="16">
        <v>1945</v>
      </c>
      <c r="BX6" s="16">
        <v>97900</v>
      </c>
      <c r="BY6" s="16">
        <v>-7</v>
      </c>
      <c r="BZ6" s="16">
        <f>BY6/BS6*100</f>
        <v>-0.35860655737704916</v>
      </c>
      <c r="CA6" s="16">
        <f>MEDIAN(BZ2:BZ6)</f>
        <v>-6.2650602409638561</v>
      </c>
      <c r="CB6" s="18">
        <v>44774</v>
      </c>
      <c r="CC6" s="16">
        <v>1950</v>
      </c>
      <c r="CD6" s="16">
        <v>1975</v>
      </c>
      <c r="CE6" s="16">
        <v>1948</v>
      </c>
      <c r="CF6" s="16">
        <v>1965</v>
      </c>
      <c r="CG6" s="16">
        <v>1965</v>
      </c>
      <c r="CH6" s="16">
        <v>43600</v>
      </c>
      <c r="CI6" s="16">
        <v>15</v>
      </c>
      <c r="CJ6" s="16">
        <f>CI6/CC6*100</f>
        <v>0.76923076923076927</v>
      </c>
      <c r="CK6" s="16">
        <f>MEDIAN(CJ2:CJ6)</f>
        <v>0.76923076923076927</v>
      </c>
      <c r="CL6" s="18">
        <v>44805</v>
      </c>
      <c r="CM6" s="16">
        <v>1957</v>
      </c>
      <c r="CN6" s="16">
        <v>1999</v>
      </c>
      <c r="CO6" s="16">
        <v>1957</v>
      </c>
      <c r="CP6" s="16">
        <v>1990</v>
      </c>
      <c r="CQ6" s="16">
        <v>1990</v>
      </c>
      <c r="CR6" s="16">
        <v>40600</v>
      </c>
      <c r="CS6" s="16">
        <v>33</v>
      </c>
      <c r="CT6" s="16">
        <f>CS6/CM6*100</f>
        <v>1.6862544711292795</v>
      </c>
      <c r="CU6" s="16">
        <f>MEDIAN(CT2:CT6)</f>
        <v>3.594771241830065</v>
      </c>
      <c r="CV6" s="18">
        <v>44837</v>
      </c>
      <c r="CW6" s="16">
        <v>1992</v>
      </c>
      <c r="CX6" s="16">
        <v>2066</v>
      </c>
      <c r="CY6" s="16">
        <v>1984</v>
      </c>
      <c r="CZ6" s="16">
        <v>2063</v>
      </c>
      <c r="DA6" s="16">
        <v>2063</v>
      </c>
      <c r="DB6" s="16">
        <v>40100</v>
      </c>
      <c r="DC6" s="16">
        <v>71</v>
      </c>
      <c r="DD6" s="16">
        <f>DC6/CW6*100</f>
        <v>3.5642570281124497</v>
      </c>
      <c r="DE6" s="16">
        <f>MEDIAN(DD2:DD6)</f>
        <v>1.1872638963842417</v>
      </c>
      <c r="DF6" s="18">
        <v>44866</v>
      </c>
      <c r="DG6" s="16">
        <v>2064</v>
      </c>
      <c r="DH6" s="16">
        <v>2264</v>
      </c>
      <c r="DI6" s="16">
        <v>2064</v>
      </c>
      <c r="DJ6" s="16">
        <v>2260</v>
      </c>
      <c r="DK6" s="16">
        <v>2260</v>
      </c>
      <c r="DL6" s="16">
        <v>56500</v>
      </c>
      <c r="DM6" s="16">
        <v>196</v>
      </c>
      <c r="DN6" s="16">
        <f>DM6/DG6*100</f>
        <v>9.4961240310077528</v>
      </c>
      <c r="DO6" s="16">
        <f>MEDIAN(DN2:DN6)</f>
        <v>4.0241448692152915</v>
      </c>
      <c r="DP6" s="18">
        <v>44896</v>
      </c>
      <c r="DQ6" s="16">
        <v>2279</v>
      </c>
      <c r="DR6" s="16">
        <v>2599</v>
      </c>
      <c r="DS6" s="16">
        <v>2274</v>
      </c>
      <c r="DT6" s="16">
        <v>2535</v>
      </c>
      <c r="DU6" s="16">
        <v>2535</v>
      </c>
      <c r="DV6" s="16">
        <v>114400</v>
      </c>
      <c r="DW6" s="16">
        <v>256</v>
      </c>
      <c r="DX6" s="16">
        <f>DW6/DQ6*100</f>
        <v>11.232996928477403</v>
      </c>
      <c r="DY6" s="16">
        <f>MEDIAN(DX2:DX6)</f>
        <v>4.791666666666667</v>
      </c>
    </row>
    <row r="7" spans="1:129">
      <c r="A7" s="17">
        <v>43252</v>
      </c>
      <c r="B7" s="16">
        <v>1464</v>
      </c>
      <c r="C7" s="16">
        <v>1640</v>
      </c>
      <c r="D7" s="16">
        <v>1455</v>
      </c>
      <c r="E7" s="16">
        <v>1589</v>
      </c>
      <c r="F7" s="16">
        <v>1589</v>
      </c>
      <c r="G7" s="16">
        <v>142200</v>
      </c>
      <c r="H7" s="16">
        <f t="shared" si="0"/>
        <v>125</v>
      </c>
    </row>
    <row r="8" spans="1:129">
      <c r="A8" s="17">
        <v>43283</v>
      </c>
      <c r="B8" s="16">
        <v>1577</v>
      </c>
      <c r="C8" s="16">
        <v>1577</v>
      </c>
      <c r="D8" s="16">
        <v>1440</v>
      </c>
      <c r="E8" s="16">
        <v>1440</v>
      </c>
      <c r="F8" s="16">
        <v>1440</v>
      </c>
      <c r="G8" s="16">
        <v>158400</v>
      </c>
      <c r="H8" s="16">
        <f t="shared" si="0"/>
        <v>-137</v>
      </c>
    </row>
    <row r="9" spans="1:129">
      <c r="A9" s="17">
        <v>43313</v>
      </c>
      <c r="B9" s="16">
        <v>1440</v>
      </c>
      <c r="C9" s="16">
        <v>1469</v>
      </c>
      <c r="D9" s="16">
        <v>1400</v>
      </c>
      <c r="E9" s="16">
        <v>1450</v>
      </c>
      <c r="F9" s="16">
        <v>1450</v>
      </c>
      <c r="G9" s="16">
        <v>43000</v>
      </c>
      <c r="H9" s="16">
        <f t="shared" si="0"/>
        <v>10</v>
      </c>
    </row>
    <row r="10" spans="1:129">
      <c r="A10" s="17">
        <v>43346</v>
      </c>
      <c r="B10" s="16">
        <v>1455</v>
      </c>
      <c r="C10" s="16">
        <v>1527</v>
      </c>
      <c r="D10" s="16">
        <v>1442</v>
      </c>
      <c r="E10" s="16">
        <v>1519</v>
      </c>
      <c r="F10" s="16">
        <v>1519</v>
      </c>
      <c r="G10" s="16">
        <v>73500</v>
      </c>
      <c r="H10" s="16">
        <f t="shared" si="0"/>
        <v>64</v>
      </c>
    </row>
    <row r="11" spans="1:129">
      <c r="A11" s="17">
        <v>43374</v>
      </c>
      <c r="B11" s="16">
        <v>1519</v>
      </c>
      <c r="C11" s="16">
        <v>1556</v>
      </c>
      <c r="D11" s="16">
        <v>1459</v>
      </c>
      <c r="E11" s="16">
        <v>1491</v>
      </c>
      <c r="F11" s="16">
        <v>1491</v>
      </c>
      <c r="G11" s="16">
        <v>65600</v>
      </c>
      <c r="H11" s="16">
        <f t="shared" si="0"/>
        <v>-28</v>
      </c>
    </row>
    <row r="12" spans="1:129">
      <c r="A12" s="17">
        <v>43405</v>
      </c>
      <c r="B12" s="16">
        <v>1491</v>
      </c>
      <c r="C12" s="16">
        <v>1570</v>
      </c>
      <c r="D12" s="16">
        <v>1491</v>
      </c>
      <c r="E12" s="16">
        <v>1551</v>
      </c>
      <c r="F12" s="16">
        <v>1551</v>
      </c>
      <c r="G12" s="16">
        <v>38200</v>
      </c>
      <c r="H12" s="16">
        <f t="shared" si="0"/>
        <v>60</v>
      </c>
    </row>
    <row r="13" spans="1:129">
      <c r="A13" s="17">
        <v>43437</v>
      </c>
      <c r="B13" s="16">
        <v>1568</v>
      </c>
      <c r="C13" s="16">
        <v>1724</v>
      </c>
      <c r="D13" s="16">
        <v>1252</v>
      </c>
      <c r="E13" s="16">
        <v>1535</v>
      </c>
      <c r="F13" s="16">
        <v>1535</v>
      </c>
      <c r="G13" s="16">
        <v>177400</v>
      </c>
      <c r="H13" s="16">
        <f t="shared" si="0"/>
        <v>-33</v>
      </c>
    </row>
    <row r="14" spans="1:129">
      <c r="A14" s="17">
        <v>43469</v>
      </c>
      <c r="B14" s="16">
        <v>1490</v>
      </c>
      <c r="C14" s="16">
        <v>1595</v>
      </c>
      <c r="D14" s="16">
        <v>1433</v>
      </c>
      <c r="E14" s="16">
        <v>1459</v>
      </c>
      <c r="F14" s="16">
        <v>1459</v>
      </c>
      <c r="G14" s="16">
        <v>119000</v>
      </c>
      <c r="H14" s="16">
        <f t="shared" si="0"/>
        <v>-31</v>
      </c>
    </row>
    <row r="15" spans="1:129">
      <c r="A15" s="17">
        <v>43497</v>
      </c>
      <c r="B15" s="16">
        <v>1461</v>
      </c>
      <c r="C15" s="16">
        <v>1487</v>
      </c>
      <c r="D15" s="16">
        <v>1450</v>
      </c>
      <c r="E15" s="16">
        <v>1468</v>
      </c>
      <c r="F15" s="16">
        <v>1468</v>
      </c>
      <c r="G15" s="16">
        <v>42000</v>
      </c>
      <c r="H15" s="16">
        <f t="shared" si="0"/>
        <v>7</v>
      </c>
    </row>
    <row r="16" spans="1:129">
      <c r="A16" s="17">
        <v>43525</v>
      </c>
      <c r="B16" s="16">
        <v>1466</v>
      </c>
      <c r="C16" s="16">
        <v>1571</v>
      </c>
      <c r="D16" s="16">
        <v>1455</v>
      </c>
      <c r="E16" s="16">
        <v>1503</v>
      </c>
      <c r="F16" s="16">
        <v>1503</v>
      </c>
      <c r="G16" s="16">
        <v>73700</v>
      </c>
      <c r="H16" s="16">
        <f t="shared" si="0"/>
        <v>37</v>
      </c>
    </row>
    <row r="17" spans="1:8">
      <c r="A17" s="17">
        <v>43556</v>
      </c>
      <c r="B17" s="16">
        <v>1520</v>
      </c>
      <c r="C17" s="16">
        <v>1596</v>
      </c>
      <c r="D17" s="16">
        <v>1505</v>
      </c>
      <c r="E17" s="16">
        <v>1559</v>
      </c>
      <c r="F17" s="16">
        <v>1559</v>
      </c>
      <c r="G17" s="16">
        <v>46300</v>
      </c>
      <c r="H17" s="16">
        <f t="shared" si="0"/>
        <v>39</v>
      </c>
    </row>
    <row r="18" spans="1:8">
      <c r="A18" s="17">
        <v>43592</v>
      </c>
      <c r="B18" s="16">
        <v>1578</v>
      </c>
      <c r="C18" s="16">
        <v>1675</v>
      </c>
      <c r="D18" s="16">
        <v>1559</v>
      </c>
      <c r="E18" s="16">
        <v>1639</v>
      </c>
      <c r="F18" s="16">
        <v>1639</v>
      </c>
      <c r="G18" s="16">
        <v>45600</v>
      </c>
      <c r="H18" s="16">
        <f t="shared" si="0"/>
        <v>61</v>
      </c>
    </row>
    <row r="19" spans="1:8">
      <c r="A19" s="17">
        <v>43619</v>
      </c>
      <c r="B19" s="16">
        <v>1633</v>
      </c>
      <c r="C19" s="16">
        <v>1715</v>
      </c>
      <c r="D19" s="16">
        <v>1590</v>
      </c>
      <c r="E19" s="16">
        <v>1660</v>
      </c>
      <c r="F19" s="16">
        <v>1660</v>
      </c>
      <c r="G19" s="16">
        <v>65300</v>
      </c>
      <c r="H19" s="16">
        <f t="shared" si="0"/>
        <v>27</v>
      </c>
    </row>
    <row r="20" spans="1:8">
      <c r="A20" s="17">
        <v>43647</v>
      </c>
      <c r="B20" s="16">
        <v>1660</v>
      </c>
      <c r="C20" s="16">
        <v>1706</v>
      </c>
      <c r="D20" s="16">
        <v>1549</v>
      </c>
      <c r="E20" s="16">
        <v>1556</v>
      </c>
      <c r="F20" s="16">
        <v>1556</v>
      </c>
      <c r="G20" s="16">
        <v>153900</v>
      </c>
      <c r="H20" s="16">
        <f t="shared" si="0"/>
        <v>-104</v>
      </c>
    </row>
    <row r="21" spans="1:8">
      <c r="A21" s="17">
        <v>43678</v>
      </c>
      <c r="B21" s="16">
        <v>1554</v>
      </c>
      <c r="C21" s="16">
        <v>1599</v>
      </c>
      <c r="D21" s="16">
        <v>1521</v>
      </c>
      <c r="E21" s="16">
        <v>1585</v>
      </c>
      <c r="F21" s="16">
        <v>1585</v>
      </c>
      <c r="G21" s="16">
        <v>40800</v>
      </c>
      <c r="H21" s="16">
        <f t="shared" si="0"/>
        <v>31</v>
      </c>
    </row>
    <row r="22" spans="1:8">
      <c r="A22" s="17">
        <v>43710</v>
      </c>
      <c r="B22" s="16">
        <v>1585</v>
      </c>
      <c r="C22" s="16">
        <v>1666</v>
      </c>
      <c r="D22" s="16">
        <v>1579</v>
      </c>
      <c r="E22" s="16">
        <v>1612</v>
      </c>
      <c r="F22" s="16">
        <v>1612</v>
      </c>
      <c r="G22" s="16">
        <v>53200</v>
      </c>
      <c r="H22" s="16">
        <f t="shared" si="0"/>
        <v>27</v>
      </c>
    </row>
    <row r="23" spans="1:8">
      <c r="A23" s="17">
        <v>43739</v>
      </c>
      <c r="B23" s="16">
        <v>1622</v>
      </c>
      <c r="C23" s="16">
        <v>1713</v>
      </c>
      <c r="D23" s="16">
        <v>1619</v>
      </c>
      <c r="E23" s="16">
        <v>1709</v>
      </c>
      <c r="F23" s="16">
        <v>1709</v>
      </c>
      <c r="G23" s="16">
        <v>46100</v>
      </c>
      <c r="H23" s="16">
        <f t="shared" si="0"/>
        <v>87</v>
      </c>
    </row>
    <row r="24" spans="1:8">
      <c r="A24" s="17">
        <v>43770</v>
      </c>
      <c r="B24" s="16">
        <v>1715</v>
      </c>
      <c r="C24" s="16">
        <v>2172</v>
      </c>
      <c r="D24" s="16">
        <v>1711</v>
      </c>
      <c r="E24" s="16">
        <v>1953</v>
      </c>
      <c r="F24" s="16">
        <v>1953</v>
      </c>
      <c r="G24" s="16">
        <v>169300</v>
      </c>
      <c r="H24" s="16">
        <f t="shared" si="0"/>
        <v>238</v>
      </c>
    </row>
    <row r="25" spans="1:8">
      <c r="A25" s="17">
        <v>43801</v>
      </c>
      <c r="B25" s="16">
        <v>1975</v>
      </c>
      <c r="C25" s="16">
        <v>2240</v>
      </c>
      <c r="D25" s="16">
        <v>1909</v>
      </c>
      <c r="E25" s="16">
        <v>2165</v>
      </c>
      <c r="F25" s="16">
        <v>2165</v>
      </c>
      <c r="G25" s="16">
        <v>182000</v>
      </c>
      <c r="H25" s="16">
        <f t="shared" si="0"/>
        <v>190</v>
      </c>
    </row>
    <row r="26" spans="1:8">
      <c r="A26" s="17">
        <v>43836</v>
      </c>
      <c r="B26" s="16">
        <v>2166</v>
      </c>
      <c r="C26" s="16">
        <v>2702</v>
      </c>
      <c r="D26" s="16">
        <v>2127</v>
      </c>
      <c r="E26" s="16">
        <v>2265</v>
      </c>
      <c r="F26" s="16">
        <v>2265</v>
      </c>
      <c r="G26" s="16">
        <v>314400</v>
      </c>
      <c r="H26" s="16">
        <f t="shared" si="0"/>
        <v>99</v>
      </c>
    </row>
    <row r="27" spans="1:8">
      <c r="A27" s="17">
        <v>43864</v>
      </c>
      <c r="B27" s="16">
        <v>2145</v>
      </c>
      <c r="C27" s="16">
        <v>2430</v>
      </c>
      <c r="D27" s="16">
        <v>1563</v>
      </c>
      <c r="E27" s="16">
        <v>1591</v>
      </c>
      <c r="F27" s="16">
        <v>1591</v>
      </c>
      <c r="G27" s="16">
        <v>232600</v>
      </c>
      <c r="H27" s="16">
        <f t="shared" si="0"/>
        <v>-554</v>
      </c>
    </row>
    <row r="28" spans="1:8">
      <c r="A28" s="17">
        <v>43892</v>
      </c>
      <c r="B28" s="16">
        <v>1598</v>
      </c>
      <c r="C28" s="16">
        <v>1932</v>
      </c>
      <c r="D28" s="16">
        <v>1180</v>
      </c>
      <c r="E28" s="16">
        <v>1436</v>
      </c>
      <c r="F28" s="16">
        <v>1436</v>
      </c>
      <c r="G28" s="16">
        <v>251800</v>
      </c>
      <c r="H28" s="16">
        <f t="shared" si="0"/>
        <v>-162</v>
      </c>
    </row>
    <row r="29" spans="1:8">
      <c r="A29" s="17">
        <v>43922</v>
      </c>
      <c r="B29" s="16">
        <v>1406</v>
      </c>
      <c r="C29" s="16">
        <v>1591</v>
      </c>
      <c r="D29" s="16">
        <v>1300</v>
      </c>
      <c r="E29" s="16">
        <v>1586</v>
      </c>
      <c r="F29" s="16">
        <v>1586</v>
      </c>
      <c r="G29" s="16">
        <v>98200</v>
      </c>
      <c r="H29" s="16">
        <f t="shared" si="0"/>
        <v>180</v>
      </c>
    </row>
    <row r="30" spans="1:8">
      <c r="A30" s="17">
        <v>43952</v>
      </c>
      <c r="B30" s="16">
        <v>1559</v>
      </c>
      <c r="C30" s="16">
        <v>2000</v>
      </c>
      <c r="D30" s="16">
        <v>1551</v>
      </c>
      <c r="E30" s="16">
        <v>1994</v>
      </c>
      <c r="F30" s="16">
        <v>1994</v>
      </c>
      <c r="G30" s="16">
        <v>121900</v>
      </c>
      <c r="H30" s="16">
        <f t="shared" si="0"/>
        <v>435</v>
      </c>
    </row>
    <row r="31" spans="1:8">
      <c r="A31" s="17">
        <v>43983</v>
      </c>
      <c r="B31" s="16">
        <v>2000</v>
      </c>
      <c r="C31" s="16">
        <v>2059</v>
      </c>
      <c r="D31" s="16">
        <v>1805</v>
      </c>
      <c r="E31" s="16">
        <v>1957</v>
      </c>
      <c r="F31" s="16">
        <v>1957</v>
      </c>
      <c r="G31" s="16">
        <v>104600</v>
      </c>
      <c r="H31" s="16">
        <f t="shared" si="0"/>
        <v>-43</v>
      </c>
    </row>
    <row r="32" spans="1:8">
      <c r="A32" s="17">
        <v>44013</v>
      </c>
      <c r="B32" s="16">
        <v>1937</v>
      </c>
      <c r="C32" s="16">
        <v>1973</v>
      </c>
      <c r="D32" s="16">
        <v>1560</v>
      </c>
      <c r="E32" s="16">
        <v>1622</v>
      </c>
      <c r="F32" s="16">
        <v>1622</v>
      </c>
      <c r="G32" s="16">
        <v>115200</v>
      </c>
      <c r="H32" s="16">
        <f t="shared" si="0"/>
        <v>-315</v>
      </c>
    </row>
    <row r="33" spans="1:8">
      <c r="A33" s="17">
        <v>44046</v>
      </c>
      <c r="B33" s="16">
        <v>1609</v>
      </c>
      <c r="C33" s="16">
        <v>1807</v>
      </c>
      <c r="D33" s="16">
        <v>1609</v>
      </c>
      <c r="E33" s="16">
        <v>1706</v>
      </c>
      <c r="F33" s="16">
        <v>1706</v>
      </c>
      <c r="G33" s="16">
        <v>40600</v>
      </c>
      <c r="H33" s="16">
        <f t="shared" si="0"/>
        <v>97</v>
      </c>
    </row>
    <row r="34" spans="1:8">
      <c r="A34" s="17">
        <v>44075</v>
      </c>
      <c r="B34" s="16">
        <v>1710</v>
      </c>
      <c r="C34" s="16">
        <v>1906</v>
      </c>
      <c r="D34" s="16">
        <v>1702</v>
      </c>
      <c r="E34" s="16">
        <v>1853</v>
      </c>
      <c r="F34" s="16">
        <v>1853</v>
      </c>
      <c r="G34" s="16">
        <v>63600</v>
      </c>
      <c r="H34" s="16">
        <f t="shared" ref="H34:H61" si="1">E34-B34</f>
        <v>143</v>
      </c>
    </row>
    <row r="35" spans="1:8">
      <c r="A35" s="17">
        <v>44106</v>
      </c>
      <c r="B35" s="16">
        <v>1853</v>
      </c>
      <c r="C35" s="16">
        <v>1985</v>
      </c>
      <c r="D35" s="16">
        <v>1838</v>
      </c>
      <c r="E35" s="16">
        <v>1875</v>
      </c>
      <c r="F35" s="16">
        <v>1875</v>
      </c>
      <c r="G35" s="16">
        <v>43700</v>
      </c>
      <c r="H35" s="16">
        <f t="shared" si="1"/>
        <v>22</v>
      </c>
    </row>
    <row r="36" spans="1:8">
      <c r="A36" s="17">
        <v>44137</v>
      </c>
      <c r="B36" s="16">
        <v>1870</v>
      </c>
      <c r="C36" s="16">
        <v>1938</v>
      </c>
      <c r="D36" s="16">
        <v>1870</v>
      </c>
      <c r="E36" s="16">
        <v>1912</v>
      </c>
      <c r="F36" s="16">
        <v>1912</v>
      </c>
      <c r="G36" s="16">
        <v>30700</v>
      </c>
      <c r="H36" s="16">
        <f t="shared" si="1"/>
        <v>42</v>
      </c>
    </row>
    <row r="37" spans="1:8">
      <c r="A37" s="17">
        <v>44166</v>
      </c>
      <c r="B37" s="16">
        <v>1920</v>
      </c>
      <c r="C37" s="16">
        <v>2024</v>
      </c>
      <c r="D37" s="16">
        <v>1907</v>
      </c>
      <c r="E37" s="16">
        <v>2012</v>
      </c>
      <c r="F37" s="16">
        <v>2012</v>
      </c>
      <c r="G37" s="16">
        <v>81700</v>
      </c>
      <c r="H37" s="16">
        <f t="shared" si="1"/>
        <v>92</v>
      </c>
    </row>
    <row r="38" spans="1:8">
      <c r="A38" s="17">
        <v>44200</v>
      </c>
      <c r="B38" s="16">
        <v>1999</v>
      </c>
      <c r="C38" s="16">
        <v>1999</v>
      </c>
      <c r="D38" s="16">
        <v>1792</v>
      </c>
      <c r="E38" s="16">
        <v>1823</v>
      </c>
      <c r="F38" s="16">
        <v>1823</v>
      </c>
      <c r="G38" s="16">
        <v>171500</v>
      </c>
      <c r="H38" s="16">
        <f t="shared" si="1"/>
        <v>-176</v>
      </c>
    </row>
    <row r="39" spans="1:8">
      <c r="A39" s="17">
        <v>44228</v>
      </c>
      <c r="B39" s="16">
        <v>1823</v>
      </c>
      <c r="C39" s="16">
        <v>1846</v>
      </c>
      <c r="D39" s="16">
        <v>1804</v>
      </c>
      <c r="E39" s="16">
        <v>1823</v>
      </c>
      <c r="F39" s="16">
        <v>1823</v>
      </c>
      <c r="G39" s="16">
        <v>76300</v>
      </c>
      <c r="H39" s="16">
        <f t="shared" si="1"/>
        <v>0</v>
      </c>
    </row>
    <row r="40" spans="1:8">
      <c r="A40" s="17">
        <v>44256</v>
      </c>
      <c r="B40" s="16">
        <v>1830</v>
      </c>
      <c r="C40" s="16">
        <v>1888</v>
      </c>
      <c r="D40" s="16">
        <v>1810</v>
      </c>
      <c r="E40" s="16">
        <v>1872</v>
      </c>
      <c r="F40" s="16">
        <v>1872</v>
      </c>
      <c r="G40" s="16">
        <v>74500</v>
      </c>
      <c r="H40" s="16">
        <f t="shared" si="1"/>
        <v>42</v>
      </c>
    </row>
    <row r="41" spans="1:8">
      <c r="A41" s="17">
        <v>44287</v>
      </c>
      <c r="B41" s="16">
        <v>1882</v>
      </c>
      <c r="C41" s="16">
        <v>1920</v>
      </c>
      <c r="D41" s="16">
        <v>1850</v>
      </c>
      <c r="E41" s="16">
        <v>1895</v>
      </c>
      <c r="F41" s="16">
        <v>1895</v>
      </c>
      <c r="G41" s="16">
        <v>76300</v>
      </c>
      <c r="H41" s="16">
        <f t="shared" si="1"/>
        <v>13</v>
      </c>
    </row>
    <row r="42" spans="1:8">
      <c r="A42" s="17">
        <v>44322</v>
      </c>
      <c r="B42" s="16">
        <v>1900</v>
      </c>
      <c r="C42" s="16">
        <v>1920</v>
      </c>
      <c r="D42" s="16">
        <v>1880</v>
      </c>
      <c r="E42" s="16">
        <v>1894</v>
      </c>
      <c r="F42" s="16">
        <v>1894</v>
      </c>
      <c r="G42" s="16">
        <v>36600</v>
      </c>
      <c r="H42" s="16">
        <f t="shared" si="1"/>
        <v>-6</v>
      </c>
    </row>
    <row r="43" spans="1:8">
      <c r="A43" s="17">
        <v>44348</v>
      </c>
      <c r="B43" s="16">
        <v>1905</v>
      </c>
      <c r="C43" s="16">
        <v>1941</v>
      </c>
      <c r="D43" s="16">
        <v>1885</v>
      </c>
      <c r="E43" s="16">
        <v>1933</v>
      </c>
      <c r="F43" s="16">
        <v>1933</v>
      </c>
      <c r="G43" s="16">
        <v>80500</v>
      </c>
      <c r="H43" s="16">
        <f t="shared" si="1"/>
        <v>28</v>
      </c>
    </row>
    <row r="44" spans="1:8">
      <c r="A44" s="17">
        <v>44378</v>
      </c>
      <c r="B44" s="16">
        <v>1933</v>
      </c>
      <c r="C44" s="16">
        <v>1940</v>
      </c>
      <c r="D44" s="16">
        <v>1811</v>
      </c>
      <c r="E44" s="16">
        <v>1858</v>
      </c>
      <c r="F44" s="16">
        <v>1858</v>
      </c>
      <c r="G44" s="16">
        <v>113100</v>
      </c>
      <c r="H44" s="16">
        <f t="shared" si="1"/>
        <v>-75</v>
      </c>
    </row>
    <row r="45" spans="1:8">
      <c r="A45" s="17">
        <v>44410</v>
      </c>
      <c r="B45" s="16">
        <v>1849</v>
      </c>
      <c r="C45" s="16">
        <v>1862</v>
      </c>
      <c r="D45" s="16">
        <v>1821</v>
      </c>
      <c r="E45" s="16">
        <v>1839</v>
      </c>
      <c r="F45" s="16">
        <v>1839</v>
      </c>
      <c r="G45" s="16">
        <v>37900</v>
      </c>
      <c r="H45" s="16">
        <f t="shared" si="1"/>
        <v>-10</v>
      </c>
    </row>
    <row r="46" spans="1:8">
      <c r="A46" s="17">
        <v>44440</v>
      </c>
      <c r="B46" s="16">
        <v>1836</v>
      </c>
      <c r="C46" s="16">
        <v>1910</v>
      </c>
      <c r="D46" s="16">
        <v>1836</v>
      </c>
      <c r="E46" s="16">
        <v>1902</v>
      </c>
      <c r="F46" s="16">
        <v>1902</v>
      </c>
      <c r="G46" s="16">
        <v>55200</v>
      </c>
      <c r="H46" s="16">
        <f t="shared" si="1"/>
        <v>66</v>
      </c>
    </row>
    <row r="47" spans="1:8">
      <c r="A47" s="17">
        <v>44470</v>
      </c>
      <c r="B47" s="16">
        <v>1903</v>
      </c>
      <c r="C47" s="16">
        <v>1911</v>
      </c>
      <c r="D47" s="16">
        <v>1881</v>
      </c>
      <c r="E47" s="16">
        <v>1910</v>
      </c>
      <c r="F47" s="16">
        <v>1910</v>
      </c>
      <c r="G47" s="16">
        <v>35700</v>
      </c>
      <c r="H47" s="16">
        <f t="shared" si="1"/>
        <v>7</v>
      </c>
    </row>
    <row r="48" spans="1:8">
      <c r="A48" s="17">
        <v>44501</v>
      </c>
      <c r="B48" s="16">
        <v>1910</v>
      </c>
      <c r="C48" s="16">
        <v>1942</v>
      </c>
      <c r="D48" s="16">
        <v>1881</v>
      </c>
      <c r="E48" s="16">
        <v>1900</v>
      </c>
      <c r="F48" s="16">
        <v>1900</v>
      </c>
      <c r="G48" s="16">
        <v>43800</v>
      </c>
      <c r="H48" s="16">
        <f t="shared" si="1"/>
        <v>-10</v>
      </c>
    </row>
    <row r="49" spans="1:8">
      <c r="A49" s="17">
        <v>44531</v>
      </c>
      <c r="B49" s="16">
        <v>1913</v>
      </c>
      <c r="C49" s="16">
        <v>1920</v>
      </c>
      <c r="D49" s="16">
        <v>1881</v>
      </c>
      <c r="E49" s="16">
        <v>1920</v>
      </c>
      <c r="F49" s="16">
        <v>1920</v>
      </c>
      <c r="G49" s="16">
        <v>45000</v>
      </c>
      <c r="H49" s="16">
        <f t="shared" si="1"/>
        <v>7</v>
      </c>
    </row>
    <row r="50" spans="1:8">
      <c r="A50" s="17">
        <v>44565</v>
      </c>
      <c r="B50" s="16">
        <v>1919</v>
      </c>
      <c r="C50" s="16">
        <v>1929</v>
      </c>
      <c r="D50" s="16">
        <v>1843</v>
      </c>
      <c r="E50" s="16">
        <v>1861</v>
      </c>
      <c r="F50" s="16">
        <v>1861</v>
      </c>
      <c r="G50" s="16">
        <v>97100</v>
      </c>
      <c r="H50" s="16">
        <f t="shared" si="1"/>
        <v>-58</v>
      </c>
    </row>
    <row r="51" spans="1:8">
      <c r="A51" s="17">
        <v>44593</v>
      </c>
      <c r="B51" s="16">
        <v>1875</v>
      </c>
      <c r="C51" s="16">
        <v>1879</v>
      </c>
      <c r="D51" s="16">
        <v>1855</v>
      </c>
      <c r="E51" s="16">
        <v>1867</v>
      </c>
      <c r="F51" s="16">
        <v>1867</v>
      </c>
      <c r="G51" s="16">
        <v>36100</v>
      </c>
      <c r="H51" s="16">
        <f t="shared" si="1"/>
        <v>-8</v>
      </c>
    </row>
    <row r="52" spans="1:8">
      <c r="A52" s="17">
        <v>44621</v>
      </c>
      <c r="B52" s="16">
        <v>1877</v>
      </c>
      <c r="C52" s="16">
        <v>1887</v>
      </c>
      <c r="D52" s="16">
        <v>1810</v>
      </c>
      <c r="E52" s="16">
        <v>1880</v>
      </c>
      <c r="F52" s="16">
        <v>1880</v>
      </c>
      <c r="G52" s="16">
        <v>42300</v>
      </c>
      <c r="H52" s="16">
        <f t="shared" si="1"/>
        <v>3</v>
      </c>
    </row>
    <row r="53" spans="1:8">
      <c r="A53" s="17">
        <v>44652</v>
      </c>
      <c r="B53" s="16">
        <v>1867</v>
      </c>
      <c r="C53" s="16">
        <v>1907</v>
      </c>
      <c r="D53" s="16">
        <v>1867</v>
      </c>
      <c r="E53" s="16">
        <v>1894</v>
      </c>
      <c r="F53" s="16">
        <v>1894</v>
      </c>
      <c r="G53" s="16">
        <v>20300</v>
      </c>
      <c r="H53" s="16">
        <f t="shared" si="1"/>
        <v>27</v>
      </c>
    </row>
    <row r="54" spans="1:8">
      <c r="A54" s="17">
        <v>44683</v>
      </c>
      <c r="B54" s="16">
        <v>1898</v>
      </c>
      <c r="C54" s="16">
        <v>1928</v>
      </c>
      <c r="D54" s="16">
        <v>1886</v>
      </c>
      <c r="E54" s="16">
        <v>1913</v>
      </c>
      <c r="F54" s="16">
        <v>1913</v>
      </c>
      <c r="G54" s="16">
        <v>31200</v>
      </c>
      <c r="H54" s="16">
        <f t="shared" si="1"/>
        <v>15</v>
      </c>
    </row>
    <row r="55" spans="1:8">
      <c r="A55" s="17">
        <v>44713</v>
      </c>
      <c r="B55" s="16">
        <v>1927</v>
      </c>
      <c r="C55" s="16">
        <v>1969</v>
      </c>
      <c r="D55" s="16">
        <v>1914</v>
      </c>
      <c r="E55" s="16">
        <v>1952</v>
      </c>
      <c r="F55" s="16">
        <v>1952</v>
      </c>
      <c r="G55" s="16">
        <v>48100</v>
      </c>
      <c r="H55" s="16">
        <f t="shared" si="1"/>
        <v>25</v>
      </c>
    </row>
    <row r="56" spans="1:8">
      <c r="A56" s="17">
        <v>44743</v>
      </c>
      <c r="B56" s="16">
        <v>1952</v>
      </c>
      <c r="C56" s="16">
        <v>2035</v>
      </c>
      <c r="D56" s="16">
        <v>1935</v>
      </c>
      <c r="E56" s="16">
        <v>1945</v>
      </c>
      <c r="F56" s="16">
        <v>1945</v>
      </c>
      <c r="G56" s="16">
        <v>97900</v>
      </c>
      <c r="H56" s="16">
        <f t="shared" si="1"/>
        <v>-7</v>
      </c>
    </row>
    <row r="57" spans="1:8">
      <c r="A57" s="17">
        <v>44774</v>
      </c>
      <c r="B57" s="16">
        <v>1950</v>
      </c>
      <c r="C57" s="16">
        <v>1975</v>
      </c>
      <c r="D57" s="16">
        <v>1948</v>
      </c>
      <c r="E57" s="16">
        <v>1965</v>
      </c>
      <c r="F57" s="16">
        <v>1965</v>
      </c>
      <c r="G57" s="16">
        <v>43600</v>
      </c>
      <c r="H57" s="16">
        <f t="shared" si="1"/>
        <v>15</v>
      </c>
    </row>
    <row r="58" spans="1:8">
      <c r="A58" s="17">
        <v>44805</v>
      </c>
      <c r="B58" s="16">
        <v>1957</v>
      </c>
      <c r="C58" s="16">
        <v>1999</v>
      </c>
      <c r="D58" s="16">
        <v>1957</v>
      </c>
      <c r="E58" s="16">
        <v>1990</v>
      </c>
      <c r="F58" s="16">
        <v>1990</v>
      </c>
      <c r="G58" s="16">
        <v>40600</v>
      </c>
      <c r="H58" s="16">
        <f t="shared" si="1"/>
        <v>33</v>
      </c>
    </row>
    <row r="59" spans="1:8">
      <c r="A59" s="17">
        <v>44837</v>
      </c>
      <c r="B59" s="16">
        <v>1992</v>
      </c>
      <c r="C59" s="16">
        <v>2066</v>
      </c>
      <c r="D59" s="16">
        <v>1984</v>
      </c>
      <c r="E59" s="16">
        <v>2063</v>
      </c>
      <c r="F59" s="16">
        <v>2063</v>
      </c>
      <c r="G59" s="16">
        <v>40100</v>
      </c>
      <c r="H59" s="16">
        <f t="shared" si="1"/>
        <v>71</v>
      </c>
    </row>
    <row r="60" spans="1:8">
      <c r="A60" s="17">
        <v>44866</v>
      </c>
      <c r="B60" s="16">
        <v>2064</v>
      </c>
      <c r="C60" s="16">
        <v>2264</v>
      </c>
      <c r="D60" s="16">
        <v>2064</v>
      </c>
      <c r="E60" s="16">
        <v>2260</v>
      </c>
      <c r="F60" s="16">
        <v>2260</v>
      </c>
      <c r="G60" s="16">
        <v>56500</v>
      </c>
      <c r="H60" s="16">
        <f t="shared" si="1"/>
        <v>196</v>
      </c>
    </row>
    <row r="61" spans="1:8">
      <c r="A61" s="17">
        <v>44896</v>
      </c>
      <c r="B61" s="16">
        <v>2279</v>
      </c>
      <c r="C61" s="16">
        <v>2599</v>
      </c>
      <c r="D61" s="16">
        <v>2274</v>
      </c>
      <c r="E61" s="16">
        <v>2535</v>
      </c>
      <c r="F61" s="16">
        <v>2535</v>
      </c>
      <c r="G61" s="16">
        <v>114400</v>
      </c>
      <c r="H61" s="16">
        <f t="shared" si="1"/>
        <v>256</v>
      </c>
    </row>
  </sheetData>
  <phoneticPr fontId="32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9C735-A78A-480D-8E10-FA1FD8405E50}">
  <sheetPr codeName="Sheet16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1218</v>
      </c>
      <c r="C2" s="16">
        <v>1236</v>
      </c>
      <c r="D2" s="16">
        <v>1100</v>
      </c>
      <c r="E2" s="16">
        <v>1132</v>
      </c>
      <c r="F2" s="16">
        <v>1132</v>
      </c>
      <c r="G2" s="16">
        <v>779000</v>
      </c>
      <c r="H2" s="16">
        <f t="shared" ref="H2:H33" si="0">E2-B2</f>
        <v>-86</v>
      </c>
      <c r="J2" s="18" cm="1">
        <f t="array" ref="J2:Q6">_xlfn._xlws.FILTER(A2:H61,MONTH(A2:A61)=1,"")</f>
        <v>43104</v>
      </c>
      <c r="K2" s="16">
        <v>1218</v>
      </c>
      <c r="L2" s="16">
        <v>1236</v>
      </c>
      <c r="M2" s="16">
        <v>1100</v>
      </c>
      <c r="N2" s="16">
        <v>1132</v>
      </c>
      <c r="O2" s="16">
        <v>1132</v>
      </c>
      <c r="P2" s="16">
        <v>779000</v>
      </c>
      <c r="Q2" s="16">
        <v>-86</v>
      </c>
      <c r="R2" s="16">
        <f>Q2/K2*100</f>
        <v>-7.0607553366174054</v>
      </c>
      <c r="S2" s="16">
        <f>COUNT(Q2:Q6)</f>
        <v>5</v>
      </c>
      <c r="T2" s="18" cm="1">
        <f t="array" ref="T2:AA6">_xlfn._xlws.FILTER(A2:H61,MONTH(A2:A61)=2,"")</f>
        <v>43132</v>
      </c>
      <c r="U2" s="16">
        <v>1140</v>
      </c>
      <c r="V2" s="16">
        <v>1142</v>
      </c>
      <c r="W2" s="16">
        <v>825</v>
      </c>
      <c r="X2" s="16">
        <v>888</v>
      </c>
      <c r="Y2" s="16">
        <v>888</v>
      </c>
      <c r="Z2" s="16">
        <v>400300</v>
      </c>
      <c r="AA2" s="16">
        <v>-252</v>
      </c>
      <c r="AB2" s="16">
        <f>AA2/U2*100</f>
        <v>-22.105263157894736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882</v>
      </c>
      <c r="AF2" s="16">
        <v>914</v>
      </c>
      <c r="AG2" s="16">
        <v>730</v>
      </c>
      <c r="AH2" s="16">
        <v>782</v>
      </c>
      <c r="AI2" s="16">
        <v>782</v>
      </c>
      <c r="AJ2" s="16">
        <v>193700</v>
      </c>
      <c r="AK2" s="16">
        <v>-100</v>
      </c>
      <c r="AL2" s="16">
        <f>AK2/AE2*100</f>
        <v>-11.337868480725625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783</v>
      </c>
      <c r="AP2" s="16">
        <v>842</v>
      </c>
      <c r="AQ2" s="16">
        <v>783</v>
      </c>
      <c r="AR2" s="16">
        <v>816</v>
      </c>
      <c r="AS2" s="16">
        <v>816</v>
      </c>
      <c r="AT2" s="16">
        <v>121400</v>
      </c>
      <c r="AU2" s="16">
        <v>33</v>
      </c>
      <c r="AV2" s="16">
        <f>AU2/AO2*100</f>
        <v>4.2145593869731801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816</v>
      </c>
      <c r="AZ2" s="16">
        <v>824</v>
      </c>
      <c r="BA2" s="16">
        <v>802</v>
      </c>
      <c r="BB2" s="16">
        <v>809</v>
      </c>
      <c r="BC2" s="16">
        <v>809</v>
      </c>
      <c r="BD2" s="16">
        <v>77000</v>
      </c>
      <c r="BE2" s="16">
        <v>-7</v>
      </c>
      <c r="BF2" s="16">
        <f>BE2/AY2*100</f>
        <v>-0.85784313725490202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803</v>
      </c>
      <c r="BJ2" s="16">
        <v>873</v>
      </c>
      <c r="BK2" s="16">
        <v>784</v>
      </c>
      <c r="BL2" s="16">
        <v>806</v>
      </c>
      <c r="BM2" s="16">
        <v>806</v>
      </c>
      <c r="BN2" s="16">
        <v>147800</v>
      </c>
      <c r="BO2" s="16">
        <v>3</v>
      </c>
      <c r="BP2" s="16">
        <f>BO2/BI2*100</f>
        <v>0.37359900373599003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806</v>
      </c>
      <c r="BT2" s="16">
        <v>826</v>
      </c>
      <c r="BU2" s="16">
        <v>784</v>
      </c>
      <c r="BV2" s="16">
        <v>824</v>
      </c>
      <c r="BW2" s="16">
        <v>824</v>
      </c>
      <c r="BX2" s="16">
        <v>57500</v>
      </c>
      <c r="BY2" s="16">
        <v>18</v>
      </c>
      <c r="BZ2" s="16">
        <f>BY2/BS2*100</f>
        <v>2.2332506203473943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825</v>
      </c>
      <c r="CD2" s="16">
        <v>826</v>
      </c>
      <c r="CE2" s="16">
        <v>786</v>
      </c>
      <c r="CF2" s="16">
        <v>802</v>
      </c>
      <c r="CG2" s="16">
        <v>802</v>
      </c>
      <c r="CH2" s="16">
        <v>88500</v>
      </c>
      <c r="CI2" s="16">
        <v>-23</v>
      </c>
      <c r="CJ2" s="16">
        <f>CI2/CC2*100</f>
        <v>-2.7878787878787876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802</v>
      </c>
      <c r="CN2" s="16">
        <v>900</v>
      </c>
      <c r="CO2" s="16">
        <v>801</v>
      </c>
      <c r="CP2" s="16">
        <v>834</v>
      </c>
      <c r="CQ2" s="16">
        <v>834</v>
      </c>
      <c r="CR2" s="16">
        <v>197400</v>
      </c>
      <c r="CS2" s="16">
        <v>32</v>
      </c>
      <c r="CT2" s="16">
        <f>CS2/CM2*100</f>
        <v>3.9900249376558601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838</v>
      </c>
      <c r="CX2" s="16">
        <v>838</v>
      </c>
      <c r="CY2" s="16">
        <v>760</v>
      </c>
      <c r="CZ2" s="16">
        <v>787</v>
      </c>
      <c r="DA2" s="16">
        <v>787</v>
      </c>
      <c r="DB2" s="16">
        <v>86900</v>
      </c>
      <c r="DC2" s="16">
        <v>-51</v>
      </c>
      <c r="DD2" s="16">
        <f>DC2/CW2*100</f>
        <v>-6.0859188544152749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792</v>
      </c>
      <c r="DH2" s="16">
        <v>820</v>
      </c>
      <c r="DI2" s="16">
        <v>788</v>
      </c>
      <c r="DJ2" s="16">
        <v>800</v>
      </c>
      <c r="DK2" s="16">
        <v>800</v>
      </c>
      <c r="DL2" s="16">
        <v>53700</v>
      </c>
      <c r="DM2" s="16">
        <v>8</v>
      </c>
      <c r="DN2" s="16">
        <f>DM2/DG2*100</f>
        <v>1.0101010101010102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807</v>
      </c>
      <c r="DR2" s="16">
        <v>807</v>
      </c>
      <c r="DS2" s="16">
        <v>615</v>
      </c>
      <c r="DT2" s="16">
        <v>720</v>
      </c>
      <c r="DU2" s="16">
        <v>720</v>
      </c>
      <c r="DV2" s="16">
        <v>154900</v>
      </c>
      <c r="DW2" s="16">
        <v>-87</v>
      </c>
      <c r="DX2" s="16">
        <f>DW2/DQ2*100</f>
        <v>-10.780669144981413</v>
      </c>
      <c r="DY2" s="16">
        <f>COUNT(DW2:DW6)</f>
        <v>5</v>
      </c>
    </row>
    <row r="3" spans="1:129">
      <c r="A3" s="17">
        <v>43132</v>
      </c>
      <c r="B3" s="16">
        <v>1140</v>
      </c>
      <c r="C3" s="16">
        <v>1142</v>
      </c>
      <c r="D3" s="16">
        <v>825</v>
      </c>
      <c r="E3" s="16">
        <v>888</v>
      </c>
      <c r="F3" s="16">
        <v>888</v>
      </c>
      <c r="G3" s="16">
        <v>400300</v>
      </c>
      <c r="H3" s="16">
        <f t="shared" si="0"/>
        <v>-252</v>
      </c>
      <c r="J3" s="18">
        <v>43469</v>
      </c>
      <c r="K3" s="16">
        <v>711</v>
      </c>
      <c r="L3" s="16">
        <v>811</v>
      </c>
      <c r="M3" s="16">
        <v>710</v>
      </c>
      <c r="N3" s="16">
        <v>746</v>
      </c>
      <c r="O3" s="16">
        <v>746</v>
      </c>
      <c r="P3" s="16">
        <v>466200</v>
      </c>
      <c r="Q3" s="16">
        <v>35</v>
      </c>
      <c r="R3" s="16">
        <f>Q3/K3*100</f>
        <v>4.9226441631504922</v>
      </c>
      <c r="S3" s="16">
        <f>COUNTIF(Q2:Q6,"&gt;0")</f>
        <v>1</v>
      </c>
      <c r="T3" s="18">
        <v>43497</v>
      </c>
      <c r="U3" s="16">
        <v>742</v>
      </c>
      <c r="V3" s="16">
        <v>750</v>
      </c>
      <c r="W3" s="16">
        <v>712</v>
      </c>
      <c r="X3" s="16">
        <v>721</v>
      </c>
      <c r="Y3" s="16">
        <v>721</v>
      </c>
      <c r="Z3" s="16">
        <v>73100</v>
      </c>
      <c r="AA3" s="16">
        <v>-21</v>
      </c>
      <c r="AB3" s="16">
        <f>AA3/U3*100</f>
        <v>-2.8301886792452833</v>
      </c>
      <c r="AC3" s="16">
        <f>COUNTIF(AA2:AA6,"&gt;0")</f>
        <v>1</v>
      </c>
      <c r="AD3" s="18">
        <v>43525</v>
      </c>
      <c r="AE3" s="16">
        <v>719</v>
      </c>
      <c r="AF3" s="16">
        <v>795</v>
      </c>
      <c r="AG3" s="16">
        <v>633</v>
      </c>
      <c r="AH3" s="16">
        <v>642</v>
      </c>
      <c r="AI3" s="16">
        <v>642</v>
      </c>
      <c r="AJ3" s="16">
        <v>221300</v>
      </c>
      <c r="AK3" s="16">
        <v>-77</v>
      </c>
      <c r="AL3" s="16">
        <f>AK3/AE3*100</f>
        <v>-10.70931849791377</v>
      </c>
      <c r="AM3" s="16">
        <f>COUNTIF(AK2:AK6,"&gt;0")</f>
        <v>0</v>
      </c>
      <c r="AN3" s="18">
        <v>43556</v>
      </c>
      <c r="AO3" s="16">
        <v>650</v>
      </c>
      <c r="AP3" s="16">
        <v>668</v>
      </c>
      <c r="AQ3" s="16">
        <v>628</v>
      </c>
      <c r="AR3" s="16">
        <v>638</v>
      </c>
      <c r="AS3" s="16">
        <v>638</v>
      </c>
      <c r="AT3" s="16">
        <v>98700</v>
      </c>
      <c r="AU3" s="16">
        <v>-12</v>
      </c>
      <c r="AV3" s="16">
        <f>AU3/AO3*100</f>
        <v>-1.8461538461538463</v>
      </c>
      <c r="AW3" s="16">
        <f>COUNTIF(AU2:AU6,"&gt;0")</f>
        <v>3</v>
      </c>
      <c r="AX3" s="18">
        <v>43592</v>
      </c>
      <c r="AY3" s="16">
        <v>642</v>
      </c>
      <c r="AZ3" s="16">
        <v>645</v>
      </c>
      <c r="BA3" s="16">
        <v>593</v>
      </c>
      <c r="BB3" s="16">
        <v>601</v>
      </c>
      <c r="BC3" s="16">
        <v>601</v>
      </c>
      <c r="BD3" s="16">
        <v>74500</v>
      </c>
      <c r="BE3" s="16">
        <v>-41</v>
      </c>
      <c r="BF3" s="16">
        <f>BE3/AY3*100</f>
        <v>-6.3862928348909653</v>
      </c>
      <c r="BG3" s="16">
        <f>COUNTIF(BE2:BE6,"&gt;0")</f>
        <v>3</v>
      </c>
      <c r="BH3" s="18">
        <v>43619</v>
      </c>
      <c r="BI3" s="16">
        <v>592</v>
      </c>
      <c r="BJ3" s="16">
        <v>695</v>
      </c>
      <c r="BK3" s="16">
        <v>588</v>
      </c>
      <c r="BL3" s="16">
        <v>626</v>
      </c>
      <c r="BM3" s="16">
        <v>626</v>
      </c>
      <c r="BN3" s="16">
        <v>564400</v>
      </c>
      <c r="BO3" s="16">
        <v>34</v>
      </c>
      <c r="BP3" s="16">
        <f>BO3/BI3*100</f>
        <v>5.7432432432432439</v>
      </c>
      <c r="BQ3" s="16">
        <f>COUNTIF(BO2:BO6,"&gt;0")</f>
        <v>3</v>
      </c>
      <c r="BR3" s="18">
        <v>43647</v>
      </c>
      <c r="BS3" s="16">
        <v>627</v>
      </c>
      <c r="BT3" s="16">
        <v>631</v>
      </c>
      <c r="BU3" s="16">
        <v>612</v>
      </c>
      <c r="BV3" s="16">
        <v>615</v>
      </c>
      <c r="BW3" s="16">
        <v>615</v>
      </c>
      <c r="BX3" s="16">
        <v>67700</v>
      </c>
      <c r="BY3" s="16">
        <v>-12</v>
      </c>
      <c r="BZ3" s="16">
        <f>BY3/BS3*100</f>
        <v>-1.9138755980861244</v>
      </c>
      <c r="CA3" s="16">
        <f>COUNTIF(BY2:BY6,"&gt;0")</f>
        <v>1</v>
      </c>
      <c r="CB3" s="18">
        <v>43678</v>
      </c>
      <c r="CC3" s="16">
        <v>614</v>
      </c>
      <c r="CD3" s="16">
        <v>633</v>
      </c>
      <c r="CE3" s="16">
        <v>585</v>
      </c>
      <c r="CF3" s="16">
        <v>630</v>
      </c>
      <c r="CG3" s="16">
        <v>630</v>
      </c>
      <c r="CH3" s="16">
        <v>129600</v>
      </c>
      <c r="CI3" s="16">
        <v>16</v>
      </c>
      <c r="CJ3" s="16">
        <f>CI3/CC3*100</f>
        <v>2.6058631921824107</v>
      </c>
      <c r="CK3" s="16">
        <f>COUNTIF(CI2:CI6,"&gt;0")</f>
        <v>4</v>
      </c>
      <c r="CL3" s="18">
        <v>43710</v>
      </c>
      <c r="CM3" s="16">
        <v>627</v>
      </c>
      <c r="CN3" s="16">
        <v>635</v>
      </c>
      <c r="CO3" s="16">
        <v>588</v>
      </c>
      <c r="CP3" s="16">
        <v>613</v>
      </c>
      <c r="CQ3" s="16">
        <v>613</v>
      </c>
      <c r="CR3" s="16">
        <v>228300</v>
      </c>
      <c r="CS3" s="16">
        <v>-14</v>
      </c>
      <c r="CT3" s="16">
        <f>CS3/CM3*100</f>
        <v>-2.2328548644338118</v>
      </c>
      <c r="CU3" s="16">
        <f>COUNTIF(CS2:CS6,"&gt;0")</f>
        <v>2</v>
      </c>
      <c r="CV3" s="18">
        <v>43739</v>
      </c>
      <c r="CW3" s="16">
        <v>613</v>
      </c>
      <c r="CX3" s="16">
        <v>638</v>
      </c>
      <c r="CY3" s="16">
        <v>605</v>
      </c>
      <c r="CZ3" s="16">
        <v>635</v>
      </c>
      <c r="DA3" s="16">
        <v>635</v>
      </c>
      <c r="DB3" s="16">
        <v>120000</v>
      </c>
      <c r="DC3" s="16">
        <v>22</v>
      </c>
      <c r="DD3" s="16">
        <f>DC3/CW3*100</f>
        <v>3.588907014681892</v>
      </c>
      <c r="DE3" s="16">
        <f>COUNTIF(DC2:DC6,"&gt;0")</f>
        <v>2</v>
      </c>
      <c r="DF3" s="18">
        <v>43770</v>
      </c>
      <c r="DG3" s="16">
        <v>637</v>
      </c>
      <c r="DH3" s="16">
        <v>757</v>
      </c>
      <c r="DI3" s="16">
        <v>630</v>
      </c>
      <c r="DJ3" s="16">
        <v>749</v>
      </c>
      <c r="DK3" s="16">
        <v>749</v>
      </c>
      <c r="DL3" s="16">
        <v>158800</v>
      </c>
      <c r="DM3" s="16">
        <v>112</v>
      </c>
      <c r="DN3" s="16">
        <f>DM3/DG3*100</f>
        <v>17.582417582417584</v>
      </c>
      <c r="DO3" s="16">
        <f>COUNTIF(DM2:DM6,"&gt;0")</f>
        <v>4</v>
      </c>
      <c r="DP3" s="18">
        <v>43801</v>
      </c>
      <c r="DQ3" s="16">
        <v>779</v>
      </c>
      <c r="DR3" s="16">
        <v>899</v>
      </c>
      <c r="DS3" s="16">
        <v>732</v>
      </c>
      <c r="DT3" s="16">
        <v>870</v>
      </c>
      <c r="DU3" s="16">
        <v>870</v>
      </c>
      <c r="DV3" s="16">
        <v>777200</v>
      </c>
      <c r="DW3" s="16">
        <v>91</v>
      </c>
      <c r="DX3" s="16">
        <f>DW3/DQ3*100</f>
        <v>11.681643132220795</v>
      </c>
      <c r="DY3" s="16">
        <f>COUNTIF(DW2:DW6,"&gt;0")</f>
        <v>3</v>
      </c>
    </row>
    <row r="4" spans="1:129">
      <c r="A4" s="17">
        <v>43160</v>
      </c>
      <c r="B4" s="16">
        <v>882</v>
      </c>
      <c r="C4" s="16">
        <v>914</v>
      </c>
      <c r="D4" s="16">
        <v>730</v>
      </c>
      <c r="E4" s="16">
        <v>782</v>
      </c>
      <c r="F4" s="16">
        <v>782</v>
      </c>
      <c r="G4" s="16">
        <v>193700</v>
      </c>
      <c r="H4" s="16">
        <f t="shared" si="0"/>
        <v>-100</v>
      </c>
      <c r="J4" s="18">
        <v>43836</v>
      </c>
      <c r="K4" s="16">
        <v>870</v>
      </c>
      <c r="L4" s="16">
        <v>895</v>
      </c>
      <c r="M4" s="16">
        <v>754</v>
      </c>
      <c r="N4" s="16">
        <v>759</v>
      </c>
      <c r="O4" s="16">
        <v>759</v>
      </c>
      <c r="P4" s="16">
        <v>713600</v>
      </c>
      <c r="Q4" s="16">
        <v>-111</v>
      </c>
      <c r="R4" s="16">
        <f>Q4/K4*100</f>
        <v>-12.758620689655173</v>
      </c>
      <c r="S4" s="19">
        <f>S3/S2*100</f>
        <v>20</v>
      </c>
      <c r="T4" s="18">
        <v>43864</v>
      </c>
      <c r="U4" s="16">
        <v>740</v>
      </c>
      <c r="V4" s="16">
        <v>777</v>
      </c>
      <c r="W4" s="16">
        <v>565</v>
      </c>
      <c r="X4" s="16">
        <v>565</v>
      </c>
      <c r="Y4" s="16">
        <v>565</v>
      </c>
      <c r="Z4" s="16">
        <v>253800</v>
      </c>
      <c r="AA4" s="16">
        <v>-175</v>
      </c>
      <c r="AB4" s="16">
        <f>AA4/U4*100</f>
        <v>-23.648648648648649</v>
      </c>
      <c r="AC4" s="19">
        <f>AC3/AC2*100</f>
        <v>20</v>
      </c>
      <c r="AD4" s="18">
        <v>43892</v>
      </c>
      <c r="AE4" s="16">
        <v>558</v>
      </c>
      <c r="AF4" s="16">
        <v>637</v>
      </c>
      <c r="AG4" s="16">
        <v>350</v>
      </c>
      <c r="AH4" s="16">
        <v>410</v>
      </c>
      <c r="AI4" s="16">
        <v>410</v>
      </c>
      <c r="AJ4" s="16">
        <v>567500</v>
      </c>
      <c r="AK4" s="16">
        <v>-148</v>
      </c>
      <c r="AL4" s="16">
        <f>AK4/AE4*100</f>
        <v>-26.523297491039425</v>
      </c>
      <c r="AM4" s="19">
        <f>AM3/AM2*100</f>
        <v>0</v>
      </c>
      <c r="AN4" s="18">
        <v>43922</v>
      </c>
      <c r="AO4" s="16">
        <v>405</v>
      </c>
      <c r="AP4" s="16">
        <v>527</v>
      </c>
      <c r="AQ4" s="16">
        <v>392</v>
      </c>
      <c r="AR4" s="16">
        <v>469</v>
      </c>
      <c r="AS4" s="16">
        <v>469</v>
      </c>
      <c r="AT4" s="16">
        <v>1380600</v>
      </c>
      <c r="AU4" s="16">
        <v>64</v>
      </c>
      <c r="AV4" s="16">
        <f>AU4/AO4*100</f>
        <v>15.802469135802468</v>
      </c>
      <c r="AW4" s="19">
        <f>AW3/AW2*100</f>
        <v>60</v>
      </c>
      <c r="AX4" s="18">
        <v>43952</v>
      </c>
      <c r="AY4" s="16">
        <v>470</v>
      </c>
      <c r="AZ4" s="16">
        <v>581</v>
      </c>
      <c r="BA4" s="16">
        <v>455</v>
      </c>
      <c r="BB4" s="16">
        <v>565</v>
      </c>
      <c r="BC4" s="16">
        <v>565</v>
      </c>
      <c r="BD4" s="16">
        <v>159400</v>
      </c>
      <c r="BE4" s="16">
        <v>95</v>
      </c>
      <c r="BF4" s="16">
        <f>BE4/AY4*100</f>
        <v>20.212765957446805</v>
      </c>
      <c r="BG4" s="19">
        <f>BG3/BG2*100</f>
        <v>60</v>
      </c>
      <c r="BH4" s="18">
        <v>43983</v>
      </c>
      <c r="BI4" s="16">
        <v>565</v>
      </c>
      <c r="BJ4" s="16">
        <v>600</v>
      </c>
      <c r="BK4" s="16">
        <v>501</v>
      </c>
      <c r="BL4" s="16">
        <v>558</v>
      </c>
      <c r="BM4" s="16">
        <v>558</v>
      </c>
      <c r="BN4" s="16">
        <v>208000</v>
      </c>
      <c r="BO4" s="16">
        <v>-7</v>
      </c>
      <c r="BP4" s="16">
        <f>BO4/BI4*100</f>
        <v>-1.2389380530973451</v>
      </c>
      <c r="BQ4" s="19">
        <f>BQ3/BQ2*100</f>
        <v>60</v>
      </c>
      <c r="BR4" s="18">
        <v>44013</v>
      </c>
      <c r="BS4" s="16">
        <v>558</v>
      </c>
      <c r="BT4" s="16">
        <v>621</v>
      </c>
      <c r="BU4" s="16">
        <v>515</v>
      </c>
      <c r="BV4" s="16">
        <v>523</v>
      </c>
      <c r="BW4" s="16">
        <v>523</v>
      </c>
      <c r="BX4" s="16">
        <v>392600</v>
      </c>
      <c r="BY4" s="16">
        <v>-35</v>
      </c>
      <c r="BZ4" s="16">
        <f>BY4/BS4*100</f>
        <v>-6.2724014336917557</v>
      </c>
      <c r="CA4" s="19">
        <f>CA3/CA2*100</f>
        <v>20</v>
      </c>
      <c r="CB4" s="18">
        <v>44046</v>
      </c>
      <c r="CC4" s="16">
        <v>523</v>
      </c>
      <c r="CD4" s="16">
        <v>618</v>
      </c>
      <c r="CE4" s="16">
        <v>506</v>
      </c>
      <c r="CF4" s="16">
        <v>618</v>
      </c>
      <c r="CG4" s="16">
        <v>618</v>
      </c>
      <c r="CH4" s="16">
        <v>195800</v>
      </c>
      <c r="CI4" s="16">
        <v>95</v>
      </c>
      <c r="CJ4" s="16">
        <f>CI4/CC4*100</f>
        <v>18.164435946462714</v>
      </c>
      <c r="CK4" s="19">
        <f>CK3/CK2*100</f>
        <v>80</v>
      </c>
      <c r="CL4" s="18">
        <v>44075</v>
      </c>
      <c r="CM4" s="16">
        <v>593</v>
      </c>
      <c r="CN4" s="16">
        <v>824</v>
      </c>
      <c r="CO4" s="16">
        <v>593</v>
      </c>
      <c r="CP4" s="16">
        <v>706</v>
      </c>
      <c r="CQ4" s="16">
        <v>706</v>
      </c>
      <c r="CR4" s="16">
        <v>434600</v>
      </c>
      <c r="CS4" s="16">
        <v>113</v>
      </c>
      <c r="CT4" s="16">
        <f>CS4/CM4*100</f>
        <v>19.05564924114671</v>
      </c>
      <c r="CU4" s="19">
        <f>CU3/CU2*100</f>
        <v>40</v>
      </c>
      <c r="CV4" s="18">
        <v>44106</v>
      </c>
      <c r="CW4" s="16">
        <v>710</v>
      </c>
      <c r="CX4" s="16">
        <v>735</v>
      </c>
      <c r="CY4" s="16">
        <v>693</v>
      </c>
      <c r="CZ4" s="16">
        <v>700</v>
      </c>
      <c r="DA4" s="16">
        <v>700</v>
      </c>
      <c r="DB4" s="16">
        <v>106100</v>
      </c>
      <c r="DC4" s="16">
        <v>-10</v>
      </c>
      <c r="DD4" s="16">
        <f>DC4/CW4*100</f>
        <v>-1.4084507042253522</v>
      </c>
      <c r="DE4" s="19">
        <f>DE3/DE2*100</f>
        <v>40</v>
      </c>
      <c r="DF4" s="18">
        <v>44137</v>
      </c>
      <c r="DG4" s="16">
        <v>700</v>
      </c>
      <c r="DH4" s="16">
        <v>803</v>
      </c>
      <c r="DI4" s="16">
        <v>699</v>
      </c>
      <c r="DJ4" s="16">
        <v>800</v>
      </c>
      <c r="DK4" s="16">
        <v>800</v>
      </c>
      <c r="DL4" s="16">
        <v>135000</v>
      </c>
      <c r="DM4" s="16">
        <v>100</v>
      </c>
      <c r="DN4" s="16">
        <f>DM4/DG4*100</f>
        <v>14.285714285714285</v>
      </c>
      <c r="DO4" s="19">
        <f>DO3/DO2*100</f>
        <v>80</v>
      </c>
      <c r="DP4" s="18">
        <v>44166</v>
      </c>
      <c r="DQ4" s="16">
        <v>809</v>
      </c>
      <c r="DR4" s="16">
        <v>1555</v>
      </c>
      <c r="DS4" s="16">
        <v>784</v>
      </c>
      <c r="DT4" s="16">
        <v>1268</v>
      </c>
      <c r="DU4" s="16">
        <v>1268</v>
      </c>
      <c r="DV4" s="16">
        <v>12048900</v>
      </c>
      <c r="DW4" s="16">
        <v>459</v>
      </c>
      <c r="DX4" s="16">
        <f>DW4/DQ4*100</f>
        <v>56.736711990111246</v>
      </c>
      <c r="DY4" s="19">
        <f>DY3/DY2*100</f>
        <v>60</v>
      </c>
    </row>
    <row r="5" spans="1:129">
      <c r="A5" s="17">
        <v>43192</v>
      </c>
      <c r="B5" s="16">
        <v>783</v>
      </c>
      <c r="C5" s="16">
        <v>842</v>
      </c>
      <c r="D5" s="16">
        <v>783</v>
      </c>
      <c r="E5" s="16">
        <v>816</v>
      </c>
      <c r="F5" s="16">
        <v>816</v>
      </c>
      <c r="G5" s="16">
        <v>121400</v>
      </c>
      <c r="H5" s="16">
        <f t="shared" si="0"/>
        <v>33</v>
      </c>
      <c r="J5" s="18">
        <v>44200</v>
      </c>
      <c r="K5" s="16">
        <v>1251</v>
      </c>
      <c r="L5" s="16">
        <v>1384</v>
      </c>
      <c r="M5" s="16">
        <v>1202</v>
      </c>
      <c r="N5" s="16">
        <v>1232</v>
      </c>
      <c r="O5" s="16">
        <v>1232</v>
      </c>
      <c r="P5" s="16">
        <v>3405800</v>
      </c>
      <c r="Q5" s="16">
        <v>-19</v>
      </c>
      <c r="R5" s="16">
        <f>Q5/K5*100</f>
        <v>-1.5187849720223821</v>
      </c>
      <c r="S5" s="16">
        <f>AVERAGE(R2:R6)</f>
        <v>-6.9325631509424595</v>
      </c>
      <c r="T5" s="18">
        <v>44228</v>
      </c>
      <c r="U5" s="16">
        <v>1232</v>
      </c>
      <c r="V5" s="16">
        <v>1347</v>
      </c>
      <c r="W5" s="16">
        <v>1227</v>
      </c>
      <c r="X5" s="16">
        <v>1292</v>
      </c>
      <c r="Y5" s="16">
        <v>1292</v>
      </c>
      <c r="Z5" s="16">
        <v>981900</v>
      </c>
      <c r="AA5" s="16">
        <v>60</v>
      </c>
      <c r="AB5" s="16">
        <f>AA5/U5*100</f>
        <v>4.8701298701298708</v>
      </c>
      <c r="AC5" s="16">
        <f>AVERAGE(AB2:AB6)</f>
        <v>-9.5651142406060607</v>
      </c>
      <c r="AD5" s="18">
        <v>44256</v>
      </c>
      <c r="AE5" s="16">
        <v>1292</v>
      </c>
      <c r="AF5" s="16">
        <v>1415</v>
      </c>
      <c r="AG5" s="16">
        <v>1112</v>
      </c>
      <c r="AH5" s="16">
        <v>1152</v>
      </c>
      <c r="AI5" s="16">
        <v>1152</v>
      </c>
      <c r="AJ5" s="16">
        <v>2147200</v>
      </c>
      <c r="AK5" s="16">
        <v>-140</v>
      </c>
      <c r="AL5" s="16">
        <f>AK5/AE5*100</f>
        <v>-10.835913312693499</v>
      </c>
      <c r="AM5" s="16">
        <f>AVERAGE(AL2:AL6)</f>
        <v>-12.339294823650036</v>
      </c>
      <c r="AN5" s="18">
        <v>44287</v>
      </c>
      <c r="AO5" s="16">
        <v>1154</v>
      </c>
      <c r="AP5" s="16">
        <v>1170</v>
      </c>
      <c r="AQ5" s="16">
        <v>1028</v>
      </c>
      <c r="AR5" s="16">
        <v>1044</v>
      </c>
      <c r="AS5" s="16">
        <v>1044</v>
      </c>
      <c r="AT5" s="16">
        <v>680000</v>
      </c>
      <c r="AU5" s="16">
        <v>-110</v>
      </c>
      <c r="AV5" s="16">
        <f>AU5/AO5*100</f>
        <v>-9.5320623916811087</v>
      </c>
      <c r="AW5" s="16">
        <f>AVERAGE(AV2:AV6)</f>
        <v>2.8840124569881391</v>
      </c>
      <c r="AX5" s="18">
        <v>44322</v>
      </c>
      <c r="AY5" s="16">
        <v>1048</v>
      </c>
      <c r="AZ5" s="16">
        <v>1072</v>
      </c>
      <c r="BA5" s="16">
        <v>993</v>
      </c>
      <c r="BB5" s="16">
        <v>1050</v>
      </c>
      <c r="BC5" s="16">
        <v>1050</v>
      </c>
      <c r="BD5" s="16">
        <v>353700</v>
      </c>
      <c r="BE5" s="16">
        <v>2</v>
      </c>
      <c r="BF5" s="16">
        <f>BE5/AY5*100</f>
        <v>0.19083969465648853</v>
      </c>
      <c r="BG5" s="16">
        <f>AVERAGE(BF2:BF6)</f>
        <v>4.1111838768198883</v>
      </c>
      <c r="BH5" s="18">
        <v>44348</v>
      </c>
      <c r="BI5" s="16">
        <v>1060</v>
      </c>
      <c r="BJ5" s="16">
        <v>1155</v>
      </c>
      <c r="BK5" s="16">
        <v>999</v>
      </c>
      <c r="BL5" s="16">
        <v>1022</v>
      </c>
      <c r="BM5" s="16">
        <v>1022</v>
      </c>
      <c r="BN5" s="16">
        <v>1188000</v>
      </c>
      <c r="BO5" s="16">
        <v>-38</v>
      </c>
      <c r="BP5" s="16">
        <f>BO5/BI5*100</f>
        <v>-3.5849056603773586</v>
      </c>
      <c r="BQ5" s="16">
        <f>AVERAGE(BP2:BP6)</f>
        <v>0.34124433480007949</v>
      </c>
      <c r="BR5" s="18">
        <v>44378</v>
      </c>
      <c r="BS5" s="16">
        <v>1021</v>
      </c>
      <c r="BT5" s="16">
        <v>1042</v>
      </c>
      <c r="BU5" s="16">
        <v>967</v>
      </c>
      <c r="BV5" s="16">
        <v>967</v>
      </c>
      <c r="BW5" s="16">
        <v>967</v>
      </c>
      <c r="BX5" s="16">
        <v>636500</v>
      </c>
      <c r="BY5" s="16">
        <v>-54</v>
      </c>
      <c r="BZ5" s="16">
        <f>BY5/BS5*100</f>
        <v>-5.2889324191968656</v>
      </c>
      <c r="CA5" s="16">
        <f>AVERAGE(BZ2:BZ6)</f>
        <v>-2.8828745247461596</v>
      </c>
      <c r="CB5" s="18">
        <v>44410</v>
      </c>
      <c r="CC5" s="16">
        <v>967</v>
      </c>
      <c r="CD5" s="16">
        <v>1099</v>
      </c>
      <c r="CE5" s="16">
        <v>935</v>
      </c>
      <c r="CF5" s="16">
        <v>1070</v>
      </c>
      <c r="CG5" s="16">
        <v>1070</v>
      </c>
      <c r="CH5" s="16">
        <v>453100</v>
      </c>
      <c r="CI5" s="16">
        <v>103</v>
      </c>
      <c r="CJ5" s="16">
        <f>CI5/CC5*100</f>
        <v>10.651499482936918</v>
      </c>
      <c r="CK5" s="16">
        <f>AVERAGE(CJ2:CJ6)</f>
        <v>5.7832811418818935</v>
      </c>
      <c r="CL5" s="18">
        <v>44440</v>
      </c>
      <c r="CM5" s="16">
        <v>1070</v>
      </c>
      <c r="CN5" s="16">
        <v>1096</v>
      </c>
      <c r="CO5" s="16">
        <v>789</v>
      </c>
      <c r="CP5" s="16">
        <v>801</v>
      </c>
      <c r="CQ5" s="16">
        <v>801</v>
      </c>
      <c r="CR5" s="16">
        <v>2662400</v>
      </c>
      <c r="CS5" s="16">
        <v>-269</v>
      </c>
      <c r="CT5" s="16">
        <f>CS5/CM5*100</f>
        <v>-25.140186915887853</v>
      </c>
      <c r="CU5" s="16">
        <f>AVERAGE(CT2:CT6)</f>
        <v>-0.97799110117582977</v>
      </c>
      <c r="CV5" s="18">
        <v>44470</v>
      </c>
      <c r="CW5" s="16">
        <v>801</v>
      </c>
      <c r="CX5" s="16">
        <v>815</v>
      </c>
      <c r="CY5" s="16">
        <v>790</v>
      </c>
      <c r="CZ5" s="16">
        <v>800</v>
      </c>
      <c r="DA5" s="16">
        <v>800</v>
      </c>
      <c r="DB5" s="16">
        <v>411600</v>
      </c>
      <c r="DC5" s="16">
        <v>-1</v>
      </c>
      <c r="DD5" s="16">
        <f>DC5/CW5*100</f>
        <v>-0.12484394506866417</v>
      </c>
      <c r="DE5" s="16">
        <f>AVERAGE(DD2:DD6)</f>
        <v>0.5800773160559064</v>
      </c>
      <c r="DF5" s="18">
        <v>44501</v>
      </c>
      <c r="DG5" s="16">
        <v>810</v>
      </c>
      <c r="DH5" s="16">
        <v>820</v>
      </c>
      <c r="DI5" s="16">
        <v>779</v>
      </c>
      <c r="DJ5" s="16">
        <v>782</v>
      </c>
      <c r="DK5" s="16">
        <v>782</v>
      </c>
      <c r="DL5" s="16">
        <v>375900</v>
      </c>
      <c r="DM5" s="16">
        <v>-28</v>
      </c>
      <c r="DN5" s="16">
        <f>DM5/DG5*100</f>
        <v>-3.4567901234567899</v>
      </c>
      <c r="DO5" s="16">
        <f>AVERAGE(DN2:DN6)</f>
        <v>7.3393150059816721</v>
      </c>
      <c r="DP5" s="18">
        <v>44531</v>
      </c>
      <c r="DQ5" s="16">
        <v>782</v>
      </c>
      <c r="DR5" s="16">
        <v>839</v>
      </c>
      <c r="DS5" s="16">
        <v>759</v>
      </c>
      <c r="DT5" s="16">
        <v>831</v>
      </c>
      <c r="DU5" s="16">
        <v>831</v>
      </c>
      <c r="DV5" s="16">
        <v>506300</v>
      </c>
      <c r="DW5" s="16">
        <v>49</v>
      </c>
      <c r="DX5" s="16">
        <f>DW5/DQ5*100</f>
        <v>6.265984654731457</v>
      </c>
      <c r="DY5" s="16">
        <f>AVERAGE(DX2:DX6)</f>
        <v>12.288729206367217</v>
      </c>
    </row>
    <row r="6" spans="1:129">
      <c r="A6" s="17">
        <v>43221</v>
      </c>
      <c r="B6" s="16">
        <v>816</v>
      </c>
      <c r="C6" s="16">
        <v>824</v>
      </c>
      <c r="D6" s="16">
        <v>802</v>
      </c>
      <c r="E6" s="16">
        <v>809</v>
      </c>
      <c r="F6" s="16">
        <v>809</v>
      </c>
      <c r="G6" s="16">
        <v>77000</v>
      </c>
      <c r="H6" s="16">
        <f t="shared" si="0"/>
        <v>-7</v>
      </c>
      <c r="J6" s="18">
        <v>44565</v>
      </c>
      <c r="K6" s="16">
        <v>833</v>
      </c>
      <c r="L6" s="16">
        <v>837</v>
      </c>
      <c r="M6" s="16">
        <v>675</v>
      </c>
      <c r="N6" s="16">
        <v>681</v>
      </c>
      <c r="O6" s="16">
        <v>681</v>
      </c>
      <c r="P6" s="16">
        <v>958200</v>
      </c>
      <c r="Q6" s="16">
        <v>-152</v>
      </c>
      <c r="R6" s="16">
        <f>Q6/K6*100</f>
        <v>-18.247298919567829</v>
      </c>
      <c r="S6" s="16">
        <f>MEDIAN(R2:R6)</f>
        <v>-7.0607553366174054</v>
      </c>
      <c r="T6" s="18">
        <v>44593</v>
      </c>
      <c r="U6" s="16">
        <v>681</v>
      </c>
      <c r="V6" s="16">
        <v>692</v>
      </c>
      <c r="W6" s="16">
        <v>630</v>
      </c>
      <c r="X6" s="16">
        <v>653</v>
      </c>
      <c r="Y6" s="16">
        <v>653</v>
      </c>
      <c r="Z6" s="16">
        <v>358100</v>
      </c>
      <c r="AA6" s="16">
        <v>-28</v>
      </c>
      <c r="AB6" s="16">
        <f>AA6/U6*100</f>
        <v>-4.1116005873715125</v>
      </c>
      <c r="AC6" s="16">
        <f>MEDIAN(AB2:AB6)</f>
        <v>-4.1116005873715125</v>
      </c>
      <c r="AD6" s="18">
        <v>44621</v>
      </c>
      <c r="AE6" s="16">
        <v>655</v>
      </c>
      <c r="AF6" s="16">
        <v>662</v>
      </c>
      <c r="AG6" s="16">
        <v>600</v>
      </c>
      <c r="AH6" s="16">
        <v>640</v>
      </c>
      <c r="AI6" s="16">
        <v>640</v>
      </c>
      <c r="AJ6" s="16">
        <v>235400</v>
      </c>
      <c r="AK6" s="16">
        <v>-15</v>
      </c>
      <c r="AL6" s="16">
        <f>AK6/AE6*100</f>
        <v>-2.2900763358778624</v>
      </c>
      <c r="AM6" s="16">
        <f>MEDIAN(AL2:AL6)</f>
        <v>-10.835913312693499</v>
      </c>
      <c r="AN6" s="18">
        <v>44652</v>
      </c>
      <c r="AO6" s="16">
        <v>640</v>
      </c>
      <c r="AP6" s="16">
        <v>683</v>
      </c>
      <c r="AQ6" s="16">
        <v>638</v>
      </c>
      <c r="AR6" s="16">
        <v>677</v>
      </c>
      <c r="AS6" s="16">
        <v>677</v>
      </c>
      <c r="AT6" s="16">
        <v>121700</v>
      </c>
      <c r="AU6" s="16">
        <v>37</v>
      </c>
      <c r="AV6" s="16">
        <f>AU6/AO6*100</f>
        <v>5.78125</v>
      </c>
      <c r="AW6" s="16">
        <f>MEDIAN(AV2:AV6)</f>
        <v>4.2145593869731801</v>
      </c>
      <c r="AX6" s="18">
        <v>44683</v>
      </c>
      <c r="AY6" s="16">
        <v>676</v>
      </c>
      <c r="AZ6" s="16">
        <v>730</v>
      </c>
      <c r="BA6" s="16">
        <v>660</v>
      </c>
      <c r="BB6" s="16">
        <v>726</v>
      </c>
      <c r="BC6" s="16">
        <v>726</v>
      </c>
      <c r="BD6" s="16">
        <v>153300</v>
      </c>
      <c r="BE6" s="16">
        <v>50</v>
      </c>
      <c r="BF6" s="16">
        <f>BE6/AY6*100</f>
        <v>7.3964497041420119</v>
      </c>
      <c r="BG6" s="16">
        <f>MEDIAN(BF2:BF6)</f>
        <v>0.19083969465648853</v>
      </c>
      <c r="BH6" s="18">
        <v>44713</v>
      </c>
      <c r="BI6" s="16">
        <v>726</v>
      </c>
      <c r="BJ6" s="16">
        <v>750</v>
      </c>
      <c r="BK6" s="16">
        <v>680</v>
      </c>
      <c r="BL6" s="16">
        <v>729</v>
      </c>
      <c r="BM6" s="16">
        <v>729</v>
      </c>
      <c r="BN6" s="16">
        <v>135000</v>
      </c>
      <c r="BO6" s="16">
        <v>3</v>
      </c>
      <c r="BP6" s="16">
        <f>BO6/BI6*100</f>
        <v>0.41322314049586778</v>
      </c>
      <c r="BQ6" s="16">
        <f>MEDIAN(BP2:BP6)</f>
        <v>0.37359900373599003</v>
      </c>
      <c r="BR6" s="18">
        <v>44743</v>
      </c>
      <c r="BS6" s="16">
        <v>725</v>
      </c>
      <c r="BT6" s="16">
        <v>744</v>
      </c>
      <c r="BU6" s="16">
        <v>700</v>
      </c>
      <c r="BV6" s="16">
        <v>702</v>
      </c>
      <c r="BW6" s="16">
        <v>702</v>
      </c>
      <c r="BX6" s="16">
        <v>115200</v>
      </c>
      <c r="BY6" s="16">
        <v>-23</v>
      </c>
      <c r="BZ6" s="16">
        <f>BY6/BS6*100</f>
        <v>-3.1724137931034484</v>
      </c>
      <c r="CA6" s="16">
        <f>MEDIAN(BZ2:BZ6)</f>
        <v>-3.1724137931034484</v>
      </c>
      <c r="CB6" s="18">
        <v>44774</v>
      </c>
      <c r="CC6" s="16">
        <v>708</v>
      </c>
      <c r="CD6" s="16">
        <v>720</v>
      </c>
      <c r="CE6" s="16">
        <v>690</v>
      </c>
      <c r="CF6" s="16">
        <v>710</v>
      </c>
      <c r="CG6" s="16">
        <v>710</v>
      </c>
      <c r="CH6" s="16">
        <v>62800</v>
      </c>
      <c r="CI6" s="16">
        <v>2</v>
      </c>
      <c r="CJ6" s="16">
        <f>CI6/CC6*100</f>
        <v>0.2824858757062147</v>
      </c>
      <c r="CK6" s="16">
        <f>MEDIAN(CJ2:CJ6)</f>
        <v>2.6058631921824107</v>
      </c>
      <c r="CL6" s="18">
        <v>44805</v>
      </c>
      <c r="CM6" s="16">
        <v>711</v>
      </c>
      <c r="CN6" s="16">
        <v>733</v>
      </c>
      <c r="CO6" s="16">
        <v>700</v>
      </c>
      <c r="CP6" s="16">
        <v>707</v>
      </c>
      <c r="CQ6" s="16">
        <v>707</v>
      </c>
      <c r="CR6" s="16">
        <v>206300</v>
      </c>
      <c r="CS6" s="16">
        <v>-4</v>
      </c>
      <c r="CT6" s="16">
        <f>CS6/CM6*100</f>
        <v>-0.56258790436005623</v>
      </c>
      <c r="CU6" s="16">
        <f>MEDIAN(CT2:CT6)</f>
        <v>-0.56258790436005623</v>
      </c>
      <c r="CV6" s="18">
        <v>44837</v>
      </c>
      <c r="CW6" s="16">
        <v>707</v>
      </c>
      <c r="CX6" s="16">
        <v>756</v>
      </c>
      <c r="CY6" s="16">
        <v>702</v>
      </c>
      <c r="CZ6" s="16">
        <v>756</v>
      </c>
      <c r="DA6" s="16">
        <v>756</v>
      </c>
      <c r="DB6" s="16">
        <v>78300</v>
      </c>
      <c r="DC6" s="16">
        <v>49</v>
      </c>
      <c r="DD6" s="16">
        <f>DC6/CW6*100</f>
        <v>6.9306930693069315</v>
      </c>
      <c r="DE6" s="16">
        <f>MEDIAN(DD2:DD6)</f>
        <v>-0.12484394506866417</v>
      </c>
      <c r="DF6" s="18">
        <v>44866</v>
      </c>
      <c r="DG6" s="16">
        <v>756</v>
      </c>
      <c r="DH6" s="16">
        <v>815</v>
      </c>
      <c r="DI6" s="16">
        <v>750</v>
      </c>
      <c r="DJ6" s="16">
        <v>811</v>
      </c>
      <c r="DK6" s="16">
        <v>811</v>
      </c>
      <c r="DL6" s="16">
        <v>177600</v>
      </c>
      <c r="DM6" s="16">
        <v>55</v>
      </c>
      <c r="DN6" s="16">
        <f>DM6/DG6*100</f>
        <v>7.2751322751322745</v>
      </c>
      <c r="DO6" s="16">
        <f>MEDIAN(DN2:DN6)</f>
        <v>7.2751322751322745</v>
      </c>
      <c r="DP6" s="18">
        <v>44896</v>
      </c>
      <c r="DQ6" s="16">
        <v>813</v>
      </c>
      <c r="DR6" s="16">
        <v>830</v>
      </c>
      <c r="DS6" s="16">
        <v>758</v>
      </c>
      <c r="DT6" s="16">
        <v>793</v>
      </c>
      <c r="DU6" s="16">
        <v>793</v>
      </c>
      <c r="DV6" s="16">
        <v>441800</v>
      </c>
      <c r="DW6" s="16">
        <v>-20</v>
      </c>
      <c r="DX6" s="16">
        <f>DW6/DQ6*100</f>
        <v>-2.4600246002460024</v>
      </c>
      <c r="DY6" s="16">
        <f>MEDIAN(DX2:DX6)</f>
        <v>6.265984654731457</v>
      </c>
    </row>
    <row r="7" spans="1:129">
      <c r="A7" s="17">
        <v>43252</v>
      </c>
      <c r="B7" s="16">
        <v>803</v>
      </c>
      <c r="C7" s="16">
        <v>873</v>
      </c>
      <c r="D7" s="16">
        <v>784</v>
      </c>
      <c r="E7" s="16">
        <v>806</v>
      </c>
      <c r="F7" s="16">
        <v>806</v>
      </c>
      <c r="G7" s="16">
        <v>147800</v>
      </c>
      <c r="H7" s="16">
        <f t="shared" si="0"/>
        <v>3</v>
      </c>
    </row>
    <row r="8" spans="1:129">
      <c r="A8" s="17">
        <v>43283</v>
      </c>
      <c r="B8" s="16">
        <v>806</v>
      </c>
      <c r="C8" s="16">
        <v>826</v>
      </c>
      <c r="D8" s="16">
        <v>784</v>
      </c>
      <c r="E8" s="16">
        <v>824</v>
      </c>
      <c r="F8" s="16">
        <v>824</v>
      </c>
      <c r="G8" s="16">
        <v>57500</v>
      </c>
      <c r="H8" s="16">
        <f t="shared" si="0"/>
        <v>18</v>
      </c>
    </row>
    <row r="9" spans="1:129">
      <c r="A9" s="17">
        <v>43313</v>
      </c>
      <c r="B9" s="16">
        <v>825</v>
      </c>
      <c r="C9" s="16">
        <v>826</v>
      </c>
      <c r="D9" s="16">
        <v>786</v>
      </c>
      <c r="E9" s="16">
        <v>802</v>
      </c>
      <c r="F9" s="16">
        <v>802</v>
      </c>
      <c r="G9" s="16">
        <v>88500</v>
      </c>
      <c r="H9" s="16">
        <f t="shared" si="0"/>
        <v>-23</v>
      </c>
    </row>
    <row r="10" spans="1:129">
      <c r="A10" s="17">
        <v>43346</v>
      </c>
      <c r="B10" s="16">
        <v>802</v>
      </c>
      <c r="C10" s="16">
        <v>900</v>
      </c>
      <c r="D10" s="16">
        <v>801</v>
      </c>
      <c r="E10" s="16">
        <v>834</v>
      </c>
      <c r="F10" s="16">
        <v>834</v>
      </c>
      <c r="G10" s="16">
        <v>197400</v>
      </c>
      <c r="H10" s="16">
        <f t="shared" si="0"/>
        <v>32</v>
      </c>
    </row>
    <row r="11" spans="1:129">
      <c r="A11" s="17">
        <v>43374</v>
      </c>
      <c r="B11" s="16">
        <v>838</v>
      </c>
      <c r="C11" s="16">
        <v>838</v>
      </c>
      <c r="D11" s="16">
        <v>760</v>
      </c>
      <c r="E11" s="16">
        <v>787</v>
      </c>
      <c r="F11" s="16">
        <v>787</v>
      </c>
      <c r="G11" s="16">
        <v>86900</v>
      </c>
      <c r="H11" s="16">
        <f t="shared" si="0"/>
        <v>-51</v>
      </c>
    </row>
    <row r="12" spans="1:129">
      <c r="A12" s="17">
        <v>43405</v>
      </c>
      <c r="B12" s="16">
        <v>792</v>
      </c>
      <c r="C12" s="16">
        <v>820</v>
      </c>
      <c r="D12" s="16">
        <v>788</v>
      </c>
      <c r="E12" s="16">
        <v>800</v>
      </c>
      <c r="F12" s="16">
        <v>800</v>
      </c>
      <c r="G12" s="16">
        <v>53700</v>
      </c>
      <c r="H12" s="16">
        <f t="shared" si="0"/>
        <v>8</v>
      </c>
    </row>
    <row r="13" spans="1:129">
      <c r="A13" s="17">
        <v>43437</v>
      </c>
      <c r="B13" s="16">
        <v>807</v>
      </c>
      <c r="C13" s="16">
        <v>807</v>
      </c>
      <c r="D13" s="16">
        <v>615</v>
      </c>
      <c r="E13" s="16">
        <v>720</v>
      </c>
      <c r="F13" s="16">
        <v>720</v>
      </c>
      <c r="G13" s="16">
        <v>154900</v>
      </c>
      <c r="H13" s="16">
        <f t="shared" si="0"/>
        <v>-87</v>
      </c>
    </row>
    <row r="14" spans="1:129">
      <c r="A14" s="17">
        <v>43469</v>
      </c>
      <c r="B14" s="16">
        <v>711</v>
      </c>
      <c r="C14" s="16">
        <v>811</v>
      </c>
      <c r="D14" s="16">
        <v>710</v>
      </c>
      <c r="E14" s="16">
        <v>746</v>
      </c>
      <c r="F14" s="16">
        <v>746</v>
      </c>
      <c r="G14" s="16">
        <v>466200</v>
      </c>
      <c r="H14" s="16">
        <f t="shared" si="0"/>
        <v>35</v>
      </c>
    </row>
    <row r="15" spans="1:129">
      <c r="A15" s="17">
        <v>43497</v>
      </c>
      <c r="B15" s="16">
        <v>742</v>
      </c>
      <c r="C15" s="16">
        <v>750</v>
      </c>
      <c r="D15" s="16">
        <v>712</v>
      </c>
      <c r="E15" s="16">
        <v>721</v>
      </c>
      <c r="F15" s="16">
        <v>721</v>
      </c>
      <c r="G15" s="16">
        <v>73100</v>
      </c>
      <c r="H15" s="16">
        <f t="shared" si="0"/>
        <v>-21</v>
      </c>
    </row>
    <row r="16" spans="1:129">
      <c r="A16" s="17">
        <v>43525</v>
      </c>
      <c r="B16" s="16">
        <v>719</v>
      </c>
      <c r="C16" s="16">
        <v>795</v>
      </c>
      <c r="D16" s="16">
        <v>633</v>
      </c>
      <c r="E16" s="16">
        <v>642</v>
      </c>
      <c r="F16" s="16">
        <v>642</v>
      </c>
      <c r="G16" s="16">
        <v>221300</v>
      </c>
      <c r="H16" s="16">
        <f t="shared" si="0"/>
        <v>-77</v>
      </c>
    </row>
    <row r="17" spans="1:8">
      <c r="A17" s="17">
        <v>43556</v>
      </c>
      <c r="B17" s="16">
        <v>650</v>
      </c>
      <c r="C17" s="16">
        <v>668</v>
      </c>
      <c r="D17" s="16">
        <v>628</v>
      </c>
      <c r="E17" s="16">
        <v>638</v>
      </c>
      <c r="F17" s="16">
        <v>638</v>
      </c>
      <c r="G17" s="16">
        <v>98700</v>
      </c>
      <c r="H17" s="16">
        <f t="shared" si="0"/>
        <v>-12</v>
      </c>
    </row>
    <row r="18" spans="1:8">
      <c r="A18" s="17">
        <v>43592</v>
      </c>
      <c r="B18" s="16">
        <v>642</v>
      </c>
      <c r="C18" s="16">
        <v>645</v>
      </c>
      <c r="D18" s="16">
        <v>593</v>
      </c>
      <c r="E18" s="16">
        <v>601</v>
      </c>
      <c r="F18" s="16">
        <v>601</v>
      </c>
      <c r="G18" s="16">
        <v>74500</v>
      </c>
      <c r="H18" s="16">
        <f t="shared" si="0"/>
        <v>-41</v>
      </c>
    </row>
    <row r="19" spans="1:8">
      <c r="A19" s="17">
        <v>43619</v>
      </c>
      <c r="B19" s="16">
        <v>592</v>
      </c>
      <c r="C19" s="16">
        <v>695</v>
      </c>
      <c r="D19" s="16">
        <v>588</v>
      </c>
      <c r="E19" s="16">
        <v>626</v>
      </c>
      <c r="F19" s="16">
        <v>626</v>
      </c>
      <c r="G19" s="16">
        <v>564400</v>
      </c>
      <c r="H19" s="16">
        <f t="shared" si="0"/>
        <v>34</v>
      </c>
    </row>
    <row r="20" spans="1:8">
      <c r="A20" s="17">
        <v>43647</v>
      </c>
      <c r="B20" s="16">
        <v>627</v>
      </c>
      <c r="C20" s="16">
        <v>631</v>
      </c>
      <c r="D20" s="16">
        <v>612</v>
      </c>
      <c r="E20" s="16">
        <v>615</v>
      </c>
      <c r="F20" s="16">
        <v>615</v>
      </c>
      <c r="G20" s="16">
        <v>67700</v>
      </c>
      <c r="H20" s="16">
        <f t="shared" si="0"/>
        <v>-12</v>
      </c>
    </row>
    <row r="21" spans="1:8">
      <c r="A21" s="17">
        <v>43678</v>
      </c>
      <c r="B21" s="16">
        <v>614</v>
      </c>
      <c r="C21" s="16">
        <v>633</v>
      </c>
      <c r="D21" s="16">
        <v>585</v>
      </c>
      <c r="E21" s="16">
        <v>630</v>
      </c>
      <c r="F21" s="16">
        <v>630</v>
      </c>
      <c r="G21" s="16">
        <v>129600</v>
      </c>
      <c r="H21" s="16">
        <f t="shared" si="0"/>
        <v>16</v>
      </c>
    </row>
    <row r="22" spans="1:8">
      <c r="A22" s="17">
        <v>43710</v>
      </c>
      <c r="B22" s="16">
        <v>627</v>
      </c>
      <c r="C22" s="16">
        <v>635</v>
      </c>
      <c r="D22" s="16">
        <v>588</v>
      </c>
      <c r="E22" s="16">
        <v>613</v>
      </c>
      <c r="F22" s="16">
        <v>613</v>
      </c>
      <c r="G22" s="16">
        <v>228300</v>
      </c>
      <c r="H22" s="16">
        <f t="shared" si="0"/>
        <v>-14</v>
      </c>
    </row>
    <row r="23" spans="1:8">
      <c r="A23" s="17">
        <v>43739</v>
      </c>
      <c r="B23" s="16">
        <v>613</v>
      </c>
      <c r="C23" s="16">
        <v>638</v>
      </c>
      <c r="D23" s="16">
        <v>605</v>
      </c>
      <c r="E23" s="16">
        <v>635</v>
      </c>
      <c r="F23" s="16">
        <v>635</v>
      </c>
      <c r="G23" s="16">
        <v>120000</v>
      </c>
      <c r="H23" s="16">
        <f t="shared" si="0"/>
        <v>22</v>
      </c>
    </row>
    <row r="24" spans="1:8">
      <c r="A24" s="17">
        <v>43770</v>
      </c>
      <c r="B24" s="16">
        <v>637</v>
      </c>
      <c r="C24" s="16">
        <v>757</v>
      </c>
      <c r="D24" s="16">
        <v>630</v>
      </c>
      <c r="E24" s="16">
        <v>749</v>
      </c>
      <c r="F24" s="16">
        <v>749</v>
      </c>
      <c r="G24" s="16">
        <v>158800</v>
      </c>
      <c r="H24" s="16">
        <f t="shared" si="0"/>
        <v>112</v>
      </c>
    </row>
    <row r="25" spans="1:8">
      <c r="A25" s="17">
        <v>43801</v>
      </c>
      <c r="B25" s="16">
        <v>779</v>
      </c>
      <c r="C25" s="16">
        <v>899</v>
      </c>
      <c r="D25" s="16">
        <v>732</v>
      </c>
      <c r="E25" s="16">
        <v>870</v>
      </c>
      <c r="F25" s="16">
        <v>870</v>
      </c>
      <c r="G25" s="16">
        <v>777200</v>
      </c>
      <c r="H25" s="16">
        <f t="shared" si="0"/>
        <v>91</v>
      </c>
    </row>
    <row r="26" spans="1:8">
      <c r="A26" s="17">
        <v>43836</v>
      </c>
      <c r="B26" s="16">
        <v>870</v>
      </c>
      <c r="C26" s="16">
        <v>895</v>
      </c>
      <c r="D26" s="16">
        <v>754</v>
      </c>
      <c r="E26" s="16">
        <v>759</v>
      </c>
      <c r="F26" s="16">
        <v>759</v>
      </c>
      <c r="G26" s="16">
        <v>713600</v>
      </c>
      <c r="H26" s="16">
        <f t="shared" si="0"/>
        <v>-111</v>
      </c>
    </row>
    <row r="27" spans="1:8">
      <c r="A27" s="17">
        <v>43864</v>
      </c>
      <c r="B27" s="16">
        <v>740</v>
      </c>
      <c r="C27" s="16">
        <v>777</v>
      </c>
      <c r="D27" s="16">
        <v>565</v>
      </c>
      <c r="E27" s="16">
        <v>565</v>
      </c>
      <c r="F27" s="16">
        <v>565</v>
      </c>
      <c r="G27" s="16">
        <v>253800</v>
      </c>
      <c r="H27" s="16">
        <f t="shared" si="0"/>
        <v>-175</v>
      </c>
    </row>
    <row r="28" spans="1:8">
      <c r="A28" s="17">
        <v>43892</v>
      </c>
      <c r="B28" s="16">
        <v>558</v>
      </c>
      <c r="C28" s="16">
        <v>637</v>
      </c>
      <c r="D28" s="16">
        <v>350</v>
      </c>
      <c r="E28" s="16">
        <v>410</v>
      </c>
      <c r="F28" s="16">
        <v>410</v>
      </c>
      <c r="G28" s="16">
        <v>567500</v>
      </c>
      <c r="H28" s="16">
        <f t="shared" si="0"/>
        <v>-148</v>
      </c>
    </row>
    <row r="29" spans="1:8">
      <c r="A29" s="17">
        <v>43922</v>
      </c>
      <c r="B29" s="16">
        <v>405</v>
      </c>
      <c r="C29" s="16">
        <v>527</v>
      </c>
      <c r="D29" s="16">
        <v>392</v>
      </c>
      <c r="E29" s="16">
        <v>469</v>
      </c>
      <c r="F29" s="16">
        <v>469</v>
      </c>
      <c r="G29" s="16">
        <v>1380600</v>
      </c>
      <c r="H29" s="16">
        <f t="shared" si="0"/>
        <v>64</v>
      </c>
    </row>
    <row r="30" spans="1:8">
      <c r="A30" s="17">
        <v>43952</v>
      </c>
      <c r="B30" s="16">
        <v>470</v>
      </c>
      <c r="C30" s="16">
        <v>581</v>
      </c>
      <c r="D30" s="16">
        <v>455</v>
      </c>
      <c r="E30" s="16">
        <v>565</v>
      </c>
      <c r="F30" s="16">
        <v>565</v>
      </c>
      <c r="G30" s="16">
        <v>159400</v>
      </c>
      <c r="H30" s="16">
        <f t="shared" si="0"/>
        <v>95</v>
      </c>
    </row>
    <row r="31" spans="1:8">
      <c r="A31" s="17">
        <v>43983</v>
      </c>
      <c r="B31" s="16">
        <v>565</v>
      </c>
      <c r="C31" s="16">
        <v>600</v>
      </c>
      <c r="D31" s="16">
        <v>501</v>
      </c>
      <c r="E31" s="16">
        <v>558</v>
      </c>
      <c r="F31" s="16">
        <v>558</v>
      </c>
      <c r="G31" s="16">
        <v>208000</v>
      </c>
      <c r="H31" s="16">
        <f t="shared" si="0"/>
        <v>-7</v>
      </c>
    </row>
    <row r="32" spans="1:8">
      <c r="A32" s="17">
        <v>44013</v>
      </c>
      <c r="B32" s="16">
        <v>558</v>
      </c>
      <c r="C32" s="16">
        <v>621</v>
      </c>
      <c r="D32" s="16">
        <v>515</v>
      </c>
      <c r="E32" s="16">
        <v>523</v>
      </c>
      <c r="F32" s="16">
        <v>523</v>
      </c>
      <c r="G32" s="16">
        <v>392600</v>
      </c>
      <c r="H32" s="16">
        <f t="shared" si="0"/>
        <v>-35</v>
      </c>
    </row>
    <row r="33" spans="1:8">
      <c r="A33" s="17">
        <v>44046</v>
      </c>
      <c r="B33" s="16">
        <v>523</v>
      </c>
      <c r="C33" s="16">
        <v>618</v>
      </c>
      <c r="D33" s="16">
        <v>506</v>
      </c>
      <c r="E33" s="16">
        <v>618</v>
      </c>
      <c r="F33" s="16">
        <v>618</v>
      </c>
      <c r="G33" s="16">
        <v>195800</v>
      </c>
      <c r="H33" s="16">
        <f t="shared" si="0"/>
        <v>95</v>
      </c>
    </row>
    <row r="34" spans="1:8">
      <c r="A34" s="17">
        <v>44075</v>
      </c>
      <c r="B34" s="16">
        <v>593</v>
      </c>
      <c r="C34" s="16">
        <v>824</v>
      </c>
      <c r="D34" s="16">
        <v>593</v>
      </c>
      <c r="E34" s="16">
        <v>706</v>
      </c>
      <c r="F34" s="16">
        <v>706</v>
      </c>
      <c r="G34" s="16">
        <v>434600</v>
      </c>
      <c r="H34" s="16">
        <f t="shared" ref="H34:H61" si="1">E34-B34</f>
        <v>113</v>
      </c>
    </row>
    <row r="35" spans="1:8">
      <c r="A35" s="17">
        <v>44106</v>
      </c>
      <c r="B35" s="16">
        <v>710</v>
      </c>
      <c r="C35" s="16">
        <v>735</v>
      </c>
      <c r="D35" s="16">
        <v>693</v>
      </c>
      <c r="E35" s="16">
        <v>700</v>
      </c>
      <c r="F35" s="16">
        <v>700</v>
      </c>
      <c r="G35" s="16">
        <v>106100</v>
      </c>
      <c r="H35" s="16">
        <f t="shared" si="1"/>
        <v>-10</v>
      </c>
    </row>
    <row r="36" spans="1:8">
      <c r="A36" s="17">
        <v>44137</v>
      </c>
      <c r="B36" s="16">
        <v>700</v>
      </c>
      <c r="C36" s="16">
        <v>803</v>
      </c>
      <c r="D36" s="16">
        <v>699</v>
      </c>
      <c r="E36" s="16">
        <v>800</v>
      </c>
      <c r="F36" s="16">
        <v>800</v>
      </c>
      <c r="G36" s="16">
        <v>135000</v>
      </c>
      <c r="H36" s="16">
        <f t="shared" si="1"/>
        <v>100</v>
      </c>
    </row>
    <row r="37" spans="1:8">
      <c r="A37" s="17">
        <v>44166</v>
      </c>
      <c r="B37" s="16">
        <v>809</v>
      </c>
      <c r="C37" s="16">
        <v>1555</v>
      </c>
      <c r="D37" s="16">
        <v>784</v>
      </c>
      <c r="E37" s="16">
        <v>1268</v>
      </c>
      <c r="F37" s="16">
        <v>1268</v>
      </c>
      <c r="G37" s="16">
        <v>12048900</v>
      </c>
      <c r="H37" s="16">
        <f t="shared" si="1"/>
        <v>459</v>
      </c>
    </row>
    <row r="38" spans="1:8">
      <c r="A38" s="17">
        <v>44200</v>
      </c>
      <c r="B38" s="16">
        <v>1251</v>
      </c>
      <c r="C38" s="16">
        <v>1384</v>
      </c>
      <c r="D38" s="16">
        <v>1202</v>
      </c>
      <c r="E38" s="16">
        <v>1232</v>
      </c>
      <c r="F38" s="16">
        <v>1232</v>
      </c>
      <c r="G38" s="16">
        <v>3405800</v>
      </c>
      <c r="H38" s="16">
        <f t="shared" si="1"/>
        <v>-19</v>
      </c>
    </row>
    <row r="39" spans="1:8">
      <c r="A39" s="17">
        <v>44228</v>
      </c>
      <c r="B39" s="16">
        <v>1232</v>
      </c>
      <c r="C39" s="16">
        <v>1347</v>
      </c>
      <c r="D39" s="16">
        <v>1227</v>
      </c>
      <c r="E39" s="16">
        <v>1292</v>
      </c>
      <c r="F39" s="16">
        <v>1292</v>
      </c>
      <c r="G39" s="16">
        <v>981900</v>
      </c>
      <c r="H39" s="16">
        <f t="shared" si="1"/>
        <v>60</v>
      </c>
    </row>
    <row r="40" spans="1:8">
      <c r="A40" s="17">
        <v>44256</v>
      </c>
      <c r="B40" s="16">
        <v>1292</v>
      </c>
      <c r="C40" s="16">
        <v>1415</v>
      </c>
      <c r="D40" s="16">
        <v>1112</v>
      </c>
      <c r="E40" s="16">
        <v>1152</v>
      </c>
      <c r="F40" s="16">
        <v>1152</v>
      </c>
      <c r="G40" s="16">
        <v>2147200</v>
      </c>
      <c r="H40" s="16">
        <f t="shared" si="1"/>
        <v>-140</v>
      </c>
    </row>
    <row r="41" spans="1:8">
      <c r="A41" s="17">
        <v>44287</v>
      </c>
      <c r="B41" s="16">
        <v>1154</v>
      </c>
      <c r="C41" s="16">
        <v>1170</v>
      </c>
      <c r="D41" s="16">
        <v>1028</v>
      </c>
      <c r="E41" s="16">
        <v>1044</v>
      </c>
      <c r="F41" s="16">
        <v>1044</v>
      </c>
      <c r="G41" s="16">
        <v>680000</v>
      </c>
      <c r="H41" s="16">
        <f t="shared" si="1"/>
        <v>-110</v>
      </c>
    </row>
    <row r="42" spans="1:8">
      <c r="A42" s="17">
        <v>44322</v>
      </c>
      <c r="B42" s="16">
        <v>1048</v>
      </c>
      <c r="C42" s="16">
        <v>1072</v>
      </c>
      <c r="D42" s="16">
        <v>993</v>
      </c>
      <c r="E42" s="16">
        <v>1050</v>
      </c>
      <c r="F42" s="16">
        <v>1050</v>
      </c>
      <c r="G42" s="16">
        <v>353700</v>
      </c>
      <c r="H42" s="16">
        <f t="shared" si="1"/>
        <v>2</v>
      </c>
    </row>
    <row r="43" spans="1:8">
      <c r="A43" s="17">
        <v>44348</v>
      </c>
      <c r="B43" s="16">
        <v>1060</v>
      </c>
      <c r="C43" s="16">
        <v>1155</v>
      </c>
      <c r="D43" s="16">
        <v>999</v>
      </c>
      <c r="E43" s="16">
        <v>1022</v>
      </c>
      <c r="F43" s="16">
        <v>1022</v>
      </c>
      <c r="G43" s="16">
        <v>1188000</v>
      </c>
      <c r="H43" s="16">
        <f t="shared" si="1"/>
        <v>-38</v>
      </c>
    </row>
    <row r="44" spans="1:8">
      <c r="A44" s="17">
        <v>44378</v>
      </c>
      <c r="B44" s="16">
        <v>1021</v>
      </c>
      <c r="C44" s="16">
        <v>1042</v>
      </c>
      <c r="D44" s="16">
        <v>967</v>
      </c>
      <c r="E44" s="16">
        <v>967</v>
      </c>
      <c r="F44" s="16">
        <v>967</v>
      </c>
      <c r="G44" s="16">
        <v>636500</v>
      </c>
      <c r="H44" s="16">
        <f t="shared" si="1"/>
        <v>-54</v>
      </c>
    </row>
    <row r="45" spans="1:8">
      <c r="A45" s="17">
        <v>44410</v>
      </c>
      <c r="B45" s="16">
        <v>967</v>
      </c>
      <c r="C45" s="16">
        <v>1099</v>
      </c>
      <c r="D45" s="16">
        <v>935</v>
      </c>
      <c r="E45" s="16">
        <v>1070</v>
      </c>
      <c r="F45" s="16">
        <v>1070</v>
      </c>
      <c r="G45" s="16">
        <v>453100</v>
      </c>
      <c r="H45" s="16">
        <f t="shared" si="1"/>
        <v>103</v>
      </c>
    </row>
    <row r="46" spans="1:8">
      <c r="A46" s="17">
        <v>44440</v>
      </c>
      <c r="B46" s="16">
        <v>1070</v>
      </c>
      <c r="C46" s="16">
        <v>1096</v>
      </c>
      <c r="D46" s="16">
        <v>789</v>
      </c>
      <c r="E46" s="16">
        <v>801</v>
      </c>
      <c r="F46" s="16">
        <v>801</v>
      </c>
      <c r="G46" s="16">
        <v>2662400</v>
      </c>
      <c r="H46" s="16">
        <f t="shared" si="1"/>
        <v>-269</v>
      </c>
    </row>
    <row r="47" spans="1:8">
      <c r="A47" s="17">
        <v>44470</v>
      </c>
      <c r="B47" s="16">
        <v>801</v>
      </c>
      <c r="C47" s="16">
        <v>815</v>
      </c>
      <c r="D47" s="16">
        <v>790</v>
      </c>
      <c r="E47" s="16">
        <v>800</v>
      </c>
      <c r="F47" s="16">
        <v>800</v>
      </c>
      <c r="G47" s="16">
        <v>411600</v>
      </c>
      <c r="H47" s="16">
        <f t="shared" si="1"/>
        <v>-1</v>
      </c>
    </row>
    <row r="48" spans="1:8">
      <c r="A48" s="17">
        <v>44501</v>
      </c>
      <c r="B48" s="16">
        <v>810</v>
      </c>
      <c r="C48" s="16">
        <v>820</v>
      </c>
      <c r="D48" s="16">
        <v>779</v>
      </c>
      <c r="E48" s="16">
        <v>782</v>
      </c>
      <c r="F48" s="16">
        <v>782</v>
      </c>
      <c r="G48" s="16">
        <v>375900</v>
      </c>
      <c r="H48" s="16">
        <f t="shared" si="1"/>
        <v>-28</v>
      </c>
    </row>
    <row r="49" spans="1:8">
      <c r="A49" s="17">
        <v>44531</v>
      </c>
      <c r="B49" s="16">
        <v>782</v>
      </c>
      <c r="C49" s="16">
        <v>839</v>
      </c>
      <c r="D49" s="16">
        <v>759</v>
      </c>
      <c r="E49" s="16">
        <v>831</v>
      </c>
      <c r="F49" s="16">
        <v>831</v>
      </c>
      <c r="G49" s="16">
        <v>506300</v>
      </c>
      <c r="H49" s="16">
        <f t="shared" si="1"/>
        <v>49</v>
      </c>
    </row>
    <row r="50" spans="1:8">
      <c r="A50" s="17">
        <v>44565</v>
      </c>
      <c r="B50" s="16">
        <v>833</v>
      </c>
      <c r="C50" s="16">
        <v>837</v>
      </c>
      <c r="D50" s="16">
        <v>675</v>
      </c>
      <c r="E50" s="16">
        <v>681</v>
      </c>
      <c r="F50" s="16">
        <v>681</v>
      </c>
      <c r="G50" s="16">
        <v>958200</v>
      </c>
      <c r="H50" s="16">
        <f t="shared" si="1"/>
        <v>-152</v>
      </c>
    </row>
    <row r="51" spans="1:8">
      <c r="A51" s="17">
        <v>44593</v>
      </c>
      <c r="B51" s="16">
        <v>681</v>
      </c>
      <c r="C51" s="16">
        <v>692</v>
      </c>
      <c r="D51" s="16">
        <v>630</v>
      </c>
      <c r="E51" s="16">
        <v>653</v>
      </c>
      <c r="F51" s="16">
        <v>653</v>
      </c>
      <c r="G51" s="16">
        <v>358100</v>
      </c>
      <c r="H51" s="16">
        <f t="shared" si="1"/>
        <v>-28</v>
      </c>
    </row>
    <row r="52" spans="1:8">
      <c r="A52" s="17">
        <v>44621</v>
      </c>
      <c r="B52" s="16">
        <v>655</v>
      </c>
      <c r="C52" s="16">
        <v>662</v>
      </c>
      <c r="D52" s="16">
        <v>600</v>
      </c>
      <c r="E52" s="16">
        <v>640</v>
      </c>
      <c r="F52" s="16">
        <v>640</v>
      </c>
      <c r="G52" s="16">
        <v>235400</v>
      </c>
      <c r="H52" s="16">
        <f t="shared" si="1"/>
        <v>-15</v>
      </c>
    </row>
    <row r="53" spans="1:8">
      <c r="A53" s="17">
        <v>44652</v>
      </c>
      <c r="B53" s="16">
        <v>640</v>
      </c>
      <c r="C53" s="16">
        <v>683</v>
      </c>
      <c r="D53" s="16">
        <v>638</v>
      </c>
      <c r="E53" s="16">
        <v>677</v>
      </c>
      <c r="F53" s="16">
        <v>677</v>
      </c>
      <c r="G53" s="16">
        <v>121700</v>
      </c>
      <c r="H53" s="16">
        <f t="shared" si="1"/>
        <v>37</v>
      </c>
    </row>
    <row r="54" spans="1:8">
      <c r="A54" s="17">
        <v>44683</v>
      </c>
      <c r="B54" s="16">
        <v>676</v>
      </c>
      <c r="C54" s="16">
        <v>730</v>
      </c>
      <c r="D54" s="16">
        <v>660</v>
      </c>
      <c r="E54" s="16">
        <v>726</v>
      </c>
      <c r="F54" s="16">
        <v>726</v>
      </c>
      <c r="G54" s="16">
        <v>153300</v>
      </c>
      <c r="H54" s="16">
        <f t="shared" si="1"/>
        <v>50</v>
      </c>
    </row>
    <row r="55" spans="1:8">
      <c r="A55" s="17">
        <v>44713</v>
      </c>
      <c r="B55" s="16">
        <v>726</v>
      </c>
      <c r="C55" s="16">
        <v>750</v>
      </c>
      <c r="D55" s="16">
        <v>680</v>
      </c>
      <c r="E55" s="16">
        <v>729</v>
      </c>
      <c r="F55" s="16">
        <v>729</v>
      </c>
      <c r="G55" s="16">
        <v>135000</v>
      </c>
      <c r="H55" s="16">
        <f t="shared" si="1"/>
        <v>3</v>
      </c>
    </row>
    <row r="56" spans="1:8">
      <c r="A56" s="17">
        <v>44743</v>
      </c>
      <c r="B56" s="16">
        <v>725</v>
      </c>
      <c r="C56" s="16">
        <v>744</v>
      </c>
      <c r="D56" s="16">
        <v>700</v>
      </c>
      <c r="E56" s="16">
        <v>702</v>
      </c>
      <c r="F56" s="16">
        <v>702</v>
      </c>
      <c r="G56" s="16">
        <v>115200</v>
      </c>
      <c r="H56" s="16">
        <f t="shared" si="1"/>
        <v>-23</v>
      </c>
    </row>
    <row r="57" spans="1:8">
      <c r="A57" s="17">
        <v>44774</v>
      </c>
      <c r="B57" s="16">
        <v>708</v>
      </c>
      <c r="C57" s="16">
        <v>720</v>
      </c>
      <c r="D57" s="16">
        <v>690</v>
      </c>
      <c r="E57" s="16">
        <v>710</v>
      </c>
      <c r="F57" s="16">
        <v>710</v>
      </c>
      <c r="G57" s="16">
        <v>62800</v>
      </c>
      <c r="H57" s="16">
        <f t="shared" si="1"/>
        <v>2</v>
      </c>
    </row>
    <row r="58" spans="1:8">
      <c r="A58" s="17">
        <v>44805</v>
      </c>
      <c r="B58" s="16">
        <v>711</v>
      </c>
      <c r="C58" s="16">
        <v>733</v>
      </c>
      <c r="D58" s="16">
        <v>700</v>
      </c>
      <c r="E58" s="16">
        <v>707</v>
      </c>
      <c r="F58" s="16">
        <v>707</v>
      </c>
      <c r="G58" s="16">
        <v>206300</v>
      </c>
      <c r="H58" s="16">
        <f t="shared" si="1"/>
        <v>-4</v>
      </c>
    </row>
    <row r="59" spans="1:8">
      <c r="A59" s="17">
        <v>44837</v>
      </c>
      <c r="B59" s="16">
        <v>707</v>
      </c>
      <c r="C59" s="16">
        <v>756</v>
      </c>
      <c r="D59" s="16">
        <v>702</v>
      </c>
      <c r="E59" s="16">
        <v>756</v>
      </c>
      <c r="F59" s="16">
        <v>756</v>
      </c>
      <c r="G59" s="16">
        <v>78300</v>
      </c>
      <c r="H59" s="16">
        <f t="shared" si="1"/>
        <v>49</v>
      </c>
    </row>
    <row r="60" spans="1:8">
      <c r="A60" s="17">
        <v>44866</v>
      </c>
      <c r="B60" s="16">
        <v>756</v>
      </c>
      <c r="C60" s="16">
        <v>815</v>
      </c>
      <c r="D60" s="16">
        <v>750</v>
      </c>
      <c r="E60" s="16">
        <v>811</v>
      </c>
      <c r="F60" s="16">
        <v>811</v>
      </c>
      <c r="G60" s="16">
        <v>177600</v>
      </c>
      <c r="H60" s="16">
        <f t="shared" si="1"/>
        <v>55</v>
      </c>
    </row>
    <row r="61" spans="1:8">
      <c r="A61" s="17">
        <v>44896</v>
      </c>
      <c r="B61" s="16">
        <v>813</v>
      </c>
      <c r="C61" s="16">
        <v>830</v>
      </c>
      <c r="D61" s="16">
        <v>758</v>
      </c>
      <c r="E61" s="16">
        <v>793</v>
      </c>
      <c r="F61" s="16">
        <v>793</v>
      </c>
      <c r="G61" s="16">
        <v>441800</v>
      </c>
      <c r="H61" s="16">
        <f t="shared" si="1"/>
        <v>-20</v>
      </c>
    </row>
  </sheetData>
  <phoneticPr fontId="32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35AC1-1FD4-470F-A616-B65ECB71EB69}">
  <sheetPr codeName="Sheet15"/>
  <dimension ref="A1:I1"/>
  <sheetViews>
    <sheetView workbookViewId="0"/>
  </sheetViews>
  <sheetFormatPr defaultRowHeight="18.75"/>
  <cols>
    <col min="1" max="16384" width="9" style="16"/>
  </cols>
  <sheetData>
    <row r="1" spans="1: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</sheetData>
  <phoneticPr fontId="32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61D54-4B79-4E11-9486-A0E4F332C589}">
  <sheetPr codeName="Sheet14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1339</v>
      </c>
      <c r="C2" s="16">
        <v>1368</v>
      </c>
      <c r="D2" s="16">
        <v>1223</v>
      </c>
      <c r="E2" s="16">
        <v>1223</v>
      </c>
      <c r="F2" s="16">
        <v>1223</v>
      </c>
      <c r="G2" s="16">
        <v>2239900</v>
      </c>
      <c r="H2" s="16">
        <f t="shared" ref="H2:H33" si="0">E2-B2</f>
        <v>-116</v>
      </c>
      <c r="J2" s="18" cm="1">
        <f t="array" ref="J2:Q6">_xlfn._xlws.FILTER(A2:H61,MONTH(A2:A61)=1,"")</f>
        <v>43104</v>
      </c>
      <c r="K2" s="16">
        <v>1339</v>
      </c>
      <c r="L2" s="16">
        <v>1368</v>
      </c>
      <c r="M2" s="16">
        <v>1223</v>
      </c>
      <c r="N2" s="16">
        <v>1223</v>
      </c>
      <c r="O2" s="16">
        <v>1223</v>
      </c>
      <c r="P2" s="16">
        <v>2239900</v>
      </c>
      <c r="Q2" s="16">
        <v>-116</v>
      </c>
      <c r="R2" s="16">
        <f>Q2/K2*100</f>
        <v>-8.66318147871546</v>
      </c>
      <c r="S2" s="16">
        <f>COUNT(Q2:Q6)</f>
        <v>5</v>
      </c>
      <c r="T2" s="18" cm="1">
        <f t="array" ref="T2:AA6">_xlfn._xlws.FILTER(A2:H61,MONTH(A2:A61)=2,"")</f>
        <v>43132</v>
      </c>
      <c r="U2" s="16">
        <v>1221</v>
      </c>
      <c r="V2" s="16">
        <v>1265</v>
      </c>
      <c r="W2" s="16">
        <v>980</v>
      </c>
      <c r="X2" s="16">
        <v>1123</v>
      </c>
      <c r="Y2" s="16">
        <v>1123</v>
      </c>
      <c r="Z2" s="16">
        <v>1278400</v>
      </c>
      <c r="AA2" s="16">
        <v>-98</v>
      </c>
      <c r="AB2" s="16">
        <f>AA2/U2*100</f>
        <v>-8.0262080262080264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1119</v>
      </c>
      <c r="AF2" s="16">
        <v>1119</v>
      </c>
      <c r="AG2" s="16">
        <v>855</v>
      </c>
      <c r="AH2" s="16">
        <v>926</v>
      </c>
      <c r="AI2" s="16">
        <v>926</v>
      </c>
      <c r="AJ2" s="16">
        <v>1846200</v>
      </c>
      <c r="AK2" s="16">
        <v>-193</v>
      </c>
      <c r="AL2" s="16">
        <f>AK2/AE2*100</f>
        <v>-17.247542448614837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927</v>
      </c>
      <c r="AP2" s="16">
        <v>963</v>
      </c>
      <c r="AQ2" s="16">
        <v>902</v>
      </c>
      <c r="AR2" s="16">
        <v>941</v>
      </c>
      <c r="AS2" s="16">
        <v>941</v>
      </c>
      <c r="AT2" s="16">
        <v>627500</v>
      </c>
      <c r="AU2" s="16">
        <v>14</v>
      </c>
      <c r="AV2" s="16">
        <f>AU2/AO2*100</f>
        <v>1.5102481121898599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943</v>
      </c>
      <c r="AZ2" s="16">
        <v>992</v>
      </c>
      <c r="BA2" s="16">
        <v>900</v>
      </c>
      <c r="BB2" s="16">
        <v>903</v>
      </c>
      <c r="BC2" s="16">
        <v>903</v>
      </c>
      <c r="BD2" s="16">
        <v>504500</v>
      </c>
      <c r="BE2" s="16">
        <v>-40</v>
      </c>
      <c r="BF2" s="16">
        <f>BE2/AY2*100</f>
        <v>-4.2417815482502652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915</v>
      </c>
      <c r="BJ2" s="16">
        <v>948</v>
      </c>
      <c r="BK2" s="16">
        <v>809</v>
      </c>
      <c r="BL2" s="16">
        <v>820</v>
      </c>
      <c r="BM2" s="16">
        <v>820</v>
      </c>
      <c r="BN2" s="16">
        <v>640100</v>
      </c>
      <c r="BO2" s="16">
        <v>-95</v>
      </c>
      <c r="BP2" s="16">
        <f>BO2/BI2*100</f>
        <v>-10.382513661202186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822</v>
      </c>
      <c r="BT2" s="16">
        <v>918</v>
      </c>
      <c r="BU2" s="16">
        <v>786</v>
      </c>
      <c r="BV2" s="16">
        <v>902</v>
      </c>
      <c r="BW2" s="16">
        <v>902</v>
      </c>
      <c r="BX2" s="16">
        <v>575100</v>
      </c>
      <c r="BY2" s="16">
        <v>80</v>
      </c>
      <c r="BZ2" s="16">
        <f>BY2/BS2*100</f>
        <v>9.7323600973236015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902</v>
      </c>
      <c r="CD2" s="16">
        <v>914</v>
      </c>
      <c r="CE2" s="16">
        <v>816</v>
      </c>
      <c r="CF2" s="16">
        <v>875</v>
      </c>
      <c r="CG2" s="16">
        <v>875</v>
      </c>
      <c r="CH2" s="16">
        <v>335400</v>
      </c>
      <c r="CI2" s="16">
        <v>-27</v>
      </c>
      <c r="CJ2" s="16">
        <f>CI2/CC2*100</f>
        <v>-2.9933481152993346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874</v>
      </c>
      <c r="CN2" s="16">
        <v>903</v>
      </c>
      <c r="CO2" s="16">
        <v>813</v>
      </c>
      <c r="CP2" s="16">
        <v>891</v>
      </c>
      <c r="CQ2" s="16">
        <v>891</v>
      </c>
      <c r="CR2" s="16">
        <v>361600</v>
      </c>
      <c r="CS2" s="16">
        <v>17</v>
      </c>
      <c r="CT2" s="16">
        <f>CS2/CM2*100</f>
        <v>1.9450800915331807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895</v>
      </c>
      <c r="CX2" s="16">
        <v>897</v>
      </c>
      <c r="CY2" s="16">
        <v>770</v>
      </c>
      <c r="CZ2" s="16">
        <v>827</v>
      </c>
      <c r="DA2" s="16">
        <v>827</v>
      </c>
      <c r="DB2" s="16">
        <v>567700</v>
      </c>
      <c r="DC2" s="16">
        <v>-68</v>
      </c>
      <c r="DD2" s="16">
        <f>DC2/CW2*100</f>
        <v>-7.5977653631284916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826</v>
      </c>
      <c r="DH2" s="16">
        <v>935</v>
      </c>
      <c r="DI2" s="16">
        <v>825</v>
      </c>
      <c r="DJ2" s="16">
        <v>918</v>
      </c>
      <c r="DK2" s="16">
        <v>918</v>
      </c>
      <c r="DL2" s="16">
        <v>366700</v>
      </c>
      <c r="DM2" s="16">
        <v>92</v>
      </c>
      <c r="DN2" s="16">
        <f>DM2/DG2*100</f>
        <v>11.138014527845035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920</v>
      </c>
      <c r="DR2" s="16">
        <v>926</v>
      </c>
      <c r="DS2" s="16">
        <v>640</v>
      </c>
      <c r="DT2" s="16">
        <v>773</v>
      </c>
      <c r="DU2" s="16">
        <v>773</v>
      </c>
      <c r="DV2" s="16">
        <v>743700</v>
      </c>
      <c r="DW2" s="16">
        <v>-147</v>
      </c>
      <c r="DX2" s="16">
        <f>DW2/DQ2*100</f>
        <v>-15.978260869565217</v>
      </c>
      <c r="DY2" s="16">
        <f>COUNT(DW2:DW6)</f>
        <v>5</v>
      </c>
    </row>
    <row r="3" spans="1:129">
      <c r="A3" s="17">
        <v>43132</v>
      </c>
      <c r="B3" s="16">
        <v>1221</v>
      </c>
      <c r="C3" s="16">
        <v>1265</v>
      </c>
      <c r="D3" s="16">
        <v>980</v>
      </c>
      <c r="E3" s="16">
        <v>1123</v>
      </c>
      <c r="F3" s="16">
        <v>1123</v>
      </c>
      <c r="G3" s="16">
        <v>1278400</v>
      </c>
      <c r="H3" s="16">
        <f t="shared" si="0"/>
        <v>-98</v>
      </c>
      <c r="J3" s="18">
        <v>43469</v>
      </c>
      <c r="K3" s="16">
        <v>767</v>
      </c>
      <c r="L3" s="16">
        <v>916</v>
      </c>
      <c r="M3" s="16">
        <v>753</v>
      </c>
      <c r="N3" s="16">
        <v>776</v>
      </c>
      <c r="O3" s="16">
        <v>776</v>
      </c>
      <c r="P3" s="16">
        <v>1180200</v>
      </c>
      <c r="Q3" s="16">
        <v>9</v>
      </c>
      <c r="R3" s="16">
        <f>Q3/K3*100</f>
        <v>1.1734028683181226</v>
      </c>
      <c r="S3" s="16">
        <f>COUNTIF(Q2:Q6,"&gt;0")</f>
        <v>1</v>
      </c>
      <c r="T3" s="18">
        <v>43497</v>
      </c>
      <c r="U3" s="16">
        <v>765</v>
      </c>
      <c r="V3" s="16">
        <v>785</v>
      </c>
      <c r="W3" s="16">
        <v>710</v>
      </c>
      <c r="X3" s="16">
        <v>767</v>
      </c>
      <c r="Y3" s="16">
        <v>767</v>
      </c>
      <c r="Z3" s="16">
        <v>413700</v>
      </c>
      <c r="AA3" s="16">
        <v>2</v>
      </c>
      <c r="AB3" s="16">
        <f>AA3/U3*100</f>
        <v>0.26143790849673199</v>
      </c>
      <c r="AC3" s="16">
        <f>COUNTIF(AA2:AA6,"&gt;0")</f>
        <v>1</v>
      </c>
      <c r="AD3" s="18">
        <v>43525</v>
      </c>
      <c r="AE3" s="16">
        <v>767</v>
      </c>
      <c r="AF3" s="16">
        <v>781</v>
      </c>
      <c r="AG3" s="16">
        <v>701</v>
      </c>
      <c r="AH3" s="16">
        <v>714</v>
      </c>
      <c r="AI3" s="16">
        <v>714</v>
      </c>
      <c r="AJ3" s="16">
        <v>440500</v>
      </c>
      <c r="AK3" s="16">
        <v>-53</v>
      </c>
      <c r="AL3" s="16">
        <f>AK3/AE3*100</f>
        <v>-6.9100391134289438</v>
      </c>
      <c r="AM3" s="16">
        <f>COUNTIF(AK2:AK6,"&gt;0")</f>
        <v>2</v>
      </c>
      <c r="AN3" s="18">
        <v>43556</v>
      </c>
      <c r="AO3" s="16">
        <v>719</v>
      </c>
      <c r="AP3" s="16">
        <v>769</v>
      </c>
      <c r="AQ3" s="16">
        <v>719</v>
      </c>
      <c r="AR3" s="16">
        <v>749</v>
      </c>
      <c r="AS3" s="16">
        <v>749</v>
      </c>
      <c r="AT3" s="16">
        <v>213100</v>
      </c>
      <c r="AU3" s="16">
        <v>30</v>
      </c>
      <c r="AV3" s="16">
        <f>AU3/AO3*100</f>
        <v>4.1724617524339358</v>
      </c>
      <c r="AW3" s="16">
        <f>COUNTIF(AU2:AU6,"&gt;0")</f>
        <v>3</v>
      </c>
      <c r="AX3" s="18">
        <v>43592</v>
      </c>
      <c r="AY3" s="16">
        <v>759</v>
      </c>
      <c r="AZ3" s="16">
        <v>759</v>
      </c>
      <c r="BA3" s="16">
        <v>713</v>
      </c>
      <c r="BB3" s="16">
        <v>755</v>
      </c>
      <c r="BC3" s="16">
        <v>755</v>
      </c>
      <c r="BD3" s="16">
        <v>164100</v>
      </c>
      <c r="BE3" s="16">
        <v>-4</v>
      </c>
      <c r="BF3" s="16">
        <f>BE3/AY3*100</f>
        <v>-0.5270092226613966</v>
      </c>
      <c r="BG3" s="16">
        <f>COUNTIF(BE2:BE6,"&gt;0")</f>
        <v>3</v>
      </c>
      <c r="BH3" s="18">
        <v>43619</v>
      </c>
      <c r="BI3" s="16">
        <v>755</v>
      </c>
      <c r="BJ3" s="16">
        <v>814</v>
      </c>
      <c r="BK3" s="16">
        <v>737</v>
      </c>
      <c r="BL3" s="16">
        <v>771</v>
      </c>
      <c r="BM3" s="16">
        <v>771</v>
      </c>
      <c r="BN3" s="16">
        <v>285100</v>
      </c>
      <c r="BO3" s="16">
        <v>16</v>
      </c>
      <c r="BP3" s="16">
        <f>BO3/BI3*100</f>
        <v>2.1192052980132452</v>
      </c>
      <c r="BQ3" s="16">
        <f>COUNTIF(BO2:BO6,"&gt;0")</f>
        <v>2</v>
      </c>
      <c r="BR3" s="18">
        <v>43647</v>
      </c>
      <c r="BS3" s="16">
        <v>779</v>
      </c>
      <c r="BT3" s="16">
        <v>783</v>
      </c>
      <c r="BU3" s="16">
        <v>720</v>
      </c>
      <c r="BV3" s="16">
        <v>726</v>
      </c>
      <c r="BW3" s="16">
        <v>726</v>
      </c>
      <c r="BX3" s="16">
        <v>173600</v>
      </c>
      <c r="BY3" s="16">
        <v>-53</v>
      </c>
      <c r="BZ3" s="16">
        <f>BY3/BS3*100</f>
        <v>-6.8035943517329915</v>
      </c>
      <c r="CA3" s="16">
        <f>COUNTIF(BY2:BY6,"&gt;0")</f>
        <v>1</v>
      </c>
      <c r="CB3" s="18">
        <v>43678</v>
      </c>
      <c r="CC3" s="16">
        <v>724</v>
      </c>
      <c r="CD3" s="16">
        <v>728</v>
      </c>
      <c r="CE3" s="16">
        <v>651</v>
      </c>
      <c r="CF3" s="16">
        <v>664</v>
      </c>
      <c r="CG3" s="16">
        <v>664</v>
      </c>
      <c r="CH3" s="16">
        <v>245700</v>
      </c>
      <c r="CI3" s="16">
        <v>-60</v>
      </c>
      <c r="CJ3" s="16">
        <f>CI3/CC3*100</f>
        <v>-8.2872928176795568</v>
      </c>
      <c r="CK3" s="16">
        <f>COUNTIF(CI2:CI6,"&gt;0")</f>
        <v>2</v>
      </c>
      <c r="CL3" s="18">
        <v>43710</v>
      </c>
      <c r="CM3" s="16">
        <v>661</v>
      </c>
      <c r="CN3" s="16">
        <v>719</v>
      </c>
      <c r="CO3" s="16">
        <v>658</v>
      </c>
      <c r="CP3" s="16">
        <v>718</v>
      </c>
      <c r="CQ3" s="16">
        <v>718</v>
      </c>
      <c r="CR3" s="16">
        <v>303600</v>
      </c>
      <c r="CS3" s="16">
        <v>57</v>
      </c>
      <c r="CT3" s="16">
        <f>CS3/CM3*100</f>
        <v>8.6232980332829037</v>
      </c>
      <c r="CU3" s="16">
        <f>COUNTIF(CS2:CS6,"&gt;0")</f>
        <v>4</v>
      </c>
      <c r="CV3" s="18">
        <v>43739</v>
      </c>
      <c r="CW3" s="16">
        <v>726</v>
      </c>
      <c r="CX3" s="16">
        <v>791</v>
      </c>
      <c r="CY3" s="16">
        <v>701</v>
      </c>
      <c r="CZ3" s="16">
        <v>787</v>
      </c>
      <c r="DA3" s="16">
        <v>787</v>
      </c>
      <c r="DB3" s="16">
        <v>251100</v>
      </c>
      <c r="DC3" s="16">
        <v>61</v>
      </c>
      <c r="DD3" s="16">
        <f>DC3/CW3*100</f>
        <v>8.4022038567493116</v>
      </c>
      <c r="DE3" s="16">
        <f>COUNTIF(DC2:DC6,"&gt;0")</f>
        <v>3</v>
      </c>
      <c r="DF3" s="18">
        <v>43770</v>
      </c>
      <c r="DG3" s="16">
        <v>790</v>
      </c>
      <c r="DH3" s="16">
        <v>810</v>
      </c>
      <c r="DI3" s="16">
        <v>772</v>
      </c>
      <c r="DJ3" s="16">
        <v>806</v>
      </c>
      <c r="DK3" s="16">
        <v>806</v>
      </c>
      <c r="DL3" s="16">
        <v>246800</v>
      </c>
      <c r="DM3" s="16">
        <v>16</v>
      </c>
      <c r="DN3" s="16">
        <f>DM3/DG3*100</f>
        <v>2.0253164556962027</v>
      </c>
      <c r="DO3" s="16">
        <f>COUNTIF(DM2:DM6,"&gt;0")</f>
        <v>5</v>
      </c>
      <c r="DP3" s="18">
        <v>43801</v>
      </c>
      <c r="DQ3" s="16">
        <v>814</v>
      </c>
      <c r="DR3" s="16">
        <v>900</v>
      </c>
      <c r="DS3" s="16">
        <v>787</v>
      </c>
      <c r="DT3" s="16">
        <v>899</v>
      </c>
      <c r="DU3" s="16">
        <v>899</v>
      </c>
      <c r="DV3" s="16">
        <v>1034100</v>
      </c>
      <c r="DW3" s="16">
        <v>85</v>
      </c>
      <c r="DX3" s="16">
        <f>DW3/DQ3*100</f>
        <v>10.442260442260443</v>
      </c>
      <c r="DY3" s="16">
        <f>COUNTIF(DW2:DW6,"&gt;0")</f>
        <v>4</v>
      </c>
    </row>
    <row r="4" spans="1:129">
      <c r="A4" s="17">
        <v>43160</v>
      </c>
      <c r="B4" s="16">
        <v>1119</v>
      </c>
      <c r="C4" s="16">
        <v>1119</v>
      </c>
      <c r="D4" s="16">
        <v>855</v>
      </c>
      <c r="E4" s="16">
        <v>926</v>
      </c>
      <c r="F4" s="16">
        <v>926</v>
      </c>
      <c r="G4" s="16">
        <v>1846200</v>
      </c>
      <c r="H4" s="16">
        <f t="shared" si="0"/>
        <v>-193</v>
      </c>
      <c r="J4" s="18">
        <v>43836</v>
      </c>
      <c r="K4" s="16">
        <v>899</v>
      </c>
      <c r="L4" s="16">
        <v>937</v>
      </c>
      <c r="M4" s="16">
        <v>637</v>
      </c>
      <c r="N4" s="16">
        <v>637</v>
      </c>
      <c r="O4" s="16">
        <v>637</v>
      </c>
      <c r="P4" s="16">
        <v>2531100</v>
      </c>
      <c r="Q4" s="16">
        <v>-262</v>
      </c>
      <c r="R4" s="16">
        <f>Q4/K4*100</f>
        <v>-29.14349276974416</v>
      </c>
      <c r="S4" s="19">
        <f>S3/S2*100</f>
        <v>20</v>
      </c>
      <c r="T4" s="18">
        <v>43864</v>
      </c>
      <c r="U4" s="16">
        <v>612</v>
      </c>
      <c r="V4" s="16">
        <v>637</v>
      </c>
      <c r="W4" s="16">
        <v>470</v>
      </c>
      <c r="X4" s="16">
        <v>471</v>
      </c>
      <c r="Y4" s="16">
        <v>471</v>
      </c>
      <c r="Z4" s="16">
        <v>722800</v>
      </c>
      <c r="AA4" s="16">
        <v>-141</v>
      </c>
      <c r="AB4" s="16">
        <f>AA4/U4*100</f>
        <v>-23.03921568627451</v>
      </c>
      <c r="AC4" s="19">
        <f>AC3/AC2*100</f>
        <v>20</v>
      </c>
      <c r="AD4" s="18">
        <v>43892</v>
      </c>
      <c r="AE4" s="16">
        <v>470</v>
      </c>
      <c r="AF4" s="16">
        <v>524</v>
      </c>
      <c r="AG4" s="16">
        <v>291</v>
      </c>
      <c r="AH4" s="16">
        <v>461</v>
      </c>
      <c r="AI4" s="16">
        <v>461</v>
      </c>
      <c r="AJ4" s="16">
        <v>1005500</v>
      </c>
      <c r="AK4" s="16">
        <v>-9</v>
      </c>
      <c r="AL4" s="16">
        <f>AK4/AE4*100</f>
        <v>-1.9148936170212765</v>
      </c>
      <c r="AM4" s="19">
        <f>AM3/AM2*100</f>
        <v>40</v>
      </c>
      <c r="AN4" s="18">
        <v>43922</v>
      </c>
      <c r="AO4" s="16">
        <v>453</v>
      </c>
      <c r="AP4" s="16">
        <v>466</v>
      </c>
      <c r="AQ4" s="16">
        <v>392</v>
      </c>
      <c r="AR4" s="16">
        <v>461</v>
      </c>
      <c r="AS4" s="16">
        <v>461</v>
      </c>
      <c r="AT4" s="16">
        <v>302700</v>
      </c>
      <c r="AU4" s="16">
        <v>8</v>
      </c>
      <c r="AV4" s="16">
        <f>AU4/AO4*100</f>
        <v>1.7660044150110374</v>
      </c>
      <c r="AW4" s="19">
        <f>AW3/AW2*100</f>
        <v>60</v>
      </c>
      <c r="AX4" s="18">
        <v>43952</v>
      </c>
      <c r="AY4" s="16">
        <v>453</v>
      </c>
      <c r="AZ4" s="16">
        <v>587</v>
      </c>
      <c r="BA4" s="16">
        <v>451</v>
      </c>
      <c r="BB4" s="16">
        <v>584</v>
      </c>
      <c r="BC4" s="16">
        <v>584</v>
      </c>
      <c r="BD4" s="16">
        <v>243000</v>
      </c>
      <c r="BE4" s="16">
        <v>131</v>
      </c>
      <c r="BF4" s="16">
        <f>BE4/AY4*100</f>
        <v>28.918322295805737</v>
      </c>
      <c r="BG4" s="19">
        <f>BG3/BG2*100</f>
        <v>60</v>
      </c>
      <c r="BH4" s="18">
        <v>43983</v>
      </c>
      <c r="BI4" s="16">
        <v>589</v>
      </c>
      <c r="BJ4" s="16">
        <v>590</v>
      </c>
      <c r="BK4" s="16">
        <v>495</v>
      </c>
      <c r="BL4" s="16">
        <v>541</v>
      </c>
      <c r="BM4" s="16">
        <v>541</v>
      </c>
      <c r="BN4" s="16">
        <v>173000</v>
      </c>
      <c r="BO4" s="16">
        <v>-48</v>
      </c>
      <c r="BP4" s="16">
        <f>BO4/BI4*100</f>
        <v>-8.149405772495756</v>
      </c>
      <c r="BQ4" s="19">
        <f>BQ3/BQ2*100</f>
        <v>40</v>
      </c>
      <c r="BR4" s="18">
        <v>44013</v>
      </c>
      <c r="BS4" s="16">
        <v>549</v>
      </c>
      <c r="BT4" s="16">
        <v>549</v>
      </c>
      <c r="BU4" s="16">
        <v>470</v>
      </c>
      <c r="BV4" s="16">
        <v>470</v>
      </c>
      <c r="BW4" s="16">
        <v>470</v>
      </c>
      <c r="BX4" s="16">
        <v>108300</v>
      </c>
      <c r="BY4" s="16">
        <v>-79</v>
      </c>
      <c r="BZ4" s="16">
        <f>BY4/BS4*100</f>
        <v>-14.389799635701275</v>
      </c>
      <c r="CA4" s="19">
        <f>CA3/CA2*100</f>
        <v>20</v>
      </c>
      <c r="CB4" s="18">
        <v>44046</v>
      </c>
      <c r="CC4" s="16">
        <v>471</v>
      </c>
      <c r="CD4" s="16">
        <v>500</v>
      </c>
      <c r="CE4" s="16">
        <v>463</v>
      </c>
      <c r="CF4" s="16">
        <v>492</v>
      </c>
      <c r="CG4" s="16">
        <v>492</v>
      </c>
      <c r="CH4" s="16">
        <v>102100</v>
      </c>
      <c r="CI4" s="16">
        <v>21</v>
      </c>
      <c r="CJ4" s="16">
        <f>CI4/CC4*100</f>
        <v>4.4585987261146496</v>
      </c>
      <c r="CK4" s="19">
        <f>CK3/CK2*100</f>
        <v>40</v>
      </c>
      <c r="CL4" s="18">
        <v>44075</v>
      </c>
      <c r="CM4" s="16">
        <v>493</v>
      </c>
      <c r="CN4" s="16">
        <v>600</v>
      </c>
      <c r="CO4" s="16">
        <v>480</v>
      </c>
      <c r="CP4" s="16">
        <v>586</v>
      </c>
      <c r="CQ4" s="16">
        <v>586</v>
      </c>
      <c r="CR4" s="16">
        <v>653300</v>
      </c>
      <c r="CS4" s="16">
        <v>93</v>
      </c>
      <c r="CT4" s="16">
        <f>CS4/CM4*100</f>
        <v>18.864097363083165</v>
      </c>
      <c r="CU4" s="19">
        <f>CU3/CU2*100</f>
        <v>80</v>
      </c>
      <c r="CV4" s="18">
        <v>44106</v>
      </c>
      <c r="CW4" s="16">
        <v>586</v>
      </c>
      <c r="CX4" s="16">
        <v>590</v>
      </c>
      <c r="CY4" s="16">
        <v>527</v>
      </c>
      <c r="CZ4" s="16">
        <v>527</v>
      </c>
      <c r="DA4" s="16">
        <v>527</v>
      </c>
      <c r="DB4" s="16">
        <v>143300</v>
      </c>
      <c r="DC4" s="16">
        <v>-59</v>
      </c>
      <c r="DD4" s="16">
        <f>DC4/CW4*100</f>
        <v>-10.068259385665529</v>
      </c>
      <c r="DE4" s="19">
        <f>DE3/DE2*100</f>
        <v>60</v>
      </c>
      <c r="DF4" s="18">
        <v>44137</v>
      </c>
      <c r="DG4" s="16">
        <v>517</v>
      </c>
      <c r="DH4" s="16">
        <v>589</v>
      </c>
      <c r="DI4" s="16">
        <v>517</v>
      </c>
      <c r="DJ4" s="16">
        <v>586</v>
      </c>
      <c r="DK4" s="16">
        <v>586</v>
      </c>
      <c r="DL4" s="16">
        <v>174200</v>
      </c>
      <c r="DM4" s="16">
        <v>69</v>
      </c>
      <c r="DN4" s="16">
        <f>DM4/DG4*100</f>
        <v>13.346228239845262</v>
      </c>
      <c r="DO4" s="19">
        <f>DO3/DO2*100</f>
        <v>100</v>
      </c>
      <c r="DP4" s="18">
        <v>44166</v>
      </c>
      <c r="DQ4" s="16">
        <v>590</v>
      </c>
      <c r="DR4" s="16">
        <v>690</v>
      </c>
      <c r="DS4" s="16">
        <v>587</v>
      </c>
      <c r="DT4" s="16">
        <v>653</v>
      </c>
      <c r="DU4" s="16">
        <v>653</v>
      </c>
      <c r="DV4" s="16">
        <v>783900</v>
      </c>
      <c r="DW4" s="16">
        <v>63</v>
      </c>
      <c r="DX4" s="16">
        <f>DW4/DQ4*100</f>
        <v>10.677966101694915</v>
      </c>
      <c r="DY4" s="19">
        <f>DY3/DY2*100</f>
        <v>80</v>
      </c>
    </row>
    <row r="5" spans="1:129">
      <c r="A5" s="17">
        <v>43192</v>
      </c>
      <c r="B5" s="16">
        <v>927</v>
      </c>
      <c r="C5" s="16">
        <v>963</v>
      </c>
      <c r="D5" s="16">
        <v>902</v>
      </c>
      <c r="E5" s="16">
        <v>941</v>
      </c>
      <c r="F5" s="16">
        <v>941</v>
      </c>
      <c r="G5" s="16">
        <v>627500</v>
      </c>
      <c r="H5" s="16">
        <f t="shared" si="0"/>
        <v>14</v>
      </c>
      <c r="J5" s="18">
        <v>44200</v>
      </c>
      <c r="K5" s="16">
        <v>661</v>
      </c>
      <c r="L5" s="16">
        <v>669</v>
      </c>
      <c r="M5" s="16">
        <v>613</v>
      </c>
      <c r="N5" s="16">
        <v>614</v>
      </c>
      <c r="O5" s="16">
        <v>614</v>
      </c>
      <c r="P5" s="16">
        <v>1018000</v>
      </c>
      <c r="Q5" s="16">
        <v>-47</v>
      </c>
      <c r="R5" s="16">
        <f>Q5/K5*100</f>
        <v>-7.1104387291981848</v>
      </c>
      <c r="S5" s="16">
        <f>AVERAGE(R2:R6)</f>
        <v>-11.943372894351159</v>
      </c>
      <c r="T5" s="18">
        <v>44228</v>
      </c>
      <c r="U5" s="16">
        <v>612</v>
      </c>
      <c r="V5" s="16">
        <v>620</v>
      </c>
      <c r="W5" s="16">
        <v>578</v>
      </c>
      <c r="X5" s="16">
        <v>579</v>
      </c>
      <c r="Y5" s="16">
        <v>579</v>
      </c>
      <c r="Z5" s="16">
        <v>314800</v>
      </c>
      <c r="AA5" s="16">
        <v>-33</v>
      </c>
      <c r="AB5" s="16">
        <f>AA5/U5*100</f>
        <v>-5.3921568627450984</v>
      </c>
      <c r="AC5" s="16">
        <f>AVERAGE(AB2:AB6)</f>
        <v>-8.1976949870203022</v>
      </c>
      <c r="AD5" s="18">
        <v>44256</v>
      </c>
      <c r="AE5" s="16">
        <v>579</v>
      </c>
      <c r="AF5" s="16">
        <v>654</v>
      </c>
      <c r="AG5" s="16">
        <v>578</v>
      </c>
      <c r="AH5" s="16">
        <v>629</v>
      </c>
      <c r="AI5" s="16">
        <v>629</v>
      </c>
      <c r="AJ5" s="16">
        <v>608300</v>
      </c>
      <c r="AK5" s="16">
        <v>50</v>
      </c>
      <c r="AL5" s="16">
        <f>AK5/AE5*100</f>
        <v>8.6355785837651116</v>
      </c>
      <c r="AM5" s="16">
        <f>AVERAGE(AL2:AL6)</f>
        <v>-2.2519869985257661</v>
      </c>
      <c r="AN5" s="18">
        <v>44287</v>
      </c>
      <c r="AO5" s="16">
        <v>629</v>
      </c>
      <c r="AP5" s="16">
        <v>648</v>
      </c>
      <c r="AQ5" s="16">
        <v>607</v>
      </c>
      <c r="AR5" s="16">
        <v>608</v>
      </c>
      <c r="AS5" s="16">
        <v>608</v>
      </c>
      <c r="AT5" s="16">
        <v>158000</v>
      </c>
      <c r="AU5" s="16">
        <v>-21</v>
      </c>
      <c r="AV5" s="16">
        <f>AU5/AO5*100</f>
        <v>-3.3386327503974562</v>
      </c>
      <c r="AW5" s="16">
        <f>AVERAGE(AV2:AV6)</f>
        <v>0.7269291426145118</v>
      </c>
      <c r="AX5" s="18">
        <v>44322</v>
      </c>
      <c r="AY5" s="16">
        <v>620</v>
      </c>
      <c r="AZ5" s="16">
        <v>656</v>
      </c>
      <c r="BA5" s="16">
        <v>595</v>
      </c>
      <c r="BB5" s="16">
        <v>651</v>
      </c>
      <c r="BC5" s="16">
        <v>651</v>
      </c>
      <c r="BD5" s="16">
        <v>190000</v>
      </c>
      <c r="BE5" s="16">
        <v>31</v>
      </c>
      <c r="BF5" s="16">
        <f>BE5/AY5*100</f>
        <v>5</v>
      </c>
      <c r="BG5" s="16">
        <f>AVERAGE(BF2:BF6)</f>
        <v>6.2090532244100949</v>
      </c>
      <c r="BH5" s="18">
        <v>44348</v>
      </c>
      <c r="BI5" s="16">
        <v>655</v>
      </c>
      <c r="BJ5" s="16">
        <v>683</v>
      </c>
      <c r="BK5" s="16">
        <v>621</v>
      </c>
      <c r="BL5" s="16">
        <v>634</v>
      </c>
      <c r="BM5" s="16">
        <v>634</v>
      </c>
      <c r="BN5" s="16">
        <v>499500</v>
      </c>
      <c r="BO5" s="16">
        <v>-21</v>
      </c>
      <c r="BP5" s="16">
        <f>BO5/BI5*100</f>
        <v>-3.2061068702290076</v>
      </c>
      <c r="BQ5" s="16">
        <f>AVERAGE(BP2:BP6)</f>
        <v>-3.30743138146009</v>
      </c>
      <c r="BR5" s="18">
        <v>44378</v>
      </c>
      <c r="BS5" s="16">
        <v>634</v>
      </c>
      <c r="BT5" s="16">
        <v>663</v>
      </c>
      <c r="BU5" s="16">
        <v>622</v>
      </c>
      <c r="BV5" s="16">
        <v>624</v>
      </c>
      <c r="BW5" s="16">
        <v>624</v>
      </c>
      <c r="BX5" s="16">
        <v>220000</v>
      </c>
      <c r="BY5" s="16">
        <v>-10</v>
      </c>
      <c r="BZ5" s="16">
        <f>BY5/BS5*100</f>
        <v>-1.5772870662460567</v>
      </c>
      <c r="CA5" s="16">
        <f>AVERAGE(BZ2:BZ6)</f>
        <v>-3.7055870399360322</v>
      </c>
      <c r="CB5" s="18">
        <v>44410</v>
      </c>
      <c r="CC5" s="16">
        <v>624</v>
      </c>
      <c r="CD5" s="16">
        <v>657</v>
      </c>
      <c r="CE5" s="16">
        <v>624</v>
      </c>
      <c r="CF5" s="16">
        <v>648</v>
      </c>
      <c r="CG5" s="16">
        <v>648</v>
      </c>
      <c r="CH5" s="16">
        <v>146100</v>
      </c>
      <c r="CI5" s="16">
        <v>24</v>
      </c>
      <c r="CJ5" s="16">
        <f>CI5/CC5*100</f>
        <v>3.8461538461538463</v>
      </c>
      <c r="CK5" s="16">
        <f>AVERAGE(CJ2:CJ6)</f>
        <v>-0.62642767214207895</v>
      </c>
      <c r="CL5" s="18">
        <v>44440</v>
      </c>
      <c r="CM5" s="16">
        <v>648</v>
      </c>
      <c r="CN5" s="16">
        <v>682</v>
      </c>
      <c r="CO5" s="16">
        <v>643</v>
      </c>
      <c r="CP5" s="16">
        <v>664</v>
      </c>
      <c r="CQ5" s="16">
        <v>664</v>
      </c>
      <c r="CR5" s="16">
        <v>466600</v>
      </c>
      <c r="CS5" s="16">
        <v>16</v>
      </c>
      <c r="CT5" s="16">
        <f>CS5/CM5*100</f>
        <v>2.4691358024691357</v>
      </c>
      <c r="CU5" s="16">
        <f>AVERAGE(CT2:CT6)</f>
        <v>5.9093646442589201</v>
      </c>
      <c r="CV5" s="18">
        <v>44470</v>
      </c>
      <c r="CW5" s="16">
        <v>666</v>
      </c>
      <c r="CX5" s="16">
        <v>673</v>
      </c>
      <c r="CY5" s="16">
        <v>659</v>
      </c>
      <c r="CZ5" s="16">
        <v>668</v>
      </c>
      <c r="DA5" s="16">
        <v>668</v>
      </c>
      <c r="DB5" s="16">
        <v>137200</v>
      </c>
      <c r="DC5" s="16">
        <v>2</v>
      </c>
      <c r="DD5" s="16">
        <f>DC5/CW5*100</f>
        <v>0.3003003003003003</v>
      </c>
      <c r="DE5" s="16">
        <f>AVERAGE(DD2:DD6)</f>
        <v>-0.92453691577653441</v>
      </c>
      <c r="DF5" s="18">
        <v>44501</v>
      </c>
      <c r="DG5" s="16">
        <v>676</v>
      </c>
      <c r="DH5" s="16">
        <v>706</v>
      </c>
      <c r="DI5" s="16">
        <v>660</v>
      </c>
      <c r="DJ5" s="16">
        <v>693</v>
      </c>
      <c r="DK5" s="16">
        <v>693</v>
      </c>
      <c r="DL5" s="16">
        <v>272600</v>
      </c>
      <c r="DM5" s="16">
        <v>17</v>
      </c>
      <c r="DN5" s="16">
        <f>DM5/DG5*100</f>
        <v>2.5147928994082842</v>
      </c>
      <c r="DO5" s="16">
        <f>AVERAGE(DN2:DN6)</f>
        <v>7.4338297005770553</v>
      </c>
      <c r="DP5" s="18">
        <v>44531</v>
      </c>
      <c r="DQ5" s="16">
        <v>691</v>
      </c>
      <c r="DR5" s="16">
        <v>745</v>
      </c>
      <c r="DS5" s="16">
        <v>673</v>
      </c>
      <c r="DT5" s="16">
        <v>745</v>
      </c>
      <c r="DU5" s="16">
        <v>745</v>
      </c>
      <c r="DV5" s="16">
        <v>882000</v>
      </c>
      <c r="DW5" s="16">
        <v>54</v>
      </c>
      <c r="DX5" s="16">
        <f>DW5/DQ5*100</f>
        <v>7.8147612156295221</v>
      </c>
      <c r="DY5" s="16">
        <f>AVERAGE(DX2:DX6)</f>
        <v>4.9182151840981154</v>
      </c>
    </row>
    <row r="6" spans="1:129">
      <c r="A6" s="17">
        <v>43221</v>
      </c>
      <c r="B6" s="16">
        <v>943</v>
      </c>
      <c r="C6" s="16">
        <v>992</v>
      </c>
      <c r="D6" s="16">
        <v>900</v>
      </c>
      <c r="E6" s="16">
        <v>903</v>
      </c>
      <c r="F6" s="16">
        <v>903</v>
      </c>
      <c r="G6" s="16">
        <v>504500</v>
      </c>
      <c r="H6" s="16">
        <f t="shared" si="0"/>
        <v>-40</v>
      </c>
      <c r="J6" s="18">
        <v>44565</v>
      </c>
      <c r="K6" s="16">
        <v>745</v>
      </c>
      <c r="L6" s="16">
        <v>750</v>
      </c>
      <c r="M6" s="16">
        <v>624</v>
      </c>
      <c r="N6" s="16">
        <v>626</v>
      </c>
      <c r="O6" s="16">
        <v>626</v>
      </c>
      <c r="P6" s="16">
        <v>1279100</v>
      </c>
      <c r="Q6" s="16">
        <v>-119</v>
      </c>
      <c r="R6" s="16">
        <f>Q6/K6*100</f>
        <v>-15.973154362416109</v>
      </c>
      <c r="S6" s="16">
        <f>MEDIAN(R2:R6)</f>
        <v>-8.66318147871546</v>
      </c>
      <c r="T6" s="18">
        <v>44593</v>
      </c>
      <c r="U6" s="16">
        <v>626</v>
      </c>
      <c r="V6" s="16">
        <v>626</v>
      </c>
      <c r="W6" s="16">
        <v>573</v>
      </c>
      <c r="X6" s="16">
        <v>596</v>
      </c>
      <c r="Y6" s="16">
        <v>596</v>
      </c>
      <c r="Z6" s="16">
        <v>603300</v>
      </c>
      <c r="AA6" s="16">
        <v>-30</v>
      </c>
      <c r="AB6" s="16">
        <f>AA6/U6*100</f>
        <v>-4.7923322683706067</v>
      </c>
      <c r="AC6" s="16">
        <f>MEDIAN(AB2:AB6)</f>
        <v>-5.3921568627450984</v>
      </c>
      <c r="AD6" s="18">
        <v>44621</v>
      </c>
      <c r="AE6" s="16">
        <v>599</v>
      </c>
      <c r="AF6" s="16">
        <v>645</v>
      </c>
      <c r="AG6" s="16">
        <v>561</v>
      </c>
      <c r="AH6" s="16">
        <v>636</v>
      </c>
      <c r="AI6" s="16">
        <v>636</v>
      </c>
      <c r="AJ6" s="16">
        <v>635800</v>
      </c>
      <c r="AK6" s="16">
        <v>37</v>
      </c>
      <c r="AL6" s="16">
        <f>AK6/AE6*100</f>
        <v>6.1769616026711187</v>
      </c>
      <c r="AM6" s="16">
        <f>MEDIAN(AL2:AL6)</f>
        <v>-1.9148936170212765</v>
      </c>
      <c r="AN6" s="18">
        <v>44652</v>
      </c>
      <c r="AO6" s="16">
        <v>631</v>
      </c>
      <c r="AP6" s="16">
        <v>644</v>
      </c>
      <c r="AQ6" s="16">
        <v>602</v>
      </c>
      <c r="AR6" s="16">
        <v>628</v>
      </c>
      <c r="AS6" s="16">
        <v>628</v>
      </c>
      <c r="AT6" s="16">
        <v>243100</v>
      </c>
      <c r="AU6" s="16">
        <v>-3</v>
      </c>
      <c r="AV6" s="16">
        <f>AU6/AO6*100</f>
        <v>-0.47543581616481778</v>
      </c>
      <c r="AW6" s="16">
        <f>MEDIAN(AV2:AV6)</f>
        <v>1.5102481121898599</v>
      </c>
      <c r="AX6" s="18">
        <v>44683</v>
      </c>
      <c r="AY6" s="16">
        <v>633</v>
      </c>
      <c r="AZ6" s="16">
        <v>648</v>
      </c>
      <c r="BA6" s="16">
        <v>616</v>
      </c>
      <c r="BB6" s="16">
        <v>645</v>
      </c>
      <c r="BC6" s="16">
        <v>645</v>
      </c>
      <c r="BD6" s="16">
        <v>201000</v>
      </c>
      <c r="BE6" s="16">
        <v>12</v>
      </c>
      <c r="BF6" s="16">
        <f>BE6/AY6*100</f>
        <v>1.8957345971563981</v>
      </c>
      <c r="BG6" s="16">
        <f>MEDIAN(BF2:BF6)</f>
        <v>1.8957345971563981</v>
      </c>
      <c r="BH6" s="18">
        <v>44713</v>
      </c>
      <c r="BI6" s="16">
        <v>649</v>
      </c>
      <c r="BJ6" s="16">
        <v>674</v>
      </c>
      <c r="BK6" s="16">
        <v>615</v>
      </c>
      <c r="BL6" s="16">
        <v>669</v>
      </c>
      <c r="BM6" s="16">
        <v>669</v>
      </c>
      <c r="BN6" s="16">
        <v>398100</v>
      </c>
      <c r="BO6" s="16">
        <v>20</v>
      </c>
      <c r="BP6" s="16">
        <f>BO6/BI6*100</f>
        <v>3.0816640986132513</v>
      </c>
      <c r="BQ6" s="16">
        <f>MEDIAN(BP2:BP6)</f>
        <v>-3.2061068702290076</v>
      </c>
      <c r="BR6" s="18">
        <v>44743</v>
      </c>
      <c r="BS6" s="16">
        <v>674</v>
      </c>
      <c r="BT6" s="16">
        <v>674</v>
      </c>
      <c r="BU6" s="16">
        <v>620</v>
      </c>
      <c r="BV6" s="16">
        <v>637</v>
      </c>
      <c r="BW6" s="16">
        <v>637</v>
      </c>
      <c r="BX6" s="16">
        <v>232000</v>
      </c>
      <c r="BY6" s="16">
        <v>-37</v>
      </c>
      <c r="BZ6" s="16">
        <f>BY6/BS6*100</f>
        <v>-5.4896142433234418</v>
      </c>
      <c r="CA6" s="16">
        <f>MEDIAN(BZ2:BZ6)</f>
        <v>-5.4896142433234418</v>
      </c>
      <c r="CB6" s="18">
        <v>44774</v>
      </c>
      <c r="CC6" s="16">
        <v>640</v>
      </c>
      <c r="CD6" s="16">
        <v>644</v>
      </c>
      <c r="CE6" s="16">
        <v>625</v>
      </c>
      <c r="CF6" s="16">
        <v>639</v>
      </c>
      <c r="CG6" s="16">
        <v>639</v>
      </c>
      <c r="CH6" s="16">
        <v>158500</v>
      </c>
      <c r="CI6" s="16">
        <v>-1</v>
      </c>
      <c r="CJ6" s="16">
        <f>CI6/CC6*100</f>
        <v>-0.15625</v>
      </c>
      <c r="CK6" s="16">
        <f>MEDIAN(CJ2:CJ6)</f>
        <v>-0.15625</v>
      </c>
      <c r="CL6" s="18">
        <v>44805</v>
      </c>
      <c r="CM6" s="16">
        <v>637</v>
      </c>
      <c r="CN6" s="16">
        <v>642</v>
      </c>
      <c r="CO6" s="16">
        <v>609</v>
      </c>
      <c r="CP6" s="16">
        <v>622</v>
      </c>
      <c r="CQ6" s="16">
        <v>622</v>
      </c>
      <c r="CR6" s="16">
        <v>235700</v>
      </c>
      <c r="CS6" s="16">
        <v>-15</v>
      </c>
      <c r="CT6" s="16">
        <f>CS6/CM6*100</f>
        <v>-2.3547880690737837</v>
      </c>
      <c r="CU6" s="16">
        <f>MEDIAN(CT2:CT6)</f>
        <v>2.4691358024691357</v>
      </c>
      <c r="CV6" s="18">
        <v>44837</v>
      </c>
      <c r="CW6" s="16">
        <v>622</v>
      </c>
      <c r="CX6" s="16">
        <v>667</v>
      </c>
      <c r="CY6" s="16">
        <v>611</v>
      </c>
      <c r="CZ6" s="16">
        <v>649</v>
      </c>
      <c r="DA6" s="16">
        <v>649</v>
      </c>
      <c r="DB6" s="16">
        <v>324700</v>
      </c>
      <c r="DC6" s="16">
        <v>27</v>
      </c>
      <c r="DD6" s="16">
        <f>DC6/CW6*100</f>
        <v>4.3408360128617369</v>
      </c>
      <c r="DE6" s="16">
        <f>MEDIAN(DD2:DD6)</f>
        <v>0.3003003003003003</v>
      </c>
      <c r="DF6" s="18">
        <v>44866</v>
      </c>
      <c r="DG6" s="16">
        <v>663</v>
      </c>
      <c r="DH6" s="16">
        <v>722</v>
      </c>
      <c r="DI6" s="16">
        <v>652</v>
      </c>
      <c r="DJ6" s="16">
        <v>717</v>
      </c>
      <c r="DK6" s="16">
        <v>717</v>
      </c>
      <c r="DL6" s="16">
        <v>309100</v>
      </c>
      <c r="DM6" s="16">
        <v>54</v>
      </c>
      <c r="DN6" s="16">
        <f>DM6/DG6*100</f>
        <v>8.1447963800904972</v>
      </c>
      <c r="DO6" s="16">
        <f>MEDIAN(DN2:DN6)</f>
        <v>8.1447963800904972</v>
      </c>
      <c r="DP6" s="18">
        <v>44896</v>
      </c>
      <c r="DQ6" s="16">
        <v>722</v>
      </c>
      <c r="DR6" s="16">
        <v>811</v>
      </c>
      <c r="DS6" s="16">
        <v>697</v>
      </c>
      <c r="DT6" s="16">
        <v>806</v>
      </c>
      <c r="DU6" s="16">
        <v>806</v>
      </c>
      <c r="DV6" s="16">
        <v>1119900</v>
      </c>
      <c r="DW6" s="16">
        <v>84</v>
      </c>
      <c r="DX6" s="16">
        <f>DW6/DQ6*100</f>
        <v>11.634349030470915</v>
      </c>
      <c r="DY6" s="16">
        <f>MEDIAN(DX2:DX6)</f>
        <v>10.442260442260443</v>
      </c>
    </row>
    <row r="7" spans="1:129">
      <c r="A7" s="17">
        <v>43252</v>
      </c>
      <c r="B7" s="16">
        <v>915</v>
      </c>
      <c r="C7" s="16">
        <v>948</v>
      </c>
      <c r="D7" s="16">
        <v>809</v>
      </c>
      <c r="E7" s="16">
        <v>820</v>
      </c>
      <c r="F7" s="16">
        <v>820</v>
      </c>
      <c r="G7" s="16">
        <v>640100</v>
      </c>
      <c r="H7" s="16">
        <f t="shared" si="0"/>
        <v>-95</v>
      </c>
    </row>
    <row r="8" spans="1:129">
      <c r="A8" s="17">
        <v>43283</v>
      </c>
      <c r="B8" s="16">
        <v>822</v>
      </c>
      <c r="C8" s="16">
        <v>918</v>
      </c>
      <c r="D8" s="16">
        <v>786</v>
      </c>
      <c r="E8" s="16">
        <v>902</v>
      </c>
      <c r="F8" s="16">
        <v>902</v>
      </c>
      <c r="G8" s="16">
        <v>575100</v>
      </c>
      <c r="H8" s="16">
        <f t="shared" si="0"/>
        <v>80</v>
      </c>
    </row>
    <row r="9" spans="1:129">
      <c r="A9" s="17">
        <v>43313</v>
      </c>
      <c r="B9" s="16">
        <v>902</v>
      </c>
      <c r="C9" s="16">
        <v>914</v>
      </c>
      <c r="D9" s="16">
        <v>816</v>
      </c>
      <c r="E9" s="16">
        <v>875</v>
      </c>
      <c r="F9" s="16">
        <v>875</v>
      </c>
      <c r="G9" s="16">
        <v>335400</v>
      </c>
      <c r="H9" s="16">
        <f t="shared" si="0"/>
        <v>-27</v>
      </c>
    </row>
    <row r="10" spans="1:129">
      <c r="A10" s="17">
        <v>43346</v>
      </c>
      <c r="B10" s="16">
        <v>874</v>
      </c>
      <c r="C10" s="16">
        <v>903</v>
      </c>
      <c r="D10" s="16">
        <v>813</v>
      </c>
      <c r="E10" s="16">
        <v>891</v>
      </c>
      <c r="F10" s="16">
        <v>891</v>
      </c>
      <c r="G10" s="16">
        <v>361600</v>
      </c>
      <c r="H10" s="16">
        <f t="shared" si="0"/>
        <v>17</v>
      </c>
    </row>
    <row r="11" spans="1:129">
      <c r="A11" s="17">
        <v>43374</v>
      </c>
      <c r="B11" s="16">
        <v>895</v>
      </c>
      <c r="C11" s="16">
        <v>897</v>
      </c>
      <c r="D11" s="16">
        <v>770</v>
      </c>
      <c r="E11" s="16">
        <v>827</v>
      </c>
      <c r="F11" s="16">
        <v>827</v>
      </c>
      <c r="G11" s="16">
        <v>567700</v>
      </c>
      <c r="H11" s="16">
        <f t="shared" si="0"/>
        <v>-68</v>
      </c>
    </row>
    <row r="12" spans="1:129">
      <c r="A12" s="17">
        <v>43405</v>
      </c>
      <c r="B12" s="16">
        <v>826</v>
      </c>
      <c r="C12" s="16">
        <v>935</v>
      </c>
      <c r="D12" s="16">
        <v>825</v>
      </c>
      <c r="E12" s="16">
        <v>918</v>
      </c>
      <c r="F12" s="16">
        <v>918</v>
      </c>
      <c r="G12" s="16">
        <v>366700</v>
      </c>
      <c r="H12" s="16">
        <f t="shared" si="0"/>
        <v>92</v>
      </c>
    </row>
    <row r="13" spans="1:129">
      <c r="A13" s="17">
        <v>43437</v>
      </c>
      <c r="B13" s="16">
        <v>920</v>
      </c>
      <c r="C13" s="16">
        <v>926</v>
      </c>
      <c r="D13" s="16">
        <v>640</v>
      </c>
      <c r="E13" s="16">
        <v>773</v>
      </c>
      <c r="F13" s="16">
        <v>773</v>
      </c>
      <c r="G13" s="16">
        <v>743700</v>
      </c>
      <c r="H13" s="16">
        <f t="shared" si="0"/>
        <v>-147</v>
      </c>
    </row>
    <row r="14" spans="1:129">
      <c r="A14" s="17">
        <v>43469</v>
      </c>
      <c r="B14" s="16">
        <v>767</v>
      </c>
      <c r="C14" s="16">
        <v>916</v>
      </c>
      <c r="D14" s="16">
        <v>753</v>
      </c>
      <c r="E14" s="16">
        <v>776</v>
      </c>
      <c r="F14" s="16">
        <v>776</v>
      </c>
      <c r="G14" s="16">
        <v>1180200</v>
      </c>
      <c r="H14" s="16">
        <f t="shared" si="0"/>
        <v>9</v>
      </c>
    </row>
    <row r="15" spans="1:129">
      <c r="A15" s="17">
        <v>43497</v>
      </c>
      <c r="B15" s="16">
        <v>765</v>
      </c>
      <c r="C15" s="16">
        <v>785</v>
      </c>
      <c r="D15" s="16">
        <v>710</v>
      </c>
      <c r="E15" s="16">
        <v>767</v>
      </c>
      <c r="F15" s="16">
        <v>767</v>
      </c>
      <c r="G15" s="16">
        <v>413700</v>
      </c>
      <c r="H15" s="16">
        <f t="shared" si="0"/>
        <v>2</v>
      </c>
    </row>
    <row r="16" spans="1:129">
      <c r="A16" s="17">
        <v>43525</v>
      </c>
      <c r="B16" s="16">
        <v>767</v>
      </c>
      <c r="C16" s="16">
        <v>781</v>
      </c>
      <c r="D16" s="16">
        <v>701</v>
      </c>
      <c r="E16" s="16">
        <v>714</v>
      </c>
      <c r="F16" s="16">
        <v>714</v>
      </c>
      <c r="G16" s="16">
        <v>440500</v>
      </c>
      <c r="H16" s="16">
        <f t="shared" si="0"/>
        <v>-53</v>
      </c>
    </row>
    <row r="17" spans="1:8">
      <c r="A17" s="17">
        <v>43556</v>
      </c>
      <c r="B17" s="16">
        <v>719</v>
      </c>
      <c r="C17" s="16">
        <v>769</v>
      </c>
      <c r="D17" s="16">
        <v>719</v>
      </c>
      <c r="E17" s="16">
        <v>749</v>
      </c>
      <c r="F17" s="16">
        <v>749</v>
      </c>
      <c r="G17" s="16">
        <v>213100</v>
      </c>
      <c r="H17" s="16">
        <f t="shared" si="0"/>
        <v>30</v>
      </c>
    </row>
    <row r="18" spans="1:8">
      <c r="A18" s="17">
        <v>43592</v>
      </c>
      <c r="B18" s="16">
        <v>759</v>
      </c>
      <c r="C18" s="16">
        <v>759</v>
      </c>
      <c r="D18" s="16">
        <v>713</v>
      </c>
      <c r="E18" s="16">
        <v>755</v>
      </c>
      <c r="F18" s="16">
        <v>755</v>
      </c>
      <c r="G18" s="16">
        <v>164100</v>
      </c>
      <c r="H18" s="16">
        <f t="shared" si="0"/>
        <v>-4</v>
      </c>
    </row>
    <row r="19" spans="1:8">
      <c r="A19" s="17">
        <v>43619</v>
      </c>
      <c r="B19" s="16">
        <v>755</v>
      </c>
      <c r="C19" s="16">
        <v>814</v>
      </c>
      <c r="D19" s="16">
        <v>737</v>
      </c>
      <c r="E19" s="16">
        <v>771</v>
      </c>
      <c r="F19" s="16">
        <v>771</v>
      </c>
      <c r="G19" s="16">
        <v>285100</v>
      </c>
      <c r="H19" s="16">
        <f t="shared" si="0"/>
        <v>16</v>
      </c>
    </row>
    <row r="20" spans="1:8">
      <c r="A20" s="17">
        <v>43647</v>
      </c>
      <c r="B20" s="16">
        <v>779</v>
      </c>
      <c r="C20" s="16">
        <v>783</v>
      </c>
      <c r="D20" s="16">
        <v>720</v>
      </c>
      <c r="E20" s="16">
        <v>726</v>
      </c>
      <c r="F20" s="16">
        <v>726</v>
      </c>
      <c r="G20" s="16">
        <v>173600</v>
      </c>
      <c r="H20" s="16">
        <f t="shared" si="0"/>
        <v>-53</v>
      </c>
    </row>
    <row r="21" spans="1:8">
      <c r="A21" s="17">
        <v>43678</v>
      </c>
      <c r="B21" s="16">
        <v>724</v>
      </c>
      <c r="C21" s="16">
        <v>728</v>
      </c>
      <c r="D21" s="16">
        <v>651</v>
      </c>
      <c r="E21" s="16">
        <v>664</v>
      </c>
      <c r="F21" s="16">
        <v>664</v>
      </c>
      <c r="G21" s="16">
        <v>245700</v>
      </c>
      <c r="H21" s="16">
        <f t="shared" si="0"/>
        <v>-60</v>
      </c>
    </row>
    <row r="22" spans="1:8">
      <c r="A22" s="17">
        <v>43710</v>
      </c>
      <c r="B22" s="16">
        <v>661</v>
      </c>
      <c r="C22" s="16">
        <v>719</v>
      </c>
      <c r="D22" s="16">
        <v>658</v>
      </c>
      <c r="E22" s="16">
        <v>718</v>
      </c>
      <c r="F22" s="16">
        <v>718</v>
      </c>
      <c r="G22" s="16">
        <v>303600</v>
      </c>
      <c r="H22" s="16">
        <f t="shared" si="0"/>
        <v>57</v>
      </c>
    </row>
    <row r="23" spans="1:8">
      <c r="A23" s="17">
        <v>43739</v>
      </c>
      <c r="B23" s="16">
        <v>726</v>
      </c>
      <c r="C23" s="16">
        <v>791</v>
      </c>
      <c r="D23" s="16">
        <v>701</v>
      </c>
      <c r="E23" s="16">
        <v>787</v>
      </c>
      <c r="F23" s="16">
        <v>787</v>
      </c>
      <c r="G23" s="16">
        <v>251100</v>
      </c>
      <c r="H23" s="16">
        <f t="shared" si="0"/>
        <v>61</v>
      </c>
    </row>
    <row r="24" spans="1:8">
      <c r="A24" s="17">
        <v>43770</v>
      </c>
      <c r="B24" s="16">
        <v>790</v>
      </c>
      <c r="C24" s="16">
        <v>810</v>
      </c>
      <c r="D24" s="16">
        <v>772</v>
      </c>
      <c r="E24" s="16">
        <v>806</v>
      </c>
      <c r="F24" s="16">
        <v>806</v>
      </c>
      <c r="G24" s="16">
        <v>246800</v>
      </c>
      <c r="H24" s="16">
        <f t="shared" si="0"/>
        <v>16</v>
      </c>
    </row>
    <row r="25" spans="1:8">
      <c r="A25" s="17">
        <v>43801</v>
      </c>
      <c r="B25" s="16">
        <v>814</v>
      </c>
      <c r="C25" s="16">
        <v>900</v>
      </c>
      <c r="D25" s="16">
        <v>787</v>
      </c>
      <c r="E25" s="16">
        <v>899</v>
      </c>
      <c r="F25" s="16">
        <v>899</v>
      </c>
      <c r="G25" s="16">
        <v>1034100</v>
      </c>
      <c r="H25" s="16">
        <f t="shared" si="0"/>
        <v>85</v>
      </c>
    </row>
    <row r="26" spans="1:8">
      <c r="A26" s="17">
        <v>43836</v>
      </c>
      <c r="B26" s="16">
        <v>899</v>
      </c>
      <c r="C26" s="16">
        <v>937</v>
      </c>
      <c r="D26" s="16">
        <v>637</v>
      </c>
      <c r="E26" s="16">
        <v>637</v>
      </c>
      <c r="F26" s="16">
        <v>637</v>
      </c>
      <c r="G26" s="16">
        <v>2531100</v>
      </c>
      <c r="H26" s="16">
        <f t="shared" si="0"/>
        <v>-262</v>
      </c>
    </row>
    <row r="27" spans="1:8">
      <c r="A27" s="17">
        <v>43864</v>
      </c>
      <c r="B27" s="16">
        <v>612</v>
      </c>
      <c r="C27" s="16">
        <v>637</v>
      </c>
      <c r="D27" s="16">
        <v>470</v>
      </c>
      <c r="E27" s="16">
        <v>471</v>
      </c>
      <c r="F27" s="16">
        <v>471</v>
      </c>
      <c r="G27" s="16">
        <v>722800</v>
      </c>
      <c r="H27" s="16">
        <f t="shared" si="0"/>
        <v>-141</v>
      </c>
    </row>
    <row r="28" spans="1:8">
      <c r="A28" s="17">
        <v>43892</v>
      </c>
      <c r="B28" s="16">
        <v>470</v>
      </c>
      <c r="C28" s="16">
        <v>524</v>
      </c>
      <c r="D28" s="16">
        <v>291</v>
      </c>
      <c r="E28" s="16">
        <v>461</v>
      </c>
      <c r="F28" s="16">
        <v>461</v>
      </c>
      <c r="G28" s="16">
        <v>1005500</v>
      </c>
      <c r="H28" s="16">
        <f t="shared" si="0"/>
        <v>-9</v>
      </c>
    </row>
    <row r="29" spans="1:8">
      <c r="A29" s="17">
        <v>43922</v>
      </c>
      <c r="B29" s="16">
        <v>453</v>
      </c>
      <c r="C29" s="16">
        <v>466</v>
      </c>
      <c r="D29" s="16">
        <v>392</v>
      </c>
      <c r="E29" s="16">
        <v>461</v>
      </c>
      <c r="F29" s="16">
        <v>461</v>
      </c>
      <c r="G29" s="16">
        <v>302700</v>
      </c>
      <c r="H29" s="16">
        <f t="shared" si="0"/>
        <v>8</v>
      </c>
    </row>
    <row r="30" spans="1:8">
      <c r="A30" s="17">
        <v>43952</v>
      </c>
      <c r="B30" s="16">
        <v>453</v>
      </c>
      <c r="C30" s="16">
        <v>587</v>
      </c>
      <c r="D30" s="16">
        <v>451</v>
      </c>
      <c r="E30" s="16">
        <v>584</v>
      </c>
      <c r="F30" s="16">
        <v>584</v>
      </c>
      <c r="G30" s="16">
        <v>243000</v>
      </c>
      <c r="H30" s="16">
        <f t="shared" si="0"/>
        <v>131</v>
      </c>
    </row>
    <row r="31" spans="1:8">
      <c r="A31" s="17">
        <v>43983</v>
      </c>
      <c r="B31" s="16">
        <v>589</v>
      </c>
      <c r="C31" s="16">
        <v>590</v>
      </c>
      <c r="D31" s="16">
        <v>495</v>
      </c>
      <c r="E31" s="16">
        <v>541</v>
      </c>
      <c r="F31" s="16">
        <v>541</v>
      </c>
      <c r="G31" s="16">
        <v>173000</v>
      </c>
      <c r="H31" s="16">
        <f t="shared" si="0"/>
        <v>-48</v>
      </c>
    </row>
    <row r="32" spans="1:8">
      <c r="A32" s="17">
        <v>44013</v>
      </c>
      <c r="B32" s="16">
        <v>549</v>
      </c>
      <c r="C32" s="16">
        <v>549</v>
      </c>
      <c r="D32" s="16">
        <v>470</v>
      </c>
      <c r="E32" s="16">
        <v>470</v>
      </c>
      <c r="F32" s="16">
        <v>470</v>
      </c>
      <c r="G32" s="16">
        <v>108300</v>
      </c>
      <c r="H32" s="16">
        <f t="shared" si="0"/>
        <v>-79</v>
      </c>
    </row>
    <row r="33" spans="1:8">
      <c r="A33" s="17">
        <v>44046</v>
      </c>
      <c r="B33" s="16">
        <v>471</v>
      </c>
      <c r="C33" s="16">
        <v>500</v>
      </c>
      <c r="D33" s="16">
        <v>463</v>
      </c>
      <c r="E33" s="16">
        <v>492</v>
      </c>
      <c r="F33" s="16">
        <v>492</v>
      </c>
      <c r="G33" s="16">
        <v>102100</v>
      </c>
      <c r="H33" s="16">
        <f t="shared" si="0"/>
        <v>21</v>
      </c>
    </row>
    <row r="34" spans="1:8">
      <c r="A34" s="17">
        <v>44075</v>
      </c>
      <c r="B34" s="16">
        <v>493</v>
      </c>
      <c r="C34" s="16">
        <v>600</v>
      </c>
      <c r="D34" s="16">
        <v>480</v>
      </c>
      <c r="E34" s="16">
        <v>586</v>
      </c>
      <c r="F34" s="16">
        <v>586</v>
      </c>
      <c r="G34" s="16">
        <v>653300</v>
      </c>
      <c r="H34" s="16">
        <f t="shared" ref="H34:H61" si="1">E34-B34</f>
        <v>93</v>
      </c>
    </row>
    <row r="35" spans="1:8">
      <c r="A35" s="17">
        <v>44106</v>
      </c>
      <c r="B35" s="16">
        <v>586</v>
      </c>
      <c r="C35" s="16">
        <v>590</v>
      </c>
      <c r="D35" s="16">
        <v>527</v>
      </c>
      <c r="E35" s="16">
        <v>527</v>
      </c>
      <c r="F35" s="16">
        <v>527</v>
      </c>
      <c r="G35" s="16">
        <v>143300</v>
      </c>
      <c r="H35" s="16">
        <f t="shared" si="1"/>
        <v>-59</v>
      </c>
    </row>
    <row r="36" spans="1:8">
      <c r="A36" s="17">
        <v>44137</v>
      </c>
      <c r="B36" s="16">
        <v>517</v>
      </c>
      <c r="C36" s="16">
        <v>589</v>
      </c>
      <c r="D36" s="16">
        <v>517</v>
      </c>
      <c r="E36" s="16">
        <v>586</v>
      </c>
      <c r="F36" s="16">
        <v>586</v>
      </c>
      <c r="G36" s="16">
        <v>174200</v>
      </c>
      <c r="H36" s="16">
        <f t="shared" si="1"/>
        <v>69</v>
      </c>
    </row>
    <row r="37" spans="1:8">
      <c r="A37" s="17">
        <v>44166</v>
      </c>
      <c r="B37" s="16">
        <v>590</v>
      </c>
      <c r="C37" s="16">
        <v>690</v>
      </c>
      <c r="D37" s="16">
        <v>587</v>
      </c>
      <c r="E37" s="16">
        <v>653</v>
      </c>
      <c r="F37" s="16">
        <v>653</v>
      </c>
      <c r="G37" s="16">
        <v>783900</v>
      </c>
      <c r="H37" s="16">
        <f t="shared" si="1"/>
        <v>63</v>
      </c>
    </row>
    <row r="38" spans="1:8">
      <c r="A38" s="17">
        <v>44200</v>
      </c>
      <c r="B38" s="16">
        <v>661</v>
      </c>
      <c r="C38" s="16">
        <v>669</v>
      </c>
      <c r="D38" s="16">
        <v>613</v>
      </c>
      <c r="E38" s="16">
        <v>614</v>
      </c>
      <c r="F38" s="16">
        <v>614</v>
      </c>
      <c r="G38" s="16">
        <v>1018000</v>
      </c>
      <c r="H38" s="16">
        <f t="shared" si="1"/>
        <v>-47</v>
      </c>
    </row>
    <row r="39" spans="1:8">
      <c r="A39" s="17">
        <v>44228</v>
      </c>
      <c r="B39" s="16">
        <v>612</v>
      </c>
      <c r="C39" s="16">
        <v>620</v>
      </c>
      <c r="D39" s="16">
        <v>578</v>
      </c>
      <c r="E39" s="16">
        <v>579</v>
      </c>
      <c r="F39" s="16">
        <v>579</v>
      </c>
      <c r="G39" s="16">
        <v>314800</v>
      </c>
      <c r="H39" s="16">
        <f t="shared" si="1"/>
        <v>-33</v>
      </c>
    </row>
    <row r="40" spans="1:8">
      <c r="A40" s="17">
        <v>44256</v>
      </c>
      <c r="B40" s="16">
        <v>579</v>
      </c>
      <c r="C40" s="16">
        <v>654</v>
      </c>
      <c r="D40" s="16">
        <v>578</v>
      </c>
      <c r="E40" s="16">
        <v>629</v>
      </c>
      <c r="F40" s="16">
        <v>629</v>
      </c>
      <c r="G40" s="16">
        <v>608300</v>
      </c>
      <c r="H40" s="16">
        <f t="shared" si="1"/>
        <v>50</v>
      </c>
    </row>
    <row r="41" spans="1:8">
      <c r="A41" s="17">
        <v>44287</v>
      </c>
      <c r="B41" s="16">
        <v>629</v>
      </c>
      <c r="C41" s="16">
        <v>648</v>
      </c>
      <c r="D41" s="16">
        <v>607</v>
      </c>
      <c r="E41" s="16">
        <v>608</v>
      </c>
      <c r="F41" s="16">
        <v>608</v>
      </c>
      <c r="G41" s="16">
        <v>158000</v>
      </c>
      <c r="H41" s="16">
        <f t="shared" si="1"/>
        <v>-21</v>
      </c>
    </row>
    <row r="42" spans="1:8">
      <c r="A42" s="17">
        <v>44322</v>
      </c>
      <c r="B42" s="16">
        <v>620</v>
      </c>
      <c r="C42" s="16">
        <v>656</v>
      </c>
      <c r="D42" s="16">
        <v>595</v>
      </c>
      <c r="E42" s="16">
        <v>651</v>
      </c>
      <c r="F42" s="16">
        <v>651</v>
      </c>
      <c r="G42" s="16">
        <v>190000</v>
      </c>
      <c r="H42" s="16">
        <f t="shared" si="1"/>
        <v>31</v>
      </c>
    </row>
    <row r="43" spans="1:8">
      <c r="A43" s="17">
        <v>44348</v>
      </c>
      <c r="B43" s="16">
        <v>655</v>
      </c>
      <c r="C43" s="16">
        <v>683</v>
      </c>
      <c r="D43" s="16">
        <v>621</v>
      </c>
      <c r="E43" s="16">
        <v>634</v>
      </c>
      <c r="F43" s="16">
        <v>634</v>
      </c>
      <c r="G43" s="16">
        <v>499500</v>
      </c>
      <c r="H43" s="16">
        <f t="shared" si="1"/>
        <v>-21</v>
      </c>
    </row>
    <row r="44" spans="1:8">
      <c r="A44" s="17">
        <v>44378</v>
      </c>
      <c r="B44" s="16">
        <v>634</v>
      </c>
      <c r="C44" s="16">
        <v>663</v>
      </c>
      <c r="D44" s="16">
        <v>622</v>
      </c>
      <c r="E44" s="16">
        <v>624</v>
      </c>
      <c r="F44" s="16">
        <v>624</v>
      </c>
      <c r="G44" s="16">
        <v>220000</v>
      </c>
      <c r="H44" s="16">
        <f t="shared" si="1"/>
        <v>-10</v>
      </c>
    </row>
    <row r="45" spans="1:8">
      <c r="A45" s="17">
        <v>44410</v>
      </c>
      <c r="B45" s="16">
        <v>624</v>
      </c>
      <c r="C45" s="16">
        <v>657</v>
      </c>
      <c r="D45" s="16">
        <v>624</v>
      </c>
      <c r="E45" s="16">
        <v>648</v>
      </c>
      <c r="F45" s="16">
        <v>648</v>
      </c>
      <c r="G45" s="16">
        <v>146100</v>
      </c>
      <c r="H45" s="16">
        <f t="shared" si="1"/>
        <v>24</v>
      </c>
    </row>
    <row r="46" spans="1:8">
      <c r="A46" s="17">
        <v>44440</v>
      </c>
      <c r="B46" s="16">
        <v>648</v>
      </c>
      <c r="C46" s="16">
        <v>682</v>
      </c>
      <c r="D46" s="16">
        <v>643</v>
      </c>
      <c r="E46" s="16">
        <v>664</v>
      </c>
      <c r="F46" s="16">
        <v>664</v>
      </c>
      <c r="G46" s="16">
        <v>466600</v>
      </c>
      <c r="H46" s="16">
        <f t="shared" si="1"/>
        <v>16</v>
      </c>
    </row>
    <row r="47" spans="1:8">
      <c r="A47" s="17">
        <v>44470</v>
      </c>
      <c r="B47" s="16">
        <v>666</v>
      </c>
      <c r="C47" s="16">
        <v>673</v>
      </c>
      <c r="D47" s="16">
        <v>659</v>
      </c>
      <c r="E47" s="16">
        <v>668</v>
      </c>
      <c r="F47" s="16">
        <v>668</v>
      </c>
      <c r="G47" s="16">
        <v>137200</v>
      </c>
      <c r="H47" s="16">
        <f t="shared" si="1"/>
        <v>2</v>
      </c>
    </row>
    <row r="48" spans="1:8">
      <c r="A48" s="17">
        <v>44501</v>
      </c>
      <c r="B48" s="16">
        <v>676</v>
      </c>
      <c r="C48" s="16">
        <v>706</v>
      </c>
      <c r="D48" s="16">
        <v>660</v>
      </c>
      <c r="E48" s="16">
        <v>693</v>
      </c>
      <c r="F48" s="16">
        <v>693</v>
      </c>
      <c r="G48" s="16">
        <v>272600</v>
      </c>
      <c r="H48" s="16">
        <f t="shared" si="1"/>
        <v>17</v>
      </c>
    </row>
    <row r="49" spans="1:8">
      <c r="A49" s="17">
        <v>44531</v>
      </c>
      <c r="B49" s="16">
        <v>691</v>
      </c>
      <c r="C49" s="16">
        <v>745</v>
      </c>
      <c r="D49" s="16">
        <v>673</v>
      </c>
      <c r="E49" s="16">
        <v>745</v>
      </c>
      <c r="F49" s="16">
        <v>745</v>
      </c>
      <c r="G49" s="16">
        <v>882000</v>
      </c>
      <c r="H49" s="16">
        <f t="shared" si="1"/>
        <v>54</v>
      </c>
    </row>
    <row r="50" spans="1:8">
      <c r="A50" s="17">
        <v>44565</v>
      </c>
      <c r="B50" s="16">
        <v>745</v>
      </c>
      <c r="C50" s="16">
        <v>750</v>
      </c>
      <c r="D50" s="16">
        <v>624</v>
      </c>
      <c r="E50" s="16">
        <v>626</v>
      </c>
      <c r="F50" s="16">
        <v>626</v>
      </c>
      <c r="G50" s="16">
        <v>1279100</v>
      </c>
      <c r="H50" s="16">
        <f t="shared" si="1"/>
        <v>-119</v>
      </c>
    </row>
    <row r="51" spans="1:8">
      <c r="A51" s="17">
        <v>44593</v>
      </c>
      <c r="B51" s="16">
        <v>626</v>
      </c>
      <c r="C51" s="16">
        <v>626</v>
      </c>
      <c r="D51" s="16">
        <v>573</v>
      </c>
      <c r="E51" s="16">
        <v>596</v>
      </c>
      <c r="F51" s="16">
        <v>596</v>
      </c>
      <c r="G51" s="16">
        <v>603300</v>
      </c>
      <c r="H51" s="16">
        <f t="shared" si="1"/>
        <v>-30</v>
      </c>
    </row>
    <row r="52" spans="1:8">
      <c r="A52" s="17">
        <v>44621</v>
      </c>
      <c r="B52" s="16">
        <v>599</v>
      </c>
      <c r="C52" s="16">
        <v>645</v>
      </c>
      <c r="D52" s="16">
        <v>561</v>
      </c>
      <c r="E52" s="16">
        <v>636</v>
      </c>
      <c r="F52" s="16">
        <v>636</v>
      </c>
      <c r="G52" s="16">
        <v>635800</v>
      </c>
      <c r="H52" s="16">
        <f t="shared" si="1"/>
        <v>37</v>
      </c>
    </row>
    <row r="53" spans="1:8">
      <c r="A53" s="17">
        <v>44652</v>
      </c>
      <c r="B53" s="16">
        <v>631</v>
      </c>
      <c r="C53" s="16">
        <v>644</v>
      </c>
      <c r="D53" s="16">
        <v>602</v>
      </c>
      <c r="E53" s="16">
        <v>628</v>
      </c>
      <c r="F53" s="16">
        <v>628</v>
      </c>
      <c r="G53" s="16">
        <v>243100</v>
      </c>
      <c r="H53" s="16">
        <f t="shared" si="1"/>
        <v>-3</v>
      </c>
    </row>
    <row r="54" spans="1:8">
      <c r="A54" s="17">
        <v>44683</v>
      </c>
      <c r="B54" s="16">
        <v>633</v>
      </c>
      <c r="C54" s="16">
        <v>648</v>
      </c>
      <c r="D54" s="16">
        <v>616</v>
      </c>
      <c r="E54" s="16">
        <v>645</v>
      </c>
      <c r="F54" s="16">
        <v>645</v>
      </c>
      <c r="G54" s="16">
        <v>201000</v>
      </c>
      <c r="H54" s="16">
        <f t="shared" si="1"/>
        <v>12</v>
      </c>
    </row>
    <row r="55" spans="1:8">
      <c r="A55" s="17">
        <v>44713</v>
      </c>
      <c r="B55" s="16">
        <v>649</v>
      </c>
      <c r="C55" s="16">
        <v>674</v>
      </c>
      <c r="D55" s="16">
        <v>615</v>
      </c>
      <c r="E55" s="16">
        <v>669</v>
      </c>
      <c r="F55" s="16">
        <v>669</v>
      </c>
      <c r="G55" s="16">
        <v>398100</v>
      </c>
      <c r="H55" s="16">
        <f t="shared" si="1"/>
        <v>20</v>
      </c>
    </row>
    <row r="56" spans="1:8">
      <c r="A56" s="17">
        <v>44743</v>
      </c>
      <c r="B56" s="16">
        <v>674</v>
      </c>
      <c r="C56" s="16">
        <v>674</v>
      </c>
      <c r="D56" s="16">
        <v>620</v>
      </c>
      <c r="E56" s="16">
        <v>637</v>
      </c>
      <c r="F56" s="16">
        <v>637</v>
      </c>
      <c r="G56" s="16">
        <v>232000</v>
      </c>
      <c r="H56" s="16">
        <f t="shared" si="1"/>
        <v>-37</v>
      </c>
    </row>
    <row r="57" spans="1:8">
      <c r="A57" s="17">
        <v>44774</v>
      </c>
      <c r="B57" s="16">
        <v>640</v>
      </c>
      <c r="C57" s="16">
        <v>644</v>
      </c>
      <c r="D57" s="16">
        <v>625</v>
      </c>
      <c r="E57" s="16">
        <v>639</v>
      </c>
      <c r="F57" s="16">
        <v>639</v>
      </c>
      <c r="G57" s="16">
        <v>158500</v>
      </c>
      <c r="H57" s="16">
        <f t="shared" si="1"/>
        <v>-1</v>
      </c>
    </row>
    <row r="58" spans="1:8">
      <c r="A58" s="17">
        <v>44805</v>
      </c>
      <c r="B58" s="16">
        <v>637</v>
      </c>
      <c r="C58" s="16">
        <v>642</v>
      </c>
      <c r="D58" s="16">
        <v>609</v>
      </c>
      <c r="E58" s="16">
        <v>622</v>
      </c>
      <c r="F58" s="16">
        <v>622</v>
      </c>
      <c r="G58" s="16">
        <v>235700</v>
      </c>
      <c r="H58" s="16">
        <f t="shared" si="1"/>
        <v>-15</v>
      </c>
    </row>
    <row r="59" spans="1:8">
      <c r="A59" s="17">
        <v>44837</v>
      </c>
      <c r="B59" s="16">
        <v>622</v>
      </c>
      <c r="C59" s="16">
        <v>667</v>
      </c>
      <c r="D59" s="16">
        <v>611</v>
      </c>
      <c r="E59" s="16">
        <v>649</v>
      </c>
      <c r="F59" s="16">
        <v>649</v>
      </c>
      <c r="G59" s="16">
        <v>324700</v>
      </c>
      <c r="H59" s="16">
        <f t="shared" si="1"/>
        <v>27</v>
      </c>
    </row>
    <row r="60" spans="1:8">
      <c r="A60" s="17">
        <v>44866</v>
      </c>
      <c r="B60" s="16">
        <v>663</v>
      </c>
      <c r="C60" s="16">
        <v>722</v>
      </c>
      <c r="D60" s="16">
        <v>652</v>
      </c>
      <c r="E60" s="16">
        <v>717</v>
      </c>
      <c r="F60" s="16">
        <v>717</v>
      </c>
      <c r="G60" s="16">
        <v>309100</v>
      </c>
      <c r="H60" s="16">
        <f t="shared" si="1"/>
        <v>54</v>
      </c>
    </row>
    <row r="61" spans="1:8">
      <c r="A61" s="17">
        <v>44896</v>
      </c>
      <c r="B61" s="16">
        <v>722</v>
      </c>
      <c r="C61" s="16">
        <v>811</v>
      </c>
      <c r="D61" s="16">
        <v>697</v>
      </c>
      <c r="E61" s="16">
        <v>806</v>
      </c>
      <c r="F61" s="16">
        <v>806</v>
      </c>
      <c r="G61" s="16">
        <v>1119900</v>
      </c>
      <c r="H61" s="16">
        <f t="shared" si="1"/>
        <v>84</v>
      </c>
    </row>
  </sheetData>
  <phoneticPr fontId="32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2D403-D3A5-4115-9A8A-1AA1D3C0015B}">
  <sheetPr codeName="Sheet13"/>
  <dimension ref="A1:DY61"/>
  <sheetViews>
    <sheetView workbookViewId="0">
      <selection activeCell="I1" sqref="I1"/>
    </sheetView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3860</v>
      </c>
      <c r="C2" s="16">
        <v>3910</v>
      </c>
      <c r="D2" s="16">
        <v>3325</v>
      </c>
      <c r="E2" s="16">
        <v>3330</v>
      </c>
      <c r="F2" s="16">
        <v>3330</v>
      </c>
      <c r="G2" s="16">
        <v>3393400</v>
      </c>
      <c r="H2" s="16">
        <f t="shared" ref="H2:H33" si="0">E2-B2</f>
        <v>-530</v>
      </c>
      <c r="J2" s="18" cm="1">
        <f t="array" ref="J2:Q6">_xlfn._xlws.FILTER(A2:H61,MONTH(A2:A61)=1,"")</f>
        <v>43104</v>
      </c>
      <c r="K2" s="16">
        <v>3860</v>
      </c>
      <c r="L2" s="16">
        <v>3910</v>
      </c>
      <c r="M2" s="16">
        <v>3325</v>
      </c>
      <c r="N2" s="16">
        <v>3330</v>
      </c>
      <c r="O2" s="16">
        <v>3330</v>
      </c>
      <c r="P2" s="16">
        <v>3393400</v>
      </c>
      <c r="Q2" s="16">
        <v>-530</v>
      </c>
      <c r="R2" s="16">
        <f>Q2/K2*100</f>
        <v>-13.730569948186528</v>
      </c>
      <c r="S2" s="16">
        <f>COUNT(Q2:Q6)</f>
        <v>5</v>
      </c>
      <c r="T2" s="18" cm="1">
        <f t="array" ref="T2:AA6">_xlfn._xlws.FILTER(A2:H61,MONTH(A2:A61)=2,"")</f>
        <v>43132</v>
      </c>
      <c r="U2" s="16">
        <v>3360</v>
      </c>
      <c r="V2" s="16">
        <v>3395</v>
      </c>
      <c r="W2" s="16">
        <v>2844</v>
      </c>
      <c r="X2" s="16">
        <v>3045</v>
      </c>
      <c r="Y2" s="16">
        <v>3045</v>
      </c>
      <c r="Z2" s="16">
        <v>2226000</v>
      </c>
      <c r="AA2" s="16">
        <v>-315</v>
      </c>
      <c r="AB2" s="16">
        <f>AA2/U2*100</f>
        <v>-9.375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3030</v>
      </c>
      <c r="AF2" s="16">
        <v>3230</v>
      </c>
      <c r="AG2" s="16">
        <v>2812</v>
      </c>
      <c r="AH2" s="16">
        <v>3110</v>
      </c>
      <c r="AI2" s="16">
        <v>3110</v>
      </c>
      <c r="AJ2" s="16">
        <v>3963900</v>
      </c>
      <c r="AK2" s="16">
        <v>80</v>
      </c>
      <c r="AL2" s="16">
        <f>AK2/AE2*100</f>
        <v>2.6402640264026402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3075</v>
      </c>
      <c r="AP2" s="16">
        <v>3245</v>
      </c>
      <c r="AQ2" s="16">
        <v>2837</v>
      </c>
      <c r="AR2" s="16">
        <v>2857</v>
      </c>
      <c r="AS2" s="16">
        <v>2857</v>
      </c>
      <c r="AT2" s="16">
        <v>2737800</v>
      </c>
      <c r="AU2" s="16">
        <v>-218</v>
      </c>
      <c r="AV2" s="16">
        <f>AU2/AO2*100</f>
        <v>-7.0894308943089426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2861</v>
      </c>
      <c r="AZ2" s="16">
        <v>2895</v>
      </c>
      <c r="BA2" s="16">
        <v>2738</v>
      </c>
      <c r="BB2" s="16">
        <v>2832</v>
      </c>
      <c r="BC2" s="16">
        <v>2832</v>
      </c>
      <c r="BD2" s="16">
        <v>2140400</v>
      </c>
      <c r="BE2" s="16">
        <v>-29</v>
      </c>
      <c r="BF2" s="16">
        <f>BE2/AY2*100</f>
        <v>-1.0136315973435861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2803</v>
      </c>
      <c r="BJ2" s="16">
        <v>2899</v>
      </c>
      <c r="BK2" s="16">
        <v>2504</v>
      </c>
      <c r="BL2" s="16">
        <v>2597</v>
      </c>
      <c r="BM2" s="16">
        <v>2597</v>
      </c>
      <c r="BN2" s="16">
        <v>3111500</v>
      </c>
      <c r="BO2" s="16">
        <v>-206</v>
      </c>
      <c r="BP2" s="16">
        <f>BO2/BI2*100</f>
        <v>-7.3492686407420624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2598</v>
      </c>
      <c r="BT2" s="16">
        <v>2618</v>
      </c>
      <c r="BU2" s="16">
        <v>2131</v>
      </c>
      <c r="BV2" s="16">
        <v>2433</v>
      </c>
      <c r="BW2" s="16">
        <v>2433</v>
      </c>
      <c r="BX2" s="16">
        <v>3325700</v>
      </c>
      <c r="BY2" s="16">
        <v>-165</v>
      </c>
      <c r="BZ2" s="16">
        <f>BY2/BS2*100</f>
        <v>-6.3510392609699773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2450</v>
      </c>
      <c r="CD2" s="16">
        <v>2450</v>
      </c>
      <c r="CE2" s="16">
        <v>2151</v>
      </c>
      <c r="CF2" s="16">
        <v>2322</v>
      </c>
      <c r="CG2" s="16">
        <v>2322</v>
      </c>
      <c r="CH2" s="16">
        <v>1218600</v>
      </c>
      <c r="CI2" s="16">
        <v>-128</v>
      </c>
      <c r="CJ2" s="16">
        <f>CI2/CC2*100</f>
        <v>-5.2244897959183678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2322</v>
      </c>
      <c r="CN2" s="16">
        <v>2403</v>
      </c>
      <c r="CO2" s="16">
        <v>2010</v>
      </c>
      <c r="CP2" s="16">
        <v>2375</v>
      </c>
      <c r="CQ2" s="16">
        <v>2375</v>
      </c>
      <c r="CR2" s="16">
        <v>2116400</v>
      </c>
      <c r="CS2" s="16">
        <v>53</v>
      </c>
      <c r="CT2" s="16">
        <f>CS2/CM2*100</f>
        <v>2.2825150732127475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2400</v>
      </c>
      <c r="CX2" s="16">
        <v>2524</v>
      </c>
      <c r="CY2" s="16">
        <v>1913</v>
      </c>
      <c r="CZ2" s="16">
        <v>2064</v>
      </c>
      <c r="DA2" s="16">
        <v>2064</v>
      </c>
      <c r="DB2" s="16">
        <v>2292700</v>
      </c>
      <c r="DC2" s="16">
        <v>-336</v>
      </c>
      <c r="DD2" s="16">
        <f>DC2/CW2*100</f>
        <v>-14.000000000000002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2076</v>
      </c>
      <c r="DH2" s="16">
        <v>2270</v>
      </c>
      <c r="DI2" s="16">
        <v>2031</v>
      </c>
      <c r="DJ2" s="16">
        <v>2242</v>
      </c>
      <c r="DK2" s="16">
        <v>2242</v>
      </c>
      <c r="DL2" s="16">
        <v>1157900</v>
      </c>
      <c r="DM2" s="16">
        <v>166</v>
      </c>
      <c r="DN2" s="16">
        <f>DM2/DG2*100</f>
        <v>7.9961464354527942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2245</v>
      </c>
      <c r="DR2" s="16">
        <v>2247</v>
      </c>
      <c r="DS2" s="16">
        <v>1650</v>
      </c>
      <c r="DT2" s="16">
        <v>1814</v>
      </c>
      <c r="DU2" s="16">
        <v>1814</v>
      </c>
      <c r="DV2" s="16">
        <v>1809000</v>
      </c>
      <c r="DW2" s="16">
        <v>-431</v>
      </c>
      <c r="DX2" s="16">
        <f>DW2/DQ2*100</f>
        <v>-19.198218262806236</v>
      </c>
      <c r="DY2" s="16">
        <f>COUNT(DW2:DW6)</f>
        <v>5</v>
      </c>
    </row>
    <row r="3" spans="1:129">
      <c r="A3" s="17">
        <v>43132</v>
      </c>
      <c r="B3" s="16">
        <v>3360</v>
      </c>
      <c r="C3" s="16">
        <v>3395</v>
      </c>
      <c r="D3" s="16">
        <v>2844</v>
      </c>
      <c r="E3" s="16">
        <v>3045</v>
      </c>
      <c r="F3" s="16">
        <v>3045</v>
      </c>
      <c r="G3" s="16">
        <v>2226000</v>
      </c>
      <c r="H3" s="16">
        <f t="shared" si="0"/>
        <v>-315</v>
      </c>
      <c r="J3" s="18">
        <v>43469</v>
      </c>
      <c r="K3" s="16">
        <v>1751</v>
      </c>
      <c r="L3" s="16">
        <v>1973</v>
      </c>
      <c r="M3" s="16">
        <v>1725</v>
      </c>
      <c r="N3" s="16">
        <v>1755</v>
      </c>
      <c r="O3" s="16">
        <v>1755</v>
      </c>
      <c r="P3" s="16">
        <v>1379000</v>
      </c>
      <c r="Q3" s="16">
        <v>4</v>
      </c>
      <c r="R3" s="16">
        <f>Q3/K3*100</f>
        <v>0.22844089091947459</v>
      </c>
      <c r="S3" s="16">
        <f>COUNTIF(Q2:Q6,"&gt;0")</f>
        <v>3</v>
      </c>
      <c r="T3" s="18">
        <v>43497</v>
      </c>
      <c r="U3" s="16">
        <v>1740</v>
      </c>
      <c r="V3" s="16">
        <v>1836</v>
      </c>
      <c r="W3" s="16">
        <v>1696</v>
      </c>
      <c r="X3" s="16">
        <v>1767</v>
      </c>
      <c r="Y3" s="16">
        <v>1767</v>
      </c>
      <c r="Z3" s="16">
        <v>764600</v>
      </c>
      <c r="AA3" s="16">
        <v>27</v>
      </c>
      <c r="AB3" s="16">
        <f>AA3/U3*100</f>
        <v>1.5517241379310345</v>
      </c>
      <c r="AC3" s="16">
        <f>COUNTIF(AA2:AA6,"&gt;0")</f>
        <v>3</v>
      </c>
      <c r="AD3" s="18">
        <v>43525</v>
      </c>
      <c r="AE3" s="16">
        <v>1775</v>
      </c>
      <c r="AF3" s="16">
        <v>1810</v>
      </c>
      <c r="AG3" s="16">
        <v>1478</v>
      </c>
      <c r="AH3" s="16">
        <v>1729</v>
      </c>
      <c r="AI3" s="16">
        <v>1729</v>
      </c>
      <c r="AJ3" s="16">
        <v>2457400</v>
      </c>
      <c r="AK3" s="16">
        <v>-46</v>
      </c>
      <c r="AL3" s="16">
        <f>AK3/AE3*100</f>
        <v>-2.591549295774648</v>
      </c>
      <c r="AM3" s="16">
        <f>COUNTIF(AK2:AK6,"&gt;0")</f>
        <v>2</v>
      </c>
      <c r="AN3" s="18">
        <v>43556</v>
      </c>
      <c r="AO3" s="16">
        <v>1750</v>
      </c>
      <c r="AP3" s="16">
        <v>1939</v>
      </c>
      <c r="AQ3" s="16">
        <v>1720</v>
      </c>
      <c r="AR3" s="16">
        <v>1893</v>
      </c>
      <c r="AS3" s="16">
        <v>1893</v>
      </c>
      <c r="AT3" s="16">
        <v>1133600</v>
      </c>
      <c r="AU3" s="16">
        <v>143</v>
      </c>
      <c r="AV3" s="16">
        <f>AU3/AO3*100</f>
        <v>8.1714285714285708</v>
      </c>
      <c r="AW3" s="16">
        <f>COUNTIF(AU2:AU6,"&gt;0")</f>
        <v>1</v>
      </c>
      <c r="AX3" s="18">
        <v>43592</v>
      </c>
      <c r="AY3" s="16">
        <v>1911</v>
      </c>
      <c r="AZ3" s="16">
        <v>1987</v>
      </c>
      <c r="BA3" s="16">
        <v>1766</v>
      </c>
      <c r="BB3" s="16">
        <v>1899</v>
      </c>
      <c r="BC3" s="16">
        <v>1899</v>
      </c>
      <c r="BD3" s="16">
        <v>894300</v>
      </c>
      <c r="BE3" s="16">
        <v>-12</v>
      </c>
      <c r="BF3" s="16">
        <f>BE3/AY3*100</f>
        <v>-0.62794348508634223</v>
      </c>
      <c r="BG3" s="16">
        <f>COUNTIF(BE2:BE6,"&gt;0")</f>
        <v>3</v>
      </c>
      <c r="BH3" s="18">
        <v>43619</v>
      </c>
      <c r="BI3" s="16">
        <v>1867</v>
      </c>
      <c r="BJ3" s="16">
        <v>2291</v>
      </c>
      <c r="BK3" s="16">
        <v>1847</v>
      </c>
      <c r="BL3" s="16">
        <v>2237</v>
      </c>
      <c r="BM3" s="16">
        <v>2237</v>
      </c>
      <c r="BN3" s="16">
        <v>1509200</v>
      </c>
      <c r="BO3" s="16">
        <v>370</v>
      </c>
      <c r="BP3" s="16">
        <f>BO3/BI3*100</f>
        <v>19.817889662560255</v>
      </c>
      <c r="BQ3" s="16">
        <f>COUNTIF(BO2:BO6,"&gt;0")</f>
        <v>3</v>
      </c>
      <c r="BR3" s="18">
        <v>43647</v>
      </c>
      <c r="BS3" s="16">
        <v>2246</v>
      </c>
      <c r="BT3" s="16">
        <v>2303</v>
      </c>
      <c r="BU3" s="16">
        <v>2092</v>
      </c>
      <c r="BV3" s="16">
        <v>2131</v>
      </c>
      <c r="BW3" s="16">
        <v>2131</v>
      </c>
      <c r="BX3" s="16">
        <v>1732600</v>
      </c>
      <c r="BY3" s="16">
        <v>-115</v>
      </c>
      <c r="BZ3" s="16">
        <f>BY3/BS3*100</f>
        <v>-5.1202137132680319</v>
      </c>
      <c r="CA3" s="16">
        <f>COUNTIF(BY2:BY6,"&gt;0")</f>
        <v>0</v>
      </c>
      <c r="CB3" s="18">
        <v>43678</v>
      </c>
      <c r="CC3" s="16">
        <v>2127</v>
      </c>
      <c r="CD3" s="16">
        <v>2209</v>
      </c>
      <c r="CE3" s="16">
        <v>2035</v>
      </c>
      <c r="CF3" s="16">
        <v>2124</v>
      </c>
      <c r="CG3" s="16">
        <v>2124</v>
      </c>
      <c r="CH3" s="16">
        <v>772700</v>
      </c>
      <c r="CI3" s="16">
        <v>-3</v>
      </c>
      <c r="CJ3" s="16">
        <f>CI3/CC3*100</f>
        <v>-0.14104372355430184</v>
      </c>
      <c r="CK3" s="16">
        <f>COUNTIF(CI2:CI6,"&gt;0")</f>
        <v>2</v>
      </c>
      <c r="CL3" s="18">
        <v>43710</v>
      </c>
      <c r="CM3" s="16">
        <v>2124</v>
      </c>
      <c r="CN3" s="16">
        <v>2498</v>
      </c>
      <c r="CO3" s="16">
        <v>2097</v>
      </c>
      <c r="CP3" s="16">
        <v>2425</v>
      </c>
      <c r="CQ3" s="16">
        <v>2425</v>
      </c>
      <c r="CR3" s="16">
        <v>1536900</v>
      </c>
      <c r="CS3" s="16">
        <v>301</v>
      </c>
      <c r="CT3" s="16">
        <f>CS3/CM3*100</f>
        <v>14.171374764595104</v>
      </c>
      <c r="CU3" s="16">
        <f>COUNTIF(CS2:CS6,"&gt;0")</f>
        <v>5</v>
      </c>
      <c r="CV3" s="18">
        <v>43739</v>
      </c>
      <c r="CW3" s="16">
        <v>2418</v>
      </c>
      <c r="CX3" s="16">
        <v>2491</v>
      </c>
      <c r="CY3" s="16">
        <v>1996</v>
      </c>
      <c r="CZ3" s="16">
        <v>2002</v>
      </c>
      <c r="DA3" s="16">
        <v>2002</v>
      </c>
      <c r="DB3" s="16">
        <v>1650800</v>
      </c>
      <c r="DC3" s="16">
        <v>-416</v>
      </c>
      <c r="DD3" s="16">
        <f>DC3/CW3*100</f>
        <v>-17.20430107526882</v>
      </c>
      <c r="DE3" s="16">
        <f>COUNTIF(DC2:DC6,"&gt;0")</f>
        <v>1</v>
      </c>
      <c r="DF3" s="18">
        <v>43770</v>
      </c>
      <c r="DG3" s="16">
        <v>2000</v>
      </c>
      <c r="DH3" s="16">
        <v>2057</v>
      </c>
      <c r="DI3" s="16">
        <v>1881</v>
      </c>
      <c r="DJ3" s="16">
        <v>1884</v>
      </c>
      <c r="DK3" s="16">
        <v>1884</v>
      </c>
      <c r="DL3" s="16">
        <v>1275700</v>
      </c>
      <c r="DM3" s="16">
        <v>-116</v>
      </c>
      <c r="DN3" s="16">
        <f>DM3/DG3*100</f>
        <v>-5.8000000000000007</v>
      </c>
      <c r="DO3" s="16">
        <f>COUNTIF(DM2:DM6,"&gt;0")</f>
        <v>2</v>
      </c>
      <c r="DP3" s="18">
        <v>43801</v>
      </c>
      <c r="DQ3" s="16">
        <v>1884</v>
      </c>
      <c r="DR3" s="16">
        <v>2444</v>
      </c>
      <c r="DS3" s="16">
        <v>1881</v>
      </c>
      <c r="DT3" s="16">
        <v>2404</v>
      </c>
      <c r="DU3" s="16">
        <v>2404</v>
      </c>
      <c r="DV3" s="16">
        <v>6040600</v>
      </c>
      <c r="DW3" s="16">
        <v>520</v>
      </c>
      <c r="DX3" s="16">
        <f>DW3/DQ3*100</f>
        <v>27.600849256900212</v>
      </c>
      <c r="DY3" s="16">
        <f>COUNTIF(DW2:DW6,"&gt;0")</f>
        <v>3</v>
      </c>
    </row>
    <row r="4" spans="1:129">
      <c r="A4" s="17">
        <v>43160</v>
      </c>
      <c r="B4" s="16">
        <v>3030</v>
      </c>
      <c r="C4" s="16">
        <v>3230</v>
      </c>
      <c r="D4" s="16">
        <v>2812</v>
      </c>
      <c r="E4" s="16">
        <v>3110</v>
      </c>
      <c r="F4" s="16">
        <v>3110</v>
      </c>
      <c r="G4" s="16">
        <v>3963900</v>
      </c>
      <c r="H4" s="16">
        <f t="shared" si="0"/>
        <v>80</v>
      </c>
      <c r="J4" s="18">
        <v>43836</v>
      </c>
      <c r="K4" s="16">
        <v>2370</v>
      </c>
      <c r="L4" s="16">
        <v>2670</v>
      </c>
      <c r="M4" s="16">
        <v>2330</v>
      </c>
      <c r="N4" s="16">
        <v>2582</v>
      </c>
      <c r="O4" s="16">
        <v>2582</v>
      </c>
      <c r="P4" s="16">
        <v>3336000</v>
      </c>
      <c r="Q4" s="16">
        <v>212</v>
      </c>
      <c r="R4" s="16">
        <f>Q4/K4*100</f>
        <v>8.9451476793248936</v>
      </c>
      <c r="S4" s="19">
        <f>S3/S2*100</f>
        <v>60</v>
      </c>
      <c r="T4" s="18">
        <v>43864</v>
      </c>
      <c r="U4" s="16">
        <v>2516</v>
      </c>
      <c r="V4" s="16">
        <v>2698</v>
      </c>
      <c r="W4" s="16">
        <v>1942</v>
      </c>
      <c r="X4" s="16">
        <v>1961</v>
      </c>
      <c r="Y4" s="16">
        <v>1961</v>
      </c>
      <c r="Z4" s="16">
        <v>3698400</v>
      </c>
      <c r="AA4" s="16">
        <v>-555</v>
      </c>
      <c r="AB4" s="16">
        <f>AA4/U4*100</f>
        <v>-22.058823529411764</v>
      </c>
      <c r="AC4" s="19">
        <f>AC3/AC2*100</f>
        <v>60</v>
      </c>
      <c r="AD4" s="18">
        <v>43892</v>
      </c>
      <c r="AE4" s="16">
        <v>1988</v>
      </c>
      <c r="AF4" s="16">
        <v>2250</v>
      </c>
      <c r="AG4" s="16">
        <v>1562</v>
      </c>
      <c r="AH4" s="16">
        <v>1618</v>
      </c>
      <c r="AI4" s="16">
        <v>1618</v>
      </c>
      <c r="AJ4" s="16">
        <v>7098400</v>
      </c>
      <c r="AK4" s="16">
        <v>-370</v>
      </c>
      <c r="AL4" s="16">
        <f>AK4/AE4*100</f>
        <v>-18.611670020120723</v>
      </c>
      <c r="AM4" s="19">
        <f>AM3/AM2*100</f>
        <v>40</v>
      </c>
      <c r="AN4" s="18">
        <v>43922</v>
      </c>
      <c r="AO4" s="16">
        <v>1617</v>
      </c>
      <c r="AP4" s="16">
        <v>1625</v>
      </c>
      <c r="AQ4" s="16">
        <v>1190</v>
      </c>
      <c r="AR4" s="16">
        <v>1562</v>
      </c>
      <c r="AS4" s="16">
        <v>1562</v>
      </c>
      <c r="AT4" s="16">
        <v>6848100</v>
      </c>
      <c r="AU4" s="16">
        <v>-55</v>
      </c>
      <c r="AV4" s="16">
        <f>AU4/AO4*100</f>
        <v>-3.4013605442176873</v>
      </c>
      <c r="AW4" s="19">
        <f>AW3/AW2*100</f>
        <v>20</v>
      </c>
      <c r="AX4" s="18">
        <v>43952</v>
      </c>
      <c r="AY4" s="16">
        <v>1544</v>
      </c>
      <c r="AZ4" s="16">
        <v>2018</v>
      </c>
      <c r="BA4" s="16">
        <v>1475</v>
      </c>
      <c r="BB4" s="16">
        <v>1874</v>
      </c>
      <c r="BC4" s="16">
        <v>1874</v>
      </c>
      <c r="BD4" s="16">
        <v>6019100</v>
      </c>
      <c r="BE4" s="16">
        <v>330</v>
      </c>
      <c r="BF4" s="16">
        <f>BE4/AY4*100</f>
        <v>21.373056994818654</v>
      </c>
      <c r="BG4" s="19">
        <f>BG3/BG2*100</f>
        <v>60</v>
      </c>
      <c r="BH4" s="18">
        <v>43983</v>
      </c>
      <c r="BI4" s="16">
        <v>1890</v>
      </c>
      <c r="BJ4" s="16">
        <v>1933</v>
      </c>
      <c r="BK4" s="16">
        <v>1497</v>
      </c>
      <c r="BL4" s="16">
        <v>1504</v>
      </c>
      <c r="BM4" s="16">
        <v>1504</v>
      </c>
      <c r="BN4" s="16">
        <v>6008900</v>
      </c>
      <c r="BO4" s="16">
        <v>-386</v>
      </c>
      <c r="BP4" s="16">
        <f>BO4/BI4*100</f>
        <v>-20.423280423280424</v>
      </c>
      <c r="BQ4" s="19">
        <f>BQ3/BQ2*100</f>
        <v>60</v>
      </c>
      <c r="BR4" s="18">
        <v>44013</v>
      </c>
      <c r="BS4" s="16">
        <v>1500</v>
      </c>
      <c r="BT4" s="16">
        <v>1541</v>
      </c>
      <c r="BU4" s="16">
        <v>1228</v>
      </c>
      <c r="BV4" s="16">
        <v>1240</v>
      </c>
      <c r="BW4" s="16">
        <v>1240</v>
      </c>
      <c r="BX4" s="16">
        <v>4328900</v>
      </c>
      <c r="BY4" s="16">
        <v>-260</v>
      </c>
      <c r="BZ4" s="16">
        <f>BY4/BS4*100</f>
        <v>-17.333333333333336</v>
      </c>
      <c r="CA4" s="19">
        <f>CA3/CA2*100</f>
        <v>0</v>
      </c>
      <c r="CB4" s="18">
        <v>44046</v>
      </c>
      <c r="CC4" s="16">
        <v>1190</v>
      </c>
      <c r="CD4" s="16">
        <v>1537</v>
      </c>
      <c r="CE4" s="16">
        <v>1163</v>
      </c>
      <c r="CF4" s="16">
        <v>1463</v>
      </c>
      <c r="CG4" s="16">
        <v>1463</v>
      </c>
      <c r="CH4" s="16">
        <v>3374700</v>
      </c>
      <c r="CI4" s="16">
        <v>273</v>
      </c>
      <c r="CJ4" s="16">
        <f>CI4/CC4*100</f>
        <v>22.941176470588236</v>
      </c>
      <c r="CK4" s="19">
        <f>CK3/CK2*100</f>
        <v>40</v>
      </c>
      <c r="CL4" s="18">
        <v>44075</v>
      </c>
      <c r="CM4" s="16">
        <v>1464</v>
      </c>
      <c r="CN4" s="16">
        <v>1570</v>
      </c>
      <c r="CO4" s="16">
        <v>1409</v>
      </c>
      <c r="CP4" s="16">
        <v>1477</v>
      </c>
      <c r="CQ4" s="16">
        <v>1477</v>
      </c>
      <c r="CR4" s="16">
        <v>3314500</v>
      </c>
      <c r="CS4" s="16">
        <v>13</v>
      </c>
      <c r="CT4" s="16">
        <f>CS4/CM4*100</f>
        <v>0.88797814207650272</v>
      </c>
      <c r="CU4" s="19">
        <f>CU3/CU2*100</f>
        <v>100</v>
      </c>
      <c r="CV4" s="18">
        <v>44106</v>
      </c>
      <c r="CW4" s="16">
        <v>1513</v>
      </c>
      <c r="CX4" s="16">
        <v>1659</v>
      </c>
      <c r="CY4" s="16">
        <v>1480</v>
      </c>
      <c r="CZ4" s="16">
        <v>1529</v>
      </c>
      <c r="DA4" s="16">
        <v>1529</v>
      </c>
      <c r="DB4" s="16">
        <v>3752400</v>
      </c>
      <c r="DC4" s="16">
        <v>16</v>
      </c>
      <c r="DD4" s="16">
        <f>DC4/CW4*100</f>
        <v>1.0575016523463316</v>
      </c>
      <c r="DE4" s="19">
        <f>DE3/DE2*100</f>
        <v>20</v>
      </c>
      <c r="DF4" s="18">
        <v>44137</v>
      </c>
      <c r="DG4" s="16">
        <v>1557</v>
      </c>
      <c r="DH4" s="16">
        <v>1676</v>
      </c>
      <c r="DI4" s="16">
        <v>1342</v>
      </c>
      <c r="DJ4" s="16">
        <v>1372</v>
      </c>
      <c r="DK4" s="16">
        <v>1372</v>
      </c>
      <c r="DL4" s="16">
        <v>3600900</v>
      </c>
      <c r="DM4" s="16">
        <v>-185</v>
      </c>
      <c r="DN4" s="16">
        <f>DM4/DG4*100</f>
        <v>-11.881824020552344</v>
      </c>
      <c r="DO4" s="19">
        <f>DO3/DO2*100</f>
        <v>40</v>
      </c>
      <c r="DP4" s="18">
        <v>44166</v>
      </c>
      <c r="DQ4" s="16">
        <v>1372</v>
      </c>
      <c r="DR4" s="16">
        <v>1564</v>
      </c>
      <c r="DS4" s="16">
        <v>1372</v>
      </c>
      <c r="DT4" s="16">
        <v>1452</v>
      </c>
      <c r="DU4" s="16">
        <v>1452</v>
      </c>
      <c r="DV4" s="16">
        <v>2290600</v>
      </c>
      <c r="DW4" s="16">
        <v>80</v>
      </c>
      <c r="DX4" s="16">
        <f>DW4/DQ4*100</f>
        <v>5.8309037900874632</v>
      </c>
      <c r="DY4" s="19">
        <f>DY3/DY2*100</f>
        <v>60</v>
      </c>
    </row>
    <row r="5" spans="1:129">
      <c r="A5" s="17">
        <v>43192</v>
      </c>
      <c r="B5" s="16">
        <v>3075</v>
      </c>
      <c r="C5" s="16">
        <v>3245</v>
      </c>
      <c r="D5" s="16">
        <v>2837</v>
      </c>
      <c r="E5" s="16">
        <v>2857</v>
      </c>
      <c r="F5" s="16">
        <v>2857</v>
      </c>
      <c r="G5" s="16">
        <v>2737800</v>
      </c>
      <c r="H5" s="16">
        <f t="shared" si="0"/>
        <v>-218</v>
      </c>
      <c r="J5" s="18">
        <v>44200</v>
      </c>
      <c r="K5" s="16">
        <v>1427</v>
      </c>
      <c r="L5" s="16">
        <v>1554</v>
      </c>
      <c r="M5" s="16">
        <v>1316</v>
      </c>
      <c r="N5" s="16">
        <v>1471</v>
      </c>
      <c r="O5" s="16">
        <v>1471</v>
      </c>
      <c r="P5" s="16">
        <v>3511300</v>
      </c>
      <c r="Q5" s="16">
        <v>44</v>
      </c>
      <c r="R5" s="16">
        <f>Q5/K5*100</f>
        <v>3.0833917309039944</v>
      </c>
      <c r="S5" s="16">
        <f>AVERAGE(R2:R6)</f>
        <v>-1.7058290405187442</v>
      </c>
      <c r="T5" s="18">
        <v>44228</v>
      </c>
      <c r="U5" s="16">
        <v>1474</v>
      </c>
      <c r="V5" s="16">
        <v>1873</v>
      </c>
      <c r="W5" s="16">
        <v>1453</v>
      </c>
      <c r="X5" s="16">
        <v>1770</v>
      </c>
      <c r="Y5" s="16">
        <v>1770</v>
      </c>
      <c r="Z5" s="16">
        <v>2684400</v>
      </c>
      <c r="AA5" s="16">
        <v>296</v>
      </c>
      <c r="AB5" s="16">
        <f>AA5/U5*100</f>
        <v>20.081411126187245</v>
      </c>
      <c r="AC5" s="16">
        <f>AVERAGE(AB2:AB6)</f>
        <v>-0.82918527210631576</v>
      </c>
      <c r="AD5" s="18">
        <v>44256</v>
      </c>
      <c r="AE5" s="16">
        <v>1799</v>
      </c>
      <c r="AF5" s="16">
        <v>1927</v>
      </c>
      <c r="AG5" s="16">
        <v>1610</v>
      </c>
      <c r="AH5" s="16">
        <v>1645</v>
      </c>
      <c r="AI5" s="16">
        <v>1645</v>
      </c>
      <c r="AJ5" s="16">
        <v>3455600</v>
      </c>
      <c r="AK5" s="16">
        <v>-154</v>
      </c>
      <c r="AL5" s="16">
        <f>AK5/AE5*100</f>
        <v>-8.5603112840466924</v>
      </c>
      <c r="AM5" s="16">
        <f>AVERAGE(AL2:AL6)</f>
        <v>-4.3329256838693926</v>
      </c>
      <c r="AN5" s="18">
        <v>44287</v>
      </c>
      <c r="AO5" s="16">
        <v>1665</v>
      </c>
      <c r="AP5" s="16">
        <v>1730</v>
      </c>
      <c r="AQ5" s="16">
        <v>1503</v>
      </c>
      <c r="AR5" s="16">
        <v>1588</v>
      </c>
      <c r="AS5" s="16">
        <v>1588</v>
      </c>
      <c r="AT5" s="16">
        <v>2193100</v>
      </c>
      <c r="AU5" s="16">
        <v>-77</v>
      </c>
      <c r="AV5" s="16">
        <f>AU5/AO5*100</f>
        <v>-4.6246246246246248</v>
      </c>
      <c r="AW5" s="16">
        <f>AVERAGE(AV2:AV6)</f>
        <v>-2.4059281193295474</v>
      </c>
      <c r="AX5" s="18">
        <v>44322</v>
      </c>
      <c r="AY5" s="16">
        <v>1600</v>
      </c>
      <c r="AZ5" s="16">
        <v>1801</v>
      </c>
      <c r="BA5" s="16">
        <v>1555</v>
      </c>
      <c r="BB5" s="16">
        <v>1778</v>
      </c>
      <c r="BC5" s="16">
        <v>1778</v>
      </c>
      <c r="BD5" s="16">
        <v>1952700</v>
      </c>
      <c r="BE5" s="16">
        <v>178</v>
      </c>
      <c r="BF5" s="16">
        <f>BE5/AY5*100</f>
        <v>11.125</v>
      </c>
      <c r="BG5" s="16">
        <f>AVERAGE(BF2:BF6)</f>
        <v>7.751739816246932</v>
      </c>
      <c r="BH5" s="18">
        <v>44348</v>
      </c>
      <c r="BI5" s="16">
        <v>1791</v>
      </c>
      <c r="BJ5" s="16">
        <v>2031</v>
      </c>
      <c r="BK5" s="16">
        <v>1758</v>
      </c>
      <c r="BL5" s="16">
        <v>1796</v>
      </c>
      <c r="BM5" s="16">
        <v>1796</v>
      </c>
      <c r="BN5" s="16">
        <v>3201400</v>
      </c>
      <c r="BO5" s="16">
        <v>5</v>
      </c>
      <c r="BP5" s="16">
        <f>BO5/BI5*100</f>
        <v>0.27917364600781686</v>
      </c>
      <c r="BQ5" s="16">
        <f>AVERAGE(BP2:BP6)</f>
        <v>3.2859554804880644</v>
      </c>
      <c r="BR5" s="18">
        <v>44378</v>
      </c>
      <c r="BS5" s="16">
        <v>1796</v>
      </c>
      <c r="BT5" s="16">
        <v>1934</v>
      </c>
      <c r="BU5" s="16">
        <v>1711</v>
      </c>
      <c r="BV5" s="16">
        <v>1730</v>
      </c>
      <c r="BW5" s="16">
        <v>1730</v>
      </c>
      <c r="BX5" s="16">
        <v>2408600</v>
      </c>
      <c r="BY5" s="16">
        <v>-66</v>
      </c>
      <c r="BZ5" s="16">
        <f>BY5/BS5*100</f>
        <v>-3.6748329621380846</v>
      </c>
      <c r="CA5" s="16">
        <f>AVERAGE(BZ2:BZ6)</f>
        <v>-6.9629751490586589</v>
      </c>
      <c r="CB5" s="18">
        <v>44410</v>
      </c>
      <c r="CC5" s="16">
        <v>1727</v>
      </c>
      <c r="CD5" s="16">
        <v>1836</v>
      </c>
      <c r="CE5" s="16">
        <v>1593</v>
      </c>
      <c r="CF5" s="16">
        <v>1784</v>
      </c>
      <c r="CG5" s="16">
        <v>1784</v>
      </c>
      <c r="CH5" s="16">
        <v>2059300</v>
      </c>
      <c r="CI5" s="16">
        <v>57</v>
      </c>
      <c r="CJ5" s="16">
        <f>CI5/CC5*100</f>
        <v>3.3005211349160395</v>
      </c>
      <c r="CK5" s="16">
        <f>AVERAGE(CJ2:CJ6)</f>
        <v>3.0341178346279234</v>
      </c>
      <c r="CL5" s="18">
        <v>44440</v>
      </c>
      <c r="CM5" s="16">
        <v>1797</v>
      </c>
      <c r="CN5" s="16">
        <v>2279</v>
      </c>
      <c r="CO5" s="16">
        <v>1775</v>
      </c>
      <c r="CP5" s="16">
        <v>2225</v>
      </c>
      <c r="CQ5" s="16">
        <v>2225</v>
      </c>
      <c r="CR5" s="16">
        <v>5329500</v>
      </c>
      <c r="CS5" s="16">
        <v>428</v>
      </c>
      <c r="CT5" s="16">
        <f>CS5/CM5*100</f>
        <v>23.817473567056204</v>
      </c>
      <c r="CU5" s="16">
        <f>AVERAGE(CT2:CT6)</f>
        <v>10.413014335266116</v>
      </c>
      <c r="CV5" s="18">
        <v>44470</v>
      </c>
      <c r="CW5" s="16">
        <v>2210</v>
      </c>
      <c r="CX5" s="16">
        <v>2220</v>
      </c>
      <c r="CY5" s="16">
        <v>1855</v>
      </c>
      <c r="CZ5" s="16">
        <v>1876</v>
      </c>
      <c r="DA5" s="16">
        <v>1876</v>
      </c>
      <c r="DB5" s="16">
        <v>2933500</v>
      </c>
      <c r="DC5" s="16">
        <v>-334</v>
      </c>
      <c r="DD5" s="16">
        <f>DC5/CW5*100</f>
        <v>-15.113122171945701</v>
      </c>
      <c r="DE5" s="16">
        <f>AVERAGE(DD2:DD6)</f>
        <v>-11.214373885654329</v>
      </c>
      <c r="DF5" s="18">
        <v>44501</v>
      </c>
      <c r="DG5" s="16">
        <v>1916</v>
      </c>
      <c r="DH5" s="16">
        <v>2003</v>
      </c>
      <c r="DI5" s="16">
        <v>1631</v>
      </c>
      <c r="DJ5" s="16">
        <v>1655</v>
      </c>
      <c r="DK5" s="16">
        <v>1655</v>
      </c>
      <c r="DL5" s="16">
        <v>2194500</v>
      </c>
      <c r="DM5" s="16">
        <v>-261</v>
      </c>
      <c r="DN5" s="16">
        <f>DM5/DG5*100</f>
        <v>-13.622129436325677</v>
      </c>
      <c r="DO5" s="16">
        <f>AVERAGE(DN2:DN6)</f>
        <v>-1.703814925411806</v>
      </c>
      <c r="DP5" s="18">
        <v>44531</v>
      </c>
      <c r="DQ5" s="16">
        <v>1644</v>
      </c>
      <c r="DR5" s="16">
        <v>1802</v>
      </c>
      <c r="DS5" s="16">
        <v>1574</v>
      </c>
      <c r="DT5" s="16">
        <v>1787</v>
      </c>
      <c r="DU5" s="16">
        <v>1787</v>
      </c>
      <c r="DV5" s="16">
        <v>1921100</v>
      </c>
      <c r="DW5" s="16">
        <v>143</v>
      </c>
      <c r="DX5" s="16">
        <f>DW5/DQ5*100</f>
        <v>8.6982968369829692</v>
      </c>
      <c r="DY5" s="16">
        <f>AVERAGE(DX2:DX6)</f>
        <v>1.4752552131217702</v>
      </c>
    </row>
    <row r="6" spans="1:129">
      <c r="A6" s="17">
        <v>43221</v>
      </c>
      <c r="B6" s="16">
        <v>2861</v>
      </c>
      <c r="C6" s="16">
        <v>2895</v>
      </c>
      <c r="D6" s="16">
        <v>2738</v>
      </c>
      <c r="E6" s="16">
        <v>2832</v>
      </c>
      <c r="F6" s="16">
        <v>2832</v>
      </c>
      <c r="G6" s="16">
        <v>2140400</v>
      </c>
      <c r="H6" s="16">
        <f t="shared" si="0"/>
        <v>-29</v>
      </c>
      <c r="J6" s="18">
        <v>44565</v>
      </c>
      <c r="K6" s="16">
        <v>1800</v>
      </c>
      <c r="L6" s="16">
        <v>1804</v>
      </c>
      <c r="M6" s="16">
        <v>1600</v>
      </c>
      <c r="N6" s="16">
        <v>1673</v>
      </c>
      <c r="O6" s="16">
        <v>1673</v>
      </c>
      <c r="P6" s="16">
        <v>2366700</v>
      </c>
      <c r="Q6" s="16">
        <v>-127</v>
      </c>
      <c r="R6" s="16">
        <f>Q6/K6*100</f>
        <v>-7.0555555555555554</v>
      </c>
      <c r="S6" s="16">
        <f>MEDIAN(R2:R6)</f>
        <v>0.22844089091947459</v>
      </c>
      <c r="T6" s="18">
        <v>44593</v>
      </c>
      <c r="U6" s="16">
        <v>1680</v>
      </c>
      <c r="V6" s="16">
        <v>1939</v>
      </c>
      <c r="W6" s="16">
        <v>1680</v>
      </c>
      <c r="X6" s="16">
        <v>1775</v>
      </c>
      <c r="Y6" s="16">
        <v>1775</v>
      </c>
      <c r="Z6" s="16">
        <v>1941500</v>
      </c>
      <c r="AA6" s="16">
        <v>95</v>
      </c>
      <c r="AB6" s="16">
        <f>AA6/U6*100</f>
        <v>5.6547619047619051</v>
      </c>
      <c r="AC6" s="16">
        <f>MEDIAN(AB2:AB6)</f>
        <v>1.5517241379310345</v>
      </c>
      <c r="AD6" s="18">
        <v>44621</v>
      </c>
      <c r="AE6" s="16">
        <v>1777</v>
      </c>
      <c r="AF6" s="16">
        <v>1970</v>
      </c>
      <c r="AG6" s="16">
        <v>1597</v>
      </c>
      <c r="AH6" s="16">
        <v>1874</v>
      </c>
      <c r="AI6" s="16">
        <v>1874</v>
      </c>
      <c r="AJ6" s="16">
        <v>2401000</v>
      </c>
      <c r="AK6" s="16">
        <v>97</v>
      </c>
      <c r="AL6" s="16">
        <f>AK6/AE6*100</f>
        <v>5.4586381541924593</v>
      </c>
      <c r="AM6" s="16">
        <f>MEDIAN(AL2:AL6)</f>
        <v>-2.591549295774648</v>
      </c>
      <c r="AN6" s="18">
        <v>44652</v>
      </c>
      <c r="AO6" s="16">
        <v>1868</v>
      </c>
      <c r="AP6" s="16">
        <v>1896</v>
      </c>
      <c r="AQ6" s="16">
        <v>1724</v>
      </c>
      <c r="AR6" s="16">
        <v>1773</v>
      </c>
      <c r="AS6" s="16">
        <v>1773</v>
      </c>
      <c r="AT6" s="16">
        <v>1036200</v>
      </c>
      <c r="AU6" s="16">
        <v>-95</v>
      </c>
      <c r="AV6" s="16">
        <f>AU6/AO6*100</f>
        <v>-5.0856531049250542</v>
      </c>
      <c r="AW6" s="16">
        <f>MEDIAN(AV2:AV6)</f>
        <v>-4.6246246246246248</v>
      </c>
      <c r="AX6" s="18">
        <v>44683</v>
      </c>
      <c r="AY6" s="16">
        <v>1759</v>
      </c>
      <c r="AZ6" s="16">
        <v>1926</v>
      </c>
      <c r="BA6" s="16">
        <v>1687</v>
      </c>
      <c r="BB6" s="16">
        <v>1898</v>
      </c>
      <c r="BC6" s="16">
        <v>1898</v>
      </c>
      <c r="BD6" s="16">
        <v>914400</v>
      </c>
      <c r="BE6" s="16">
        <v>139</v>
      </c>
      <c r="BF6" s="16">
        <f>BE6/AY6*100</f>
        <v>7.9022171688459348</v>
      </c>
      <c r="BG6" s="16">
        <f>MEDIAN(BF2:BF6)</f>
        <v>7.9022171688459348</v>
      </c>
      <c r="BH6" s="18">
        <v>44713</v>
      </c>
      <c r="BI6" s="16">
        <v>1900</v>
      </c>
      <c r="BJ6" s="16">
        <v>2441</v>
      </c>
      <c r="BK6" s="16">
        <v>1892</v>
      </c>
      <c r="BL6" s="16">
        <v>2358</v>
      </c>
      <c r="BM6" s="16">
        <v>2358</v>
      </c>
      <c r="BN6" s="16">
        <v>4935700</v>
      </c>
      <c r="BO6" s="16">
        <v>458</v>
      </c>
      <c r="BP6" s="16">
        <f>BO6/BI6*100</f>
        <v>24.105263157894736</v>
      </c>
      <c r="BQ6" s="16">
        <f>MEDIAN(BP2:BP6)</f>
        <v>0.27917364600781686</v>
      </c>
      <c r="BR6" s="18">
        <v>44743</v>
      </c>
      <c r="BS6" s="16">
        <v>2355</v>
      </c>
      <c r="BT6" s="16">
        <v>2356</v>
      </c>
      <c r="BU6" s="16">
        <v>2113</v>
      </c>
      <c r="BV6" s="16">
        <v>2300</v>
      </c>
      <c r="BW6" s="16">
        <v>2300</v>
      </c>
      <c r="BX6" s="16">
        <v>3469000</v>
      </c>
      <c r="BY6" s="16">
        <v>-55</v>
      </c>
      <c r="BZ6" s="16">
        <f>BY6/BS6*100</f>
        <v>-2.335456475583864</v>
      </c>
      <c r="CA6" s="16">
        <f>MEDIAN(BZ2:BZ6)</f>
        <v>-5.1202137132680319</v>
      </c>
      <c r="CB6" s="18">
        <v>44774</v>
      </c>
      <c r="CC6" s="16">
        <v>2296</v>
      </c>
      <c r="CD6" s="16">
        <v>2369</v>
      </c>
      <c r="CE6" s="16">
        <v>2132</v>
      </c>
      <c r="CF6" s="16">
        <v>2165</v>
      </c>
      <c r="CG6" s="16">
        <v>2165</v>
      </c>
      <c r="CH6" s="16">
        <v>1533200</v>
      </c>
      <c r="CI6" s="16">
        <v>-131</v>
      </c>
      <c r="CJ6" s="16">
        <f>CI6/CC6*100</f>
        <v>-5.7055749128919864</v>
      </c>
      <c r="CK6" s="16">
        <f>MEDIAN(CJ2:CJ6)</f>
        <v>-0.14104372355430184</v>
      </c>
      <c r="CL6" s="18">
        <v>44805</v>
      </c>
      <c r="CM6" s="16">
        <v>2164</v>
      </c>
      <c r="CN6" s="16">
        <v>2548</v>
      </c>
      <c r="CO6" s="16">
        <v>1985</v>
      </c>
      <c r="CP6" s="16">
        <v>2400</v>
      </c>
      <c r="CQ6" s="16">
        <v>2400</v>
      </c>
      <c r="CR6" s="16">
        <v>7376400</v>
      </c>
      <c r="CS6" s="16">
        <v>236</v>
      </c>
      <c r="CT6" s="16">
        <f>CS6/CM6*100</f>
        <v>10.905730129390019</v>
      </c>
      <c r="CU6" s="16">
        <f>MEDIAN(CT2:CT6)</f>
        <v>10.905730129390019</v>
      </c>
      <c r="CV6" s="18">
        <v>44837</v>
      </c>
      <c r="CW6" s="16">
        <v>2377</v>
      </c>
      <c r="CX6" s="16">
        <v>2380</v>
      </c>
      <c r="CY6" s="16">
        <v>2051</v>
      </c>
      <c r="CZ6" s="16">
        <v>2120</v>
      </c>
      <c r="DA6" s="16">
        <v>2120</v>
      </c>
      <c r="DB6" s="16">
        <v>2258600</v>
      </c>
      <c r="DC6" s="16">
        <v>-257</v>
      </c>
      <c r="DD6" s="16">
        <f>DC6/CW6*100</f>
        <v>-10.811947833403449</v>
      </c>
      <c r="DE6" s="16">
        <f>MEDIAN(DD2:DD6)</f>
        <v>-14.000000000000002</v>
      </c>
      <c r="DF6" s="18">
        <v>44866</v>
      </c>
      <c r="DG6" s="16">
        <v>2130</v>
      </c>
      <c r="DH6" s="16">
        <v>2495</v>
      </c>
      <c r="DI6" s="16">
        <v>2105</v>
      </c>
      <c r="DJ6" s="16">
        <v>2445</v>
      </c>
      <c r="DK6" s="16">
        <v>2445</v>
      </c>
      <c r="DL6" s="16">
        <v>2042400</v>
      </c>
      <c r="DM6" s="16">
        <v>315</v>
      </c>
      <c r="DN6" s="16">
        <f>DM6/DG6*100</f>
        <v>14.788732394366196</v>
      </c>
      <c r="DO6" s="16">
        <f>MEDIAN(DN2:DN6)</f>
        <v>-5.8000000000000007</v>
      </c>
      <c r="DP6" s="18">
        <v>44896</v>
      </c>
      <c r="DQ6" s="16">
        <v>2430</v>
      </c>
      <c r="DR6" s="16">
        <v>2555</v>
      </c>
      <c r="DS6" s="16">
        <v>1964</v>
      </c>
      <c r="DT6" s="16">
        <v>2052</v>
      </c>
      <c r="DU6" s="16">
        <v>2052</v>
      </c>
      <c r="DV6" s="16">
        <v>5079500</v>
      </c>
      <c r="DW6" s="16">
        <v>-378</v>
      </c>
      <c r="DX6" s="16">
        <f>DW6/DQ6*100</f>
        <v>-15.555555555555555</v>
      </c>
      <c r="DY6" s="16">
        <f>MEDIAN(DX2:DX6)</f>
        <v>5.8309037900874632</v>
      </c>
    </row>
    <row r="7" spans="1:129">
      <c r="A7" s="17">
        <v>43252</v>
      </c>
      <c r="B7" s="16">
        <v>2803</v>
      </c>
      <c r="C7" s="16">
        <v>2899</v>
      </c>
      <c r="D7" s="16">
        <v>2504</v>
      </c>
      <c r="E7" s="16">
        <v>2597</v>
      </c>
      <c r="F7" s="16">
        <v>2597</v>
      </c>
      <c r="G7" s="16">
        <v>3111500</v>
      </c>
      <c r="H7" s="16">
        <f t="shared" si="0"/>
        <v>-206</v>
      </c>
    </row>
    <row r="8" spans="1:129">
      <c r="A8" s="17">
        <v>43283</v>
      </c>
      <c r="B8" s="16">
        <v>2598</v>
      </c>
      <c r="C8" s="16">
        <v>2618</v>
      </c>
      <c r="D8" s="16">
        <v>2131</v>
      </c>
      <c r="E8" s="16">
        <v>2433</v>
      </c>
      <c r="F8" s="16">
        <v>2433</v>
      </c>
      <c r="G8" s="16">
        <v>3325700</v>
      </c>
      <c r="H8" s="16">
        <f t="shared" si="0"/>
        <v>-165</v>
      </c>
    </row>
    <row r="9" spans="1:129">
      <c r="A9" s="17">
        <v>43313</v>
      </c>
      <c r="B9" s="16">
        <v>2450</v>
      </c>
      <c r="C9" s="16">
        <v>2450</v>
      </c>
      <c r="D9" s="16">
        <v>2151</v>
      </c>
      <c r="E9" s="16">
        <v>2322</v>
      </c>
      <c r="F9" s="16">
        <v>2322</v>
      </c>
      <c r="G9" s="16">
        <v>1218600</v>
      </c>
      <c r="H9" s="16">
        <f t="shared" si="0"/>
        <v>-128</v>
      </c>
    </row>
    <row r="10" spans="1:129">
      <c r="A10" s="17">
        <v>43346</v>
      </c>
      <c r="B10" s="16">
        <v>2322</v>
      </c>
      <c r="C10" s="16">
        <v>2403</v>
      </c>
      <c r="D10" s="16">
        <v>2010</v>
      </c>
      <c r="E10" s="16">
        <v>2375</v>
      </c>
      <c r="F10" s="16">
        <v>2375</v>
      </c>
      <c r="G10" s="16">
        <v>2116400</v>
      </c>
      <c r="H10" s="16">
        <f t="shared" si="0"/>
        <v>53</v>
      </c>
    </row>
    <row r="11" spans="1:129">
      <c r="A11" s="17">
        <v>43374</v>
      </c>
      <c r="B11" s="16">
        <v>2400</v>
      </c>
      <c r="C11" s="16">
        <v>2524</v>
      </c>
      <c r="D11" s="16">
        <v>1913</v>
      </c>
      <c r="E11" s="16">
        <v>2064</v>
      </c>
      <c r="F11" s="16">
        <v>2064</v>
      </c>
      <c r="G11" s="16">
        <v>2292700</v>
      </c>
      <c r="H11" s="16">
        <f t="shared" si="0"/>
        <v>-336</v>
      </c>
    </row>
    <row r="12" spans="1:129">
      <c r="A12" s="17">
        <v>43405</v>
      </c>
      <c r="B12" s="16">
        <v>2076</v>
      </c>
      <c r="C12" s="16">
        <v>2270</v>
      </c>
      <c r="D12" s="16">
        <v>2031</v>
      </c>
      <c r="E12" s="16">
        <v>2242</v>
      </c>
      <c r="F12" s="16">
        <v>2242</v>
      </c>
      <c r="G12" s="16">
        <v>1157900</v>
      </c>
      <c r="H12" s="16">
        <f t="shared" si="0"/>
        <v>166</v>
      </c>
    </row>
    <row r="13" spans="1:129">
      <c r="A13" s="17">
        <v>43437</v>
      </c>
      <c r="B13" s="16">
        <v>2245</v>
      </c>
      <c r="C13" s="16">
        <v>2247</v>
      </c>
      <c r="D13" s="16">
        <v>1650</v>
      </c>
      <c r="E13" s="16">
        <v>1814</v>
      </c>
      <c r="F13" s="16">
        <v>1814</v>
      </c>
      <c r="G13" s="16">
        <v>1809000</v>
      </c>
      <c r="H13" s="16">
        <f t="shared" si="0"/>
        <v>-431</v>
      </c>
    </row>
    <row r="14" spans="1:129">
      <c r="A14" s="17">
        <v>43469</v>
      </c>
      <c r="B14" s="16">
        <v>1751</v>
      </c>
      <c r="C14" s="16">
        <v>1973</v>
      </c>
      <c r="D14" s="16">
        <v>1725</v>
      </c>
      <c r="E14" s="16">
        <v>1755</v>
      </c>
      <c r="F14" s="16">
        <v>1755</v>
      </c>
      <c r="G14" s="16">
        <v>1379000</v>
      </c>
      <c r="H14" s="16">
        <f t="shared" si="0"/>
        <v>4</v>
      </c>
    </row>
    <row r="15" spans="1:129">
      <c r="A15" s="17">
        <v>43497</v>
      </c>
      <c r="B15" s="16">
        <v>1740</v>
      </c>
      <c r="C15" s="16">
        <v>1836</v>
      </c>
      <c r="D15" s="16">
        <v>1696</v>
      </c>
      <c r="E15" s="16">
        <v>1767</v>
      </c>
      <c r="F15" s="16">
        <v>1767</v>
      </c>
      <c r="G15" s="16">
        <v>764600</v>
      </c>
      <c r="H15" s="16">
        <f t="shared" si="0"/>
        <v>27</v>
      </c>
    </row>
    <row r="16" spans="1:129">
      <c r="A16" s="17">
        <v>43525</v>
      </c>
      <c r="B16" s="16">
        <v>1775</v>
      </c>
      <c r="C16" s="16">
        <v>1810</v>
      </c>
      <c r="D16" s="16">
        <v>1478</v>
      </c>
      <c r="E16" s="16">
        <v>1729</v>
      </c>
      <c r="F16" s="16">
        <v>1729</v>
      </c>
      <c r="G16" s="16">
        <v>2457400</v>
      </c>
      <c r="H16" s="16">
        <f t="shared" si="0"/>
        <v>-46</v>
      </c>
    </row>
    <row r="17" spans="1:8">
      <c r="A17" s="17">
        <v>43556</v>
      </c>
      <c r="B17" s="16">
        <v>1750</v>
      </c>
      <c r="C17" s="16">
        <v>1939</v>
      </c>
      <c r="D17" s="16">
        <v>1720</v>
      </c>
      <c r="E17" s="16">
        <v>1893</v>
      </c>
      <c r="F17" s="16">
        <v>1893</v>
      </c>
      <c r="G17" s="16">
        <v>1133600</v>
      </c>
      <c r="H17" s="16">
        <f t="shared" si="0"/>
        <v>143</v>
      </c>
    </row>
    <row r="18" spans="1:8">
      <c r="A18" s="17">
        <v>43592</v>
      </c>
      <c r="B18" s="16">
        <v>1911</v>
      </c>
      <c r="C18" s="16">
        <v>1987</v>
      </c>
      <c r="D18" s="16">
        <v>1766</v>
      </c>
      <c r="E18" s="16">
        <v>1899</v>
      </c>
      <c r="F18" s="16">
        <v>1899</v>
      </c>
      <c r="G18" s="16">
        <v>894300</v>
      </c>
      <c r="H18" s="16">
        <f t="shared" si="0"/>
        <v>-12</v>
      </c>
    </row>
    <row r="19" spans="1:8">
      <c r="A19" s="17">
        <v>43619</v>
      </c>
      <c r="B19" s="16">
        <v>1867</v>
      </c>
      <c r="C19" s="16">
        <v>2291</v>
      </c>
      <c r="D19" s="16">
        <v>1847</v>
      </c>
      <c r="E19" s="16">
        <v>2237</v>
      </c>
      <c r="F19" s="16">
        <v>2237</v>
      </c>
      <c r="G19" s="16">
        <v>1509200</v>
      </c>
      <c r="H19" s="16">
        <f t="shared" si="0"/>
        <v>370</v>
      </c>
    </row>
    <row r="20" spans="1:8">
      <c r="A20" s="17">
        <v>43647</v>
      </c>
      <c r="B20" s="16">
        <v>2246</v>
      </c>
      <c r="C20" s="16">
        <v>2303</v>
      </c>
      <c r="D20" s="16">
        <v>2092</v>
      </c>
      <c r="E20" s="16">
        <v>2131</v>
      </c>
      <c r="F20" s="16">
        <v>2131</v>
      </c>
      <c r="G20" s="16">
        <v>1732600</v>
      </c>
      <c r="H20" s="16">
        <f t="shared" si="0"/>
        <v>-115</v>
      </c>
    </row>
    <row r="21" spans="1:8">
      <c r="A21" s="17">
        <v>43678</v>
      </c>
      <c r="B21" s="16">
        <v>2127</v>
      </c>
      <c r="C21" s="16">
        <v>2209</v>
      </c>
      <c r="D21" s="16">
        <v>2035</v>
      </c>
      <c r="E21" s="16">
        <v>2124</v>
      </c>
      <c r="F21" s="16">
        <v>2124</v>
      </c>
      <c r="G21" s="16">
        <v>772700</v>
      </c>
      <c r="H21" s="16">
        <f t="shared" si="0"/>
        <v>-3</v>
      </c>
    </row>
    <row r="22" spans="1:8">
      <c r="A22" s="17">
        <v>43710</v>
      </c>
      <c r="B22" s="16">
        <v>2124</v>
      </c>
      <c r="C22" s="16">
        <v>2498</v>
      </c>
      <c r="D22" s="16">
        <v>2097</v>
      </c>
      <c r="E22" s="16">
        <v>2425</v>
      </c>
      <c r="F22" s="16">
        <v>2425</v>
      </c>
      <c r="G22" s="16">
        <v>1536900</v>
      </c>
      <c r="H22" s="16">
        <f t="shared" si="0"/>
        <v>301</v>
      </c>
    </row>
    <row r="23" spans="1:8">
      <c r="A23" s="17">
        <v>43739</v>
      </c>
      <c r="B23" s="16">
        <v>2418</v>
      </c>
      <c r="C23" s="16">
        <v>2491</v>
      </c>
      <c r="D23" s="16">
        <v>1996</v>
      </c>
      <c r="E23" s="16">
        <v>2002</v>
      </c>
      <c r="F23" s="16">
        <v>2002</v>
      </c>
      <c r="G23" s="16">
        <v>1650800</v>
      </c>
      <c r="H23" s="16">
        <f t="shared" si="0"/>
        <v>-416</v>
      </c>
    </row>
    <row r="24" spans="1:8">
      <c r="A24" s="17">
        <v>43770</v>
      </c>
      <c r="B24" s="16">
        <v>2000</v>
      </c>
      <c r="C24" s="16">
        <v>2057</v>
      </c>
      <c r="D24" s="16">
        <v>1881</v>
      </c>
      <c r="E24" s="16">
        <v>1884</v>
      </c>
      <c r="F24" s="16">
        <v>1884</v>
      </c>
      <c r="G24" s="16">
        <v>1275700</v>
      </c>
      <c r="H24" s="16">
        <f t="shared" si="0"/>
        <v>-116</v>
      </c>
    </row>
    <row r="25" spans="1:8">
      <c r="A25" s="17">
        <v>43801</v>
      </c>
      <c r="B25" s="16">
        <v>1884</v>
      </c>
      <c r="C25" s="16">
        <v>2444</v>
      </c>
      <c r="D25" s="16">
        <v>1881</v>
      </c>
      <c r="E25" s="16">
        <v>2404</v>
      </c>
      <c r="F25" s="16">
        <v>2404</v>
      </c>
      <c r="G25" s="16">
        <v>6040600</v>
      </c>
      <c r="H25" s="16">
        <f t="shared" si="0"/>
        <v>520</v>
      </c>
    </row>
    <row r="26" spans="1:8">
      <c r="A26" s="17">
        <v>43836</v>
      </c>
      <c r="B26" s="16">
        <v>2370</v>
      </c>
      <c r="C26" s="16">
        <v>2670</v>
      </c>
      <c r="D26" s="16">
        <v>2330</v>
      </c>
      <c r="E26" s="16">
        <v>2582</v>
      </c>
      <c r="F26" s="16">
        <v>2582</v>
      </c>
      <c r="G26" s="16">
        <v>3336000</v>
      </c>
      <c r="H26" s="16">
        <f t="shared" si="0"/>
        <v>212</v>
      </c>
    </row>
    <row r="27" spans="1:8">
      <c r="A27" s="17">
        <v>43864</v>
      </c>
      <c r="B27" s="16">
        <v>2516</v>
      </c>
      <c r="C27" s="16">
        <v>2698</v>
      </c>
      <c r="D27" s="16">
        <v>1942</v>
      </c>
      <c r="E27" s="16">
        <v>1961</v>
      </c>
      <c r="F27" s="16">
        <v>1961</v>
      </c>
      <c r="G27" s="16">
        <v>3698400</v>
      </c>
      <c r="H27" s="16">
        <f t="shared" si="0"/>
        <v>-555</v>
      </c>
    </row>
    <row r="28" spans="1:8">
      <c r="A28" s="17">
        <v>43892</v>
      </c>
      <c r="B28" s="16">
        <v>1988</v>
      </c>
      <c r="C28" s="16">
        <v>2250</v>
      </c>
      <c r="D28" s="16">
        <v>1562</v>
      </c>
      <c r="E28" s="16">
        <v>1618</v>
      </c>
      <c r="F28" s="16">
        <v>1618</v>
      </c>
      <c r="G28" s="16">
        <v>7098400</v>
      </c>
      <c r="H28" s="16">
        <f t="shared" si="0"/>
        <v>-370</v>
      </c>
    </row>
    <row r="29" spans="1:8">
      <c r="A29" s="17">
        <v>43922</v>
      </c>
      <c r="B29" s="16">
        <v>1617</v>
      </c>
      <c r="C29" s="16">
        <v>1625</v>
      </c>
      <c r="D29" s="16">
        <v>1190</v>
      </c>
      <c r="E29" s="16">
        <v>1562</v>
      </c>
      <c r="F29" s="16">
        <v>1562</v>
      </c>
      <c r="G29" s="16">
        <v>6848100</v>
      </c>
      <c r="H29" s="16">
        <f t="shared" si="0"/>
        <v>-55</v>
      </c>
    </row>
    <row r="30" spans="1:8">
      <c r="A30" s="17">
        <v>43952</v>
      </c>
      <c r="B30" s="16">
        <v>1544</v>
      </c>
      <c r="C30" s="16">
        <v>2018</v>
      </c>
      <c r="D30" s="16">
        <v>1475</v>
      </c>
      <c r="E30" s="16">
        <v>1874</v>
      </c>
      <c r="F30" s="16">
        <v>1874</v>
      </c>
      <c r="G30" s="16">
        <v>6019100</v>
      </c>
      <c r="H30" s="16">
        <f t="shared" si="0"/>
        <v>330</v>
      </c>
    </row>
    <row r="31" spans="1:8">
      <c r="A31" s="17">
        <v>43983</v>
      </c>
      <c r="B31" s="16">
        <v>1890</v>
      </c>
      <c r="C31" s="16">
        <v>1933</v>
      </c>
      <c r="D31" s="16">
        <v>1497</v>
      </c>
      <c r="E31" s="16">
        <v>1504</v>
      </c>
      <c r="F31" s="16">
        <v>1504</v>
      </c>
      <c r="G31" s="16">
        <v>6008900</v>
      </c>
      <c r="H31" s="16">
        <f t="shared" si="0"/>
        <v>-386</v>
      </c>
    </row>
    <row r="32" spans="1:8">
      <c r="A32" s="17">
        <v>44013</v>
      </c>
      <c r="B32" s="16">
        <v>1500</v>
      </c>
      <c r="C32" s="16">
        <v>1541</v>
      </c>
      <c r="D32" s="16">
        <v>1228</v>
      </c>
      <c r="E32" s="16">
        <v>1240</v>
      </c>
      <c r="F32" s="16">
        <v>1240</v>
      </c>
      <c r="G32" s="16">
        <v>4328900</v>
      </c>
      <c r="H32" s="16">
        <f t="shared" si="0"/>
        <v>-260</v>
      </c>
    </row>
    <row r="33" spans="1:8">
      <c r="A33" s="17">
        <v>44046</v>
      </c>
      <c r="B33" s="16">
        <v>1190</v>
      </c>
      <c r="C33" s="16">
        <v>1537</v>
      </c>
      <c r="D33" s="16">
        <v>1163</v>
      </c>
      <c r="E33" s="16">
        <v>1463</v>
      </c>
      <c r="F33" s="16">
        <v>1463</v>
      </c>
      <c r="G33" s="16">
        <v>3374700</v>
      </c>
      <c r="H33" s="16">
        <f t="shared" si="0"/>
        <v>273</v>
      </c>
    </row>
    <row r="34" spans="1:8">
      <c r="A34" s="17">
        <v>44075</v>
      </c>
      <c r="B34" s="16">
        <v>1464</v>
      </c>
      <c r="C34" s="16">
        <v>1570</v>
      </c>
      <c r="D34" s="16">
        <v>1409</v>
      </c>
      <c r="E34" s="16">
        <v>1477</v>
      </c>
      <c r="F34" s="16">
        <v>1477</v>
      </c>
      <c r="G34" s="16">
        <v>3314500</v>
      </c>
      <c r="H34" s="16">
        <f t="shared" ref="H34:H61" si="1">E34-B34</f>
        <v>13</v>
      </c>
    </row>
    <row r="35" spans="1:8">
      <c r="A35" s="17">
        <v>44106</v>
      </c>
      <c r="B35" s="16">
        <v>1513</v>
      </c>
      <c r="C35" s="16">
        <v>1659</v>
      </c>
      <c r="D35" s="16">
        <v>1480</v>
      </c>
      <c r="E35" s="16">
        <v>1529</v>
      </c>
      <c r="F35" s="16">
        <v>1529</v>
      </c>
      <c r="G35" s="16">
        <v>3752400</v>
      </c>
      <c r="H35" s="16">
        <f t="shared" si="1"/>
        <v>16</v>
      </c>
    </row>
    <row r="36" spans="1:8">
      <c r="A36" s="17">
        <v>44137</v>
      </c>
      <c r="B36" s="16">
        <v>1557</v>
      </c>
      <c r="C36" s="16">
        <v>1676</v>
      </c>
      <c r="D36" s="16">
        <v>1342</v>
      </c>
      <c r="E36" s="16">
        <v>1372</v>
      </c>
      <c r="F36" s="16">
        <v>1372</v>
      </c>
      <c r="G36" s="16">
        <v>3600900</v>
      </c>
      <c r="H36" s="16">
        <f t="shared" si="1"/>
        <v>-185</v>
      </c>
    </row>
    <row r="37" spans="1:8">
      <c r="A37" s="17">
        <v>44166</v>
      </c>
      <c r="B37" s="16">
        <v>1372</v>
      </c>
      <c r="C37" s="16">
        <v>1564</v>
      </c>
      <c r="D37" s="16">
        <v>1372</v>
      </c>
      <c r="E37" s="16">
        <v>1452</v>
      </c>
      <c r="F37" s="16">
        <v>1452</v>
      </c>
      <c r="G37" s="16">
        <v>2290600</v>
      </c>
      <c r="H37" s="16">
        <f t="shared" si="1"/>
        <v>80</v>
      </c>
    </row>
    <row r="38" spans="1:8">
      <c r="A38" s="17">
        <v>44200</v>
      </c>
      <c r="B38" s="16">
        <v>1427</v>
      </c>
      <c r="C38" s="16">
        <v>1554</v>
      </c>
      <c r="D38" s="16">
        <v>1316</v>
      </c>
      <c r="E38" s="16">
        <v>1471</v>
      </c>
      <c r="F38" s="16">
        <v>1471</v>
      </c>
      <c r="G38" s="16">
        <v>3511300</v>
      </c>
      <c r="H38" s="16">
        <f t="shared" si="1"/>
        <v>44</v>
      </c>
    </row>
    <row r="39" spans="1:8">
      <c r="A39" s="17">
        <v>44228</v>
      </c>
      <c r="B39" s="16">
        <v>1474</v>
      </c>
      <c r="C39" s="16">
        <v>1873</v>
      </c>
      <c r="D39" s="16">
        <v>1453</v>
      </c>
      <c r="E39" s="16">
        <v>1770</v>
      </c>
      <c r="F39" s="16">
        <v>1770</v>
      </c>
      <c r="G39" s="16">
        <v>2684400</v>
      </c>
      <c r="H39" s="16">
        <f t="shared" si="1"/>
        <v>296</v>
      </c>
    </row>
    <row r="40" spans="1:8">
      <c r="A40" s="17">
        <v>44256</v>
      </c>
      <c r="B40" s="16">
        <v>1799</v>
      </c>
      <c r="C40" s="16">
        <v>1927</v>
      </c>
      <c r="D40" s="16">
        <v>1610</v>
      </c>
      <c r="E40" s="16">
        <v>1645</v>
      </c>
      <c r="F40" s="16">
        <v>1645</v>
      </c>
      <c r="G40" s="16">
        <v>3455600</v>
      </c>
      <c r="H40" s="16">
        <f t="shared" si="1"/>
        <v>-154</v>
      </c>
    </row>
    <row r="41" spans="1:8">
      <c r="A41" s="17">
        <v>44287</v>
      </c>
      <c r="B41" s="16">
        <v>1665</v>
      </c>
      <c r="C41" s="16">
        <v>1730</v>
      </c>
      <c r="D41" s="16">
        <v>1503</v>
      </c>
      <c r="E41" s="16">
        <v>1588</v>
      </c>
      <c r="F41" s="16">
        <v>1588</v>
      </c>
      <c r="G41" s="16">
        <v>2193100</v>
      </c>
      <c r="H41" s="16">
        <f t="shared" si="1"/>
        <v>-77</v>
      </c>
    </row>
    <row r="42" spans="1:8">
      <c r="A42" s="17">
        <v>44322</v>
      </c>
      <c r="B42" s="16">
        <v>1600</v>
      </c>
      <c r="C42" s="16">
        <v>1801</v>
      </c>
      <c r="D42" s="16">
        <v>1555</v>
      </c>
      <c r="E42" s="16">
        <v>1778</v>
      </c>
      <c r="F42" s="16">
        <v>1778</v>
      </c>
      <c r="G42" s="16">
        <v>1952700</v>
      </c>
      <c r="H42" s="16">
        <f t="shared" si="1"/>
        <v>178</v>
      </c>
    </row>
    <row r="43" spans="1:8">
      <c r="A43" s="17">
        <v>44348</v>
      </c>
      <c r="B43" s="16">
        <v>1791</v>
      </c>
      <c r="C43" s="16">
        <v>2031</v>
      </c>
      <c r="D43" s="16">
        <v>1758</v>
      </c>
      <c r="E43" s="16">
        <v>1796</v>
      </c>
      <c r="F43" s="16">
        <v>1796</v>
      </c>
      <c r="G43" s="16">
        <v>3201400</v>
      </c>
      <c r="H43" s="16">
        <f t="shared" si="1"/>
        <v>5</v>
      </c>
    </row>
    <row r="44" spans="1:8">
      <c r="A44" s="17">
        <v>44378</v>
      </c>
      <c r="B44" s="16">
        <v>1796</v>
      </c>
      <c r="C44" s="16">
        <v>1934</v>
      </c>
      <c r="D44" s="16">
        <v>1711</v>
      </c>
      <c r="E44" s="16">
        <v>1730</v>
      </c>
      <c r="F44" s="16">
        <v>1730</v>
      </c>
      <c r="G44" s="16">
        <v>2408600</v>
      </c>
      <c r="H44" s="16">
        <f t="shared" si="1"/>
        <v>-66</v>
      </c>
    </row>
    <row r="45" spans="1:8">
      <c r="A45" s="17">
        <v>44410</v>
      </c>
      <c r="B45" s="16">
        <v>1727</v>
      </c>
      <c r="C45" s="16">
        <v>1836</v>
      </c>
      <c r="D45" s="16">
        <v>1593</v>
      </c>
      <c r="E45" s="16">
        <v>1784</v>
      </c>
      <c r="F45" s="16">
        <v>1784</v>
      </c>
      <c r="G45" s="16">
        <v>2059300</v>
      </c>
      <c r="H45" s="16">
        <f t="shared" si="1"/>
        <v>57</v>
      </c>
    </row>
    <row r="46" spans="1:8">
      <c r="A46" s="17">
        <v>44440</v>
      </c>
      <c r="B46" s="16">
        <v>1797</v>
      </c>
      <c r="C46" s="16">
        <v>2279</v>
      </c>
      <c r="D46" s="16">
        <v>1775</v>
      </c>
      <c r="E46" s="16">
        <v>2225</v>
      </c>
      <c r="F46" s="16">
        <v>2225</v>
      </c>
      <c r="G46" s="16">
        <v>5329500</v>
      </c>
      <c r="H46" s="16">
        <f t="shared" si="1"/>
        <v>428</v>
      </c>
    </row>
    <row r="47" spans="1:8">
      <c r="A47" s="17">
        <v>44470</v>
      </c>
      <c r="B47" s="16">
        <v>2210</v>
      </c>
      <c r="C47" s="16">
        <v>2220</v>
      </c>
      <c r="D47" s="16">
        <v>1855</v>
      </c>
      <c r="E47" s="16">
        <v>1876</v>
      </c>
      <c r="F47" s="16">
        <v>1876</v>
      </c>
      <c r="G47" s="16">
        <v>2933500</v>
      </c>
      <c r="H47" s="16">
        <f t="shared" si="1"/>
        <v>-334</v>
      </c>
    </row>
    <row r="48" spans="1:8">
      <c r="A48" s="17">
        <v>44501</v>
      </c>
      <c r="B48" s="16">
        <v>1916</v>
      </c>
      <c r="C48" s="16">
        <v>2003</v>
      </c>
      <c r="D48" s="16">
        <v>1631</v>
      </c>
      <c r="E48" s="16">
        <v>1655</v>
      </c>
      <c r="F48" s="16">
        <v>1655</v>
      </c>
      <c r="G48" s="16">
        <v>2194500</v>
      </c>
      <c r="H48" s="16">
        <f t="shared" si="1"/>
        <v>-261</v>
      </c>
    </row>
    <row r="49" spans="1:8">
      <c r="A49" s="17">
        <v>44531</v>
      </c>
      <c r="B49" s="16">
        <v>1644</v>
      </c>
      <c r="C49" s="16">
        <v>1802</v>
      </c>
      <c r="D49" s="16">
        <v>1574</v>
      </c>
      <c r="E49" s="16">
        <v>1787</v>
      </c>
      <c r="F49" s="16">
        <v>1787</v>
      </c>
      <c r="G49" s="16">
        <v>1921100</v>
      </c>
      <c r="H49" s="16">
        <f t="shared" si="1"/>
        <v>143</v>
      </c>
    </row>
    <row r="50" spans="1:8">
      <c r="A50" s="17">
        <v>44565</v>
      </c>
      <c r="B50" s="16">
        <v>1800</v>
      </c>
      <c r="C50" s="16">
        <v>1804</v>
      </c>
      <c r="D50" s="16">
        <v>1600</v>
      </c>
      <c r="E50" s="16">
        <v>1673</v>
      </c>
      <c r="F50" s="16">
        <v>1673</v>
      </c>
      <c r="G50" s="16">
        <v>2366700</v>
      </c>
      <c r="H50" s="16">
        <f t="shared" si="1"/>
        <v>-127</v>
      </c>
    </row>
    <row r="51" spans="1:8">
      <c r="A51" s="17">
        <v>44593</v>
      </c>
      <c r="B51" s="16">
        <v>1680</v>
      </c>
      <c r="C51" s="16">
        <v>1939</v>
      </c>
      <c r="D51" s="16">
        <v>1680</v>
      </c>
      <c r="E51" s="16">
        <v>1775</v>
      </c>
      <c r="F51" s="16">
        <v>1775</v>
      </c>
      <c r="G51" s="16">
        <v>1941500</v>
      </c>
      <c r="H51" s="16">
        <f t="shared" si="1"/>
        <v>95</v>
      </c>
    </row>
    <row r="52" spans="1:8">
      <c r="A52" s="17">
        <v>44621</v>
      </c>
      <c r="B52" s="16">
        <v>1777</v>
      </c>
      <c r="C52" s="16">
        <v>1970</v>
      </c>
      <c r="D52" s="16">
        <v>1597</v>
      </c>
      <c r="E52" s="16">
        <v>1874</v>
      </c>
      <c r="F52" s="16">
        <v>1874</v>
      </c>
      <c r="G52" s="16">
        <v>2401000</v>
      </c>
      <c r="H52" s="16">
        <f t="shared" si="1"/>
        <v>97</v>
      </c>
    </row>
    <row r="53" spans="1:8">
      <c r="A53" s="17">
        <v>44652</v>
      </c>
      <c r="B53" s="16">
        <v>1868</v>
      </c>
      <c r="C53" s="16">
        <v>1896</v>
      </c>
      <c r="D53" s="16">
        <v>1724</v>
      </c>
      <c r="E53" s="16">
        <v>1773</v>
      </c>
      <c r="F53" s="16">
        <v>1773</v>
      </c>
      <c r="G53" s="16">
        <v>1036200</v>
      </c>
      <c r="H53" s="16">
        <f t="shared" si="1"/>
        <v>-95</v>
      </c>
    </row>
    <row r="54" spans="1:8">
      <c r="A54" s="17">
        <v>44683</v>
      </c>
      <c r="B54" s="16">
        <v>1759</v>
      </c>
      <c r="C54" s="16">
        <v>1926</v>
      </c>
      <c r="D54" s="16">
        <v>1687</v>
      </c>
      <c r="E54" s="16">
        <v>1898</v>
      </c>
      <c r="F54" s="16">
        <v>1898</v>
      </c>
      <c r="G54" s="16">
        <v>914400</v>
      </c>
      <c r="H54" s="16">
        <f t="shared" si="1"/>
        <v>139</v>
      </c>
    </row>
    <row r="55" spans="1:8">
      <c r="A55" s="17">
        <v>44713</v>
      </c>
      <c r="B55" s="16">
        <v>1900</v>
      </c>
      <c r="C55" s="16">
        <v>2441</v>
      </c>
      <c r="D55" s="16">
        <v>1892</v>
      </c>
      <c r="E55" s="16">
        <v>2358</v>
      </c>
      <c r="F55" s="16">
        <v>2358</v>
      </c>
      <c r="G55" s="16">
        <v>4935700</v>
      </c>
      <c r="H55" s="16">
        <f t="shared" si="1"/>
        <v>458</v>
      </c>
    </row>
    <row r="56" spans="1:8">
      <c r="A56" s="17">
        <v>44743</v>
      </c>
      <c r="B56" s="16">
        <v>2355</v>
      </c>
      <c r="C56" s="16">
        <v>2356</v>
      </c>
      <c r="D56" s="16">
        <v>2113</v>
      </c>
      <c r="E56" s="16">
        <v>2300</v>
      </c>
      <c r="F56" s="16">
        <v>2300</v>
      </c>
      <c r="G56" s="16">
        <v>3469000</v>
      </c>
      <c r="H56" s="16">
        <f t="shared" si="1"/>
        <v>-55</v>
      </c>
    </row>
    <row r="57" spans="1:8">
      <c r="A57" s="17">
        <v>44774</v>
      </c>
      <c r="B57" s="16">
        <v>2296</v>
      </c>
      <c r="C57" s="16">
        <v>2369</v>
      </c>
      <c r="D57" s="16">
        <v>2132</v>
      </c>
      <c r="E57" s="16">
        <v>2165</v>
      </c>
      <c r="F57" s="16">
        <v>2165</v>
      </c>
      <c r="G57" s="16">
        <v>1533200</v>
      </c>
      <c r="H57" s="16">
        <f t="shared" si="1"/>
        <v>-131</v>
      </c>
    </row>
    <row r="58" spans="1:8">
      <c r="A58" s="17">
        <v>44805</v>
      </c>
      <c r="B58" s="16">
        <v>2164</v>
      </c>
      <c r="C58" s="16">
        <v>2548</v>
      </c>
      <c r="D58" s="16">
        <v>1985</v>
      </c>
      <c r="E58" s="16">
        <v>2400</v>
      </c>
      <c r="F58" s="16">
        <v>2400</v>
      </c>
      <c r="G58" s="16">
        <v>7376400</v>
      </c>
      <c r="H58" s="16">
        <f t="shared" si="1"/>
        <v>236</v>
      </c>
    </row>
    <row r="59" spans="1:8">
      <c r="A59" s="17">
        <v>44837</v>
      </c>
      <c r="B59" s="16">
        <v>2377</v>
      </c>
      <c r="C59" s="16">
        <v>2380</v>
      </c>
      <c r="D59" s="16">
        <v>2051</v>
      </c>
      <c r="E59" s="16">
        <v>2120</v>
      </c>
      <c r="F59" s="16">
        <v>2120</v>
      </c>
      <c r="G59" s="16">
        <v>2258600</v>
      </c>
      <c r="H59" s="16">
        <f t="shared" si="1"/>
        <v>-257</v>
      </c>
    </row>
    <row r="60" spans="1:8">
      <c r="A60" s="17">
        <v>44866</v>
      </c>
      <c r="B60" s="16">
        <v>2130</v>
      </c>
      <c r="C60" s="16">
        <v>2495</v>
      </c>
      <c r="D60" s="16">
        <v>2105</v>
      </c>
      <c r="E60" s="16">
        <v>2445</v>
      </c>
      <c r="F60" s="16">
        <v>2445</v>
      </c>
      <c r="G60" s="16">
        <v>2042400</v>
      </c>
      <c r="H60" s="16">
        <f t="shared" si="1"/>
        <v>315</v>
      </c>
    </row>
    <row r="61" spans="1:8">
      <c r="A61" s="17">
        <v>44896</v>
      </c>
      <c r="B61" s="16">
        <v>2430</v>
      </c>
      <c r="C61" s="16">
        <v>2555</v>
      </c>
      <c r="D61" s="16">
        <v>1964</v>
      </c>
      <c r="E61" s="16">
        <v>2052</v>
      </c>
      <c r="F61" s="16">
        <v>2052</v>
      </c>
      <c r="G61" s="16">
        <v>5079500</v>
      </c>
      <c r="H61" s="16">
        <f t="shared" si="1"/>
        <v>-378</v>
      </c>
    </row>
  </sheetData>
  <phoneticPr fontId="32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F5F52-4EC2-4339-B638-D5FEAE37AB71}">
  <sheetPr codeName="Sheet12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510</v>
      </c>
      <c r="C2" s="16">
        <v>521</v>
      </c>
      <c r="D2" s="16">
        <v>471</v>
      </c>
      <c r="E2" s="16">
        <v>473</v>
      </c>
      <c r="F2" s="16">
        <v>473</v>
      </c>
      <c r="G2" s="16">
        <v>716200</v>
      </c>
      <c r="H2" s="16">
        <f t="shared" ref="H2:H33" si="0">E2-B2</f>
        <v>-37</v>
      </c>
      <c r="J2" s="18" cm="1">
        <f t="array" ref="J2:Q6">_xlfn._xlws.FILTER(A2:H61,MONTH(A2:A61)=1,"")</f>
        <v>43104</v>
      </c>
      <c r="K2" s="16">
        <v>510</v>
      </c>
      <c r="L2" s="16">
        <v>521</v>
      </c>
      <c r="M2" s="16">
        <v>471</v>
      </c>
      <c r="N2" s="16">
        <v>473</v>
      </c>
      <c r="O2" s="16">
        <v>473</v>
      </c>
      <c r="P2" s="16">
        <v>716200</v>
      </c>
      <c r="Q2" s="16">
        <v>-37</v>
      </c>
      <c r="R2" s="16">
        <f>Q2/K2*100</f>
        <v>-7.2549019607843146</v>
      </c>
      <c r="S2" s="16">
        <f>COUNT(Q2:Q6)</f>
        <v>5</v>
      </c>
      <c r="T2" s="18" cm="1">
        <f t="array" ref="T2:AA6">_xlfn._xlws.FILTER(A2:H61,MONTH(A2:A61)=2,"")</f>
        <v>43132</v>
      </c>
      <c r="U2" s="16">
        <v>472</v>
      </c>
      <c r="V2" s="16">
        <v>474</v>
      </c>
      <c r="W2" s="16">
        <v>423</v>
      </c>
      <c r="X2" s="16">
        <v>446</v>
      </c>
      <c r="Y2" s="16">
        <v>446</v>
      </c>
      <c r="Z2" s="16">
        <v>207900</v>
      </c>
      <c r="AA2" s="16">
        <v>-26</v>
      </c>
      <c r="AB2" s="16">
        <f>AA2/U2*100</f>
        <v>-5.508474576271186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445</v>
      </c>
      <c r="AF2" s="16">
        <v>470</v>
      </c>
      <c r="AG2" s="16">
        <v>419</v>
      </c>
      <c r="AH2" s="16">
        <v>427</v>
      </c>
      <c r="AI2" s="16">
        <v>427</v>
      </c>
      <c r="AJ2" s="16">
        <v>156900</v>
      </c>
      <c r="AK2" s="16">
        <v>-18</v>
      </c>
      <c r="AL2" s="16">
        <f>AK2/AE2*100</f>
        <v>-4.0449438202247192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427</v>
      </c>
      <c r="AP2" s="16">
        <v>436</v>
      </c>
      <c r="AQ2" s="16">
        <v>416</v>
      </c>
      <c r="AR2" s="16">
        <v>430</v>
      </c>
      <c r="AS2" s="16">
        <v>430</v>
      </c>
      <c r="AT2" s="16">
        <v>220000</v>
      </c>
      <c r="AU2" s="16">
        <v>3</v>
      </c>
      <c r="AV2" s="16">
        <f>AU2/AO2*100</f>
        <v>0.70257611241217799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433</v>
      </c>
      <c r="AZ2" s="16">
        <v>435</v>
      </c>
      <c r="BA2" s="16">
        <v>422</v>
      </c>
      <c r="BB2" s="16">
        <v>425</v>
      </c>
      <c r="BC2" s="16">
        <v>425</v>
      </c>
      <c r="BD2" s="16">
        <v>124800</v>
      </c>
      <c r="BE2" s="16">
        <v>-8</v>
      </c>
      <c r="BF2" s="16">
        <f>BE2/AY2*100</f>
        <v>-1.8475750577367205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425</v>
      </c>
      <c r="BJ2" s="16">
        <v>547</v>
      </c>
      <c r="BK2" s="16">
        <v>420</v>
      </c>
      <c r="BL2" s="16">
        <v>476</v>
      </c>
      <c r="BM2" s="16">
        <v>476</v>
      </c>
      <c r="BN2" s="16">
        <v>1417400</v>
      </c>
      <c r="BO2" s="16">
        <v>51</v>
      </c>
      <c r="BP2" s="16">
        <f>BO2/BI2*100</f>
        <v>12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478</v>
      </c>
      <c r="BT2" s="16">
        <v>524</v>
      </c>
      <c r="BU2" s="16">
        <v>443</v>
      </c>
      <c r="BV2" s="16">
        <v>462</v>
      </c>
      <c r="BW2" s="16">
        <v>462</v>
      </c>
      <c r="BX2" s="16">
        <v>807200</v>
      </c>
      <c r="BY2" s="16">
        <v>-16</v>
      </c>
      <c r="BZ2" s="16">
        <f>BY2/BS2*100</f>
        <v>-3.3472803347280333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465</v>
      </c>
      <c r="CD2" s="16">
        <v>468</v>
      </c>
      <c r="CE2" s="16">
        <v>414</v>
      </c>
      <c r="CF2" s="16">
        <v>464</v>
      </c>
      <c r="CG2" s="16">
        <v>464</v>
      </c>
      <c r="CH2" s="16">
        <v>245100</v>
      </c>
      <c r="CI2" s="16">
        <v>-1</v>
      </c>
      <c r="CJ2" s="16">
        <f>CI2/CC2*100</f>
        <v>-0.21505376344086022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462</v>
      </c>
      <c r="CN2" s="16">
        <v>548</v>
      </c>
      <c r="CO2" s="16">
        <v>449</v>
      </c>
      <c r="CP2" s="16">
        <v>491</v>
      </c>
      <c r="CQ2" s="16">
        <v>491</v>
      </c>
      <c r="CR2" s="16">
        <v>1174800</v>
      </c>
      <c r="CS2" s="16">
        <v>29</v>
      </c>
      <c r="CT2" s="16">
        <f>CS2/CM2*100</f>
        <v>6.2770562770562766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493</v>
      </c>
      <c r="CX2" s="16">
        <v>500</v>
      </c>
      <c r="CY2" s="16">
        <v>441</v>
      </c>
      <c r="CZ2" s="16">
        <v>456</v>
      </c>
      <c r="DA2" s="16">
        <v>456</v>
      </c>
      <c r="DB2" s="16">
        <v>309700</v>
      </c>
      <c r="DC2" s="16">
        <v>-37</v>
      </c>
      <c r="DD2" s="16">
        <f>DC2/CW2*100</f>
        <v>-7.5050709939148073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464</v>
      </c>
      <c r="DH2" s="16">
        <v>500</v>
      </c>
      <c r="DI2" s="16">
        <v>447</v>
      </c>
      <c r="DJ2" s="16">
        <v>495</v>
      </c>
      <c r="DK2" s="16">
        <v>495</v>
      </c>
      <c r="DL2" s="16">
        <v>223400</v>
      </c>
      <c r="DM2" s="16">
        <v>31</v>
      </c>
      <c r="DN2" s="16">
        <f>DM2/DG2*100</f>
        <v>6.6810344827586201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498</v>
      </c>
      <c r="DR2" s="16">
        <v>547</v>
      </c>
      <c r="DS2" s="16">
        <v>377</v>
      </c>
      <c r="DT2" s="16">
        <v>431</v>
      </c>
      <c r="DU2" s="16">
        <v>431</v>
      </c>
      <c r="DV2" s="16">
        <v>1283900</v>
      </c>
      <c r="DW2" s="16">
        <v>-67</v>
      </c>
      <c r="DX2" s="16">
        <f>DW2/DQ2*100</f>
        <v>-13.453815261044177</v>
      </c>
      <c r="DY2" s="16">
        <f>COUNT(DW2:DW6)</f>
        <v>5</v>
      </c>
    </row>
    <row r="3" spans="1:129">
      <c r="A3" s="17">
        <v>43132</v>
      </c>
      <c r="B3" s="16">
        <v>472</v>
      </c>
      <c r="C3" s="16">
        <v>474</v>
      </c>
      <c r="D3" s="16">
        <v>423</v>
      </c>
      <c r="E3" s="16">
        <v>446</v>
      </c>
      <c r="F3" s="16">
        <v>446</v>
      </c>
      <c r="G3" s="16">
        <v>207900</v>
      </c>
      <c r="H3" s="16">
        <f t="shared" si="0"/>
        <v>-26</v>
      </c>
      <c r="J3" s="18">
        <v>43469</v>
      </c>
      <c r="K3" s="16">
        <v>420</v>
      </c>
      <c r="L3" s="16">
        <v>461</v>
      </c>
      <c r="M3" s="16">
        <v>416</v>
      </c>
      <c r="N3" s="16">
        <v>425</v>
      </c>
      <c r="O3" s="16">
        <v>425</v>
      </c>
      <c r="P3" s="16">
        <v>759000</v>
      </c>
      <c r="Q3" s="16">
        <v>5</v>
      </c>
      <c r="R3" s="16">
        <f>Q3/K3*100</f>
        <v>1.1904761904761905</v>
      </c>
      <c r="S3" s="16">
        <f>COUNTIF(Q2:Q6,"&gt;0")</f>
        <v>2</v>
      </c>
      <c r="T3" s="18">
        <v>43497</v>
      </c>
      <c r="U3" s="16">
        <v>425</v>
      </c>
      <c r="V3" s="16">
        <v>441</v>
      </c>
      <c r="W3" s="16">
        <v>394</v>
      </c>
      <c r="X3" s="16">
        <v>440</v>
      </c>
      <c r="Y3" s="16">
        <v>440</v>
      </c>
      <c r="Z3" s="16">
        <v>359600</v>
      </c>
      <c r="AA3" s="16">
        <v>15</v>
      </c>
      <c r="AB3" s="16">
        <f>AA3/U3*100</f>
        <v>3.5294117647058822</v>
      </c>
      <c r="AC3" s="16">
        <f>COUNTIF(AA2:AA6,"&gt;0")</f>
        <v>1</v>
      </c>
      <c r="AD3" s="18">
        <v>43525</v>
      </c>
      <c r="AE3" s="16">
        <v>440</v>
      </c>
      <c r="AF3" s="16">
        <v>468</v>
      </c>
      <c r="AG3" s="16">
        <v>399</v>
      </c>
      <c r="AH3" s="16">
        <v>404</v>
      </c>
      <c r="AI3" s="16">
        <v>404</v>
      </c>
      <c r="AJ3" s="16">
        <v>732200</v>
      </c>
      <c r="AK3" s="16">
        <v>-36</v>
      </c>
      <c r="AL3" s="16">
        <f>AK3/AE3*100</f>
        <v>-8.1818181818181817</v>
      </c>
      <c r="AM3" s="16">
        <f>COUNTIF(AK2:AK6,"&gt;0")</f>
        <v>1</v>
      </c>
      <c r="AN3" s="18">
        <v>43556</v>
      </c>
      <c r="AO3" s="16">
        <v>411</v>
      </c>
      <c r="AP3" s="16">
        <v>414</v>
      </c>
      <c r="AQ3" s="16">
        <v>398</v>
      </c>
      <c r="AR3" s="16">
        <v>400</v>
      </c>
      <c r="AS3" s="16">
        <v>400</v>
      </c>
      <c r="AT3" s="16">
        <v>198000</v>
      </c>
      <c r="AU3" s="16">
        <v>-11</v>
      </c>
      <c r="AV3" s="16">
        <f>AU3/AO3*100</f>
        <v>-2.6763990267639901</v>
      </c>
      <c r="AW3" s="16">
        <f>COUNTIF(AU2:AU6,"&gt;0")</f>
        <v>2</v>
      </c>
      <c r="AX3" s="18">
        <v>43592</v>
      </c>
      <c r="AY3" s="16">
        <v>402</v>
      </c>
      <c r="AZ3" s="16">
        <v>408</v>
      </c>
      <c r="BA3" s="16">
        <v>377</v>
      </c>
      <c r="BB3" s="16">
        <v>405</v>
      </c>
      <c r="BC3" s="16">
        <v>405</v>
      </c>
      <c r="BD3" s="16">
        <v>215200</v>
      </c>
      <c r="BE3" s="16">
        <v>3</v>
      </c>
      <c r="BF3" s="16">
        <f>BE3/AY3*100</f>
        <v>0.74626865671641784</v>
      </c>
      <c r="BG3" s="16">
        <f>COUNTIF(BE2:BE6,"&gt;0")</f>
        <v>4</v>
      </c>
      <c r="BH3" s="18">
        <v>43619</v>
      </c>
      <c r="BI3" s="16">
        <v>400</v>
      </c>
      <c r="BJ3" s="16">
        <v>489</v>
      </c>
      <c r="BK3" s="16">
        <v>397</v>
      </c>
      <c r="BL3" s="16">
        <v>417</v>
      </c>
      <c r="BM3" s="16">
        <v>417</v>
      </c>
      <c r="BN3" s="16">
        <v>957100</v>
      </c>
      <c r="BO3" s="16">
        <v>17</v>
      </c>
      <c r="BP3" s="16">
        <f>BO3/BI3*100</f>
        <v>4.25</v>
      </c>
      <c r="BQ3" s="16">
        <f>COUNTIF(BO2:BO6,"&gt;0")</f>
        <v>2</v>
      </c>
      <c r="BR3" s="18">
        <v>43647</v>
      </c>
      <c r="BS3" s="16">
        <v>425</v>
      </c>
      <c r="BT3" s="16">
        <v>449</v>
      </c>
      <c r="BU3" s="16">
        <v>417</v>
      </c>
      <c r="BV3" s="16">
        <v>423</v>
      </c>
      <c r="BW3" s="16">
        <v>423</v>
      </c>
      <c r="BX3" s="16">
        <v>230500</v>
      </c>
      <c r="BY3" s="16">
        <v>-2</v>
      </c>
      <c r="BZ3" s="16">
        <f>BY3/BS3*100</f>
        <v>-0.47058823529411759</v>
      </c>
      <c r="CA3" s="16">
        <f>COUNTIF(BY2:BY6,"&gt;0")</f>
        <v>1</v>
      </c>
      <c r="CB3" s="18">
        <v>43678</v>
      </c>
      <c r="CC3" s="16">
        <v>423</v>
      </c>
      <c r="CD3" s="16">
        <v>442</v>
      </c>
      <c r="CE3" s="16">
        <v>403</v>
      </c>
      <c r="CF3" s="16">
        <v>430</v>
      </c>
      <c r="CG3" s="16">
        <v>430</v>
      </c>
      <c r="CH3" s="16">
        <v>225100</v>
      </c>
      <c r="CI3" s="16">
        <v>7</v>
      </c>
      <c r="CJ3" s="16">
        <f>CI3/CC3*100</f>
        <v>1.6548463356973995</v>
      </c>
      <c r="CK3" s="16">
        <f>COUNTIF(CI2:CI6,"&gt;0")</f>
        <v>3</v>
      </c>
      <c r="CL3" s="18">
        <v>43710</v>
      </c>
      <c r="CM3" s="16">
        <v>431</v>
      </c>
      <c r="CN3" s="16">
        <v>570</v>
      </c>
      <c r="CO3" s="16">
        <v>428</v>
      </c>
      <c r="CP3" s="16">
        <v>570</v>
      </c>
      <c r="CQ3" s="16">
        <v>570</v>
      </c>
      <c r="CR3" s="16">
        <v>2057500</v>
      </c>
      <c r="CS3" s="16">
        <v>139</v>
      </c>
      <c r="CT3" s="16">
        <f>CS3/CM3*100</f>
        <v>32.250580046403712</v>
      </c>
      <c r="CU3" s="16">
        <f>COUNTIF(CS2:CS6,"&gt;0")</f>
        <v>2</v>
      </c>
      <c r="CV3" s="18">
        <v>43739</v>
      </c>
      <c r="CW3" s="16">
        <v>571</v>
      </c>
      <c r="CX3" s="16">
        <v>820</v>
      </c>
      <c r="CY3" s="16">
        <v>545</v>
      </c>
      <c r="CZ3" s="16">
        <v>785</v>
      </c>
      <c r="DA3" s="16">
        <v>785</v>
      </c>
      <c r="DB3" s="16">
        <v>3295700</v>
      </c>
      <c r="DC3" s="16">
        <v>214</v>
      </c>
      <c r="DD3" s="16">
        <f>DC3/CW3*100</f>
        <v>37.478108581436075</v>
      </c>
      <c r="DE3" s="16">
        <f>COUNTIF(DC2:DC6,"&gt;0")</f>
        <v>2</v>
      </c>
      <c r="DF3" s="18">
        <v>43770</v>
      </c>
      <c r="DG3" s="16">
        <v>769</v>
      </c>
      <c r="DH3" s="16">
        <v>912</v>
      </c>
      <c r="DI3" s="16">
        <v>751</v>
      </c>
      <c r="DJ3" s="16">
        <v>830</v>
      </c>
      <c r="DK3" s="16">
        <v>830</v>
      </c>
      <c r="DL3" s="16">
        <v>1705900</v>
      </c>
      <c r="DM3" s="16">
        <v>61</v>
      </c>
      <c r="DN3" s="16">
        <f>DM3/DG3*100</f>
        <v>7.9323797139141741</v>
      </c>
      <c r="DO3" s="16">
        <f>COUNTIF(DM2:DM6,"&gt;0")</f>
        <v>4</v>
      </c>
      <c r="DP3" s="18">
        <v>43801</v>
      </c>
      <c r="DQ3" s="16">
        <v>826</v>
      </c>
      <c r="DR3" s="16">
        <v>1027</v>
      </c>
      <c r="DS3" s="16">
        <v>715</v>
      </c>
      <c r="DT3" s="16">
        <v>781</v>
      </c>
      <c r="DU3" s="16">
        <v>781</v>
      </c>
      <c r="DV3" s="16">
        <v>4667900</v>
      </c>
      <c r="DW3" s="16">
        <v>-45</v>
      </c>
      <c r="DX3" s="16">
        <f>DW3/DQ3*100</f>
        <v>-5.4479418886198543</v>
      </c>
      <c r="DY3" s="16">
        <f>COUNTIF(DW2:DW6,"&gt;0")</f>
        <v>2</v>
      </c>
    </row>
    <row r="4" spans="1:129">
      <c r="A4" s="17">
        <v>43160</v>
      </c>
      <c r="B4" s="16">
        <v>445</v>
      </c>
      <c r="C4" s="16">
        <v>470</v>
      </c>
      <c r="D4" s="16">
        <v>419</v>
      </c>
      <c r="E4" s="16">
        <v>427</v>
      </c>
      <c r="F4" s="16">
        <v>427</v>
      </c>
      <c r="G4" s="16">
        <v>156900</v>
      </c>
      <c r="H4" s="16">
        <f t="shared" si="0"/>
        <v>-18</v>
      </c>
      <c r="J4" s="18">
        <v>43836</v>
      </c>
      <c r="K4" s="16">
        <v>768</v>
      </c>
      <c r="L4" s="16">
        <v>786</v>
      </c>
      <c r="M4" s="16">
        <v>628</v>
      </c>
      <c r="N4" s="16">
        <v>657</v>
      </c>
      <c r="O4" s="16">
        <v>657</v>
      </c>
      <c r="P4" s="16">
        <v>2163700</v>
      </c>
      <c r="Q4" s="16">
        <v>-111</v>
      </c>
      <c r="R4" s="16">
        <f>Q4/K4*100</f>
        <v>-14.453125</v>
      </c>
      <c r="S4" s="19">
        <f>S3/S2*100</f>
        <v>40</v>
      </c>
      <c r="T4" s="18">
        <v>43864</v>
      </c>
      <c r="U4" s="16">
        <v>633</v>
      </c>
      <c r="V4" s="16">
        <v>774</v>
      </c>
      <c r="W4" s="16">
        <v>556</v>
      </c>
      <c r="X4" s="16">
        <v>560</v>
      </c>
      <c r="Y4" s="16">
        <v>560</v>
      </c>
      <c r="Z4" s="16">
        <v>2535300</v>
      </c>
      <c r="AA4" s="16">
        <v>-73</v>
      </c>
      <c r="AB4" s="16">
        <f>AA4/U4*100</f>
        <v>-11.532385466034755</v>
      </c>
      <c r="AC4" s="19">
        <f>AC3/AC2*100</f>
        <v>20</v>
      </c>
      <c r="AD4" s="18">
        <v>43892</v>
      </c>
      <c r="AE4" s="16">
        <v>564</v>
      </c>
      <c r="AF4" s="16">
        <v>648</v>
      </c>
      <c r="AG4" s="16">
        <v>333</v>
      </c>
      <c r="AH4" s="16">
        <v>401</v>
      </c>
      <c r="AI4" s="16">
        <v>401</v>
      </c>
      <c r="AJ4" s="16">
        <v>2579800</v>
      </c>
      <c r="AK4" s="16">
        <v>-163</v>
      </c>
      <c r="AL4" s="16">
        <f>AK4/AE4*100</f>
        <v>-28.900709219858157</v>
      </c>
      <c r="AM4" s="19">
        <f>AM3/AM2*100</f>
        <v>20</v>
      </c>
      <c r="AN4" s="18">
        <v>43922</v>
      </c>
      <c r="AO4" s="16">
        <v>395</v>
      </c>
      <c r="AP4" s="16">
        <v>519</v>
      </c>
      <c r="AQ4" s="16">
        <v>345</v>
      </c>
      <c r="AR4" s="16">
        <v>509</v>
      </c>
      <c r="AS4" s="16">
        <v>509</v>
      </c>
      <c r="AT4" s="16">
        <v>1126100</v>
      </c>
      <c r="AU4" s="16">
        <v>114</v>
      </c>
      <c r="AV4" s="16">
        <f>AU4/AO4*100</f>
        <v>28.860759493670884</v>
      </c>
      <c r="AW4" s="19">
        <f>AW3/AW2*100</f>
        <v>40</v>
      </c>
      <c r="AX4" s="18">
        <v>43952</v>
      </c>
      <c r="AY4" s="16">
        <v>507</v>
      </c>
      <c r="AZ4" s="16">
        <v>594</v>
      </c>
      <c r="BA4" s="16">
        <v>482</v>
      </c>
      <c r="BB4" s="16">
        <v>579</v>
      </c>
      <c r="BC4" s="16">
        <v>579</v>
      </c>
      <c r="BD4" s="16">
        <v>676300</v>
      </c>
      <c r="BE4" s="16">
        <v>72</v>
      </c>
      <c r="BF4" s="16">
        <f>BE4/AY4*100</f>
        <v>14.201183431952662</v>
      </c>
      <c r="BG4" s="19">
        <f>BG3/BG2*100</f>
        <v>80</v>
      </c>
      <c r="BH4" s="18">
        <v>43983</v>
      </c>
      <c r="BI4" s="16">
        <v>571</v>
      </c>
      <c r="BJ4" s="16">
        <v>581</v>
      </c>
      <c r="BK4" s="16">
        <v>459</v>
      </c>
      <c r="BL4" s="16">
        <v>543</v>
      </c>
      <c r="BM4" s="16">
        <v>543</v>
      </c>
      <c r="BN4" s="16">
        <v>1164000</v>
      </c>
      <c r="BO4" s="16">
        <v>-28</v>
      </c>
      <c r="BP4" s="16">
        <f>BO4/BI4*100</f>
        <v>-4.9036777583187394</v>
      </c>
      <c r="BQ4" s="19">
        <f>BQ3/BQ2*100</f>
        <v>40</v>
      </c>
      <c r="BR4" s="18">
        <v>44013</v>
      </c>
      <c r="BS4" s="16">
        <v>543</v>
      </c>
      <c r="BT4" s="16">
        <v>691</v>
      </c>
      <c r="BU4" s="16">
        <v>511</v>
      </c>
      <c r="BV4" s="16">
        <v>675</v>
      </c>
      <c r="BW4" s="16">
        <v>675</v>
      </c>
      <c r="BX4" s="16">
        <v>1086400</v>
      </c>
      <c r="BY4" s="16">
        <v>132</v>
      </c>
      <c r="BZ4" s="16">
        <f>BY4/BS4*100</f>
        <v>24.30939226519337</v>
      </c>
      <c r="CA4" s="19">
        <f>CA3/CA2*100</f>
        <v>20</v>
      </c>
      <c r="CB4" s="18">
        <v>44046</v>
      </c>
      <c r="CC4" s="16">
        <v>689</v>
      </c>
      <c r="CD4" s="16">
        <v>820</v>
      </c>
      <c r="CE4" s="16">
        <v>688</v>
      </c>
      <c r="CF4" s="16">
        <v>819</v>
      </c>
      <c r="CG4" s="16">
        <v>819</v>
      </c>
      <c r="CH4" s="16">
        <v>754300</v>
      </c>
      <c r="CI4" s="16">
        <v>130</v>
      </c>
      <c r="CJ4" s="16">
        <f>CI4/CC4*100</f>
        <v>18.867924528301888</v>
      </c>
      <c r="CK4" s="19">
        <f>CK3/CK2*100</f>
        <v>60</v>
      </c>
      <c r="CL4" s="18">
        <v>44075</v>
      </c>
      <c r="CM4" s="16">
        <v>809</v>
      </c>
      <c r="CN4" s="16">
        <v>875</v>
      </c>
      <c r="CO4" s="16">
        <v>660</v>
      </c>
      <c r="CP4" s="16">
        <v>780</v>
      </c>
      <c r="CQ4" s="16">
        <v>780</v>
      </c>
      <c r="CR4" s="16">
        <v>1789800</v>
      </c>
      <c r="CS4" s="16">
        <v>-29</v>
      </c>
      <c r="CT4" s="16">
        <f>CS4/CM4*100</f>
        <v>-3.5846724351050678</v>
      </c>
      <c r="CU4" s="19">
        <f>CU3/CU2*100</f>
        <v>40</v>
      </c>
      <c r="CV4" s="18">
        <v>44106</v>
      </c>
      <c r="CW4" s="16">
        <v>780</v>
      </c>
      <c r="CX4" s="16">
        <v>805</v>
      </c>
      <c r="CY4" s="16">
        <v>707</v>
      </c>
      <c r="CZ4" s="16">
        <v>780</v>
      </c>
      <c r="DA4" s="16">
        <v>780</v>
      </c>
      <c r="DB4" s="16">
        <v>861300</v>
      </c>
      <c r="DC4" s="16">
        <v>0</v>
      </c>
      <c r="DD4" s="16">
        <f>DC4/CW4*100</f>
        <v>0</v>
      </c>
      <c r="DE4" s="19">
        <f>DE3/DE2*100</f>
        <v>40</v>
      </c>
      <c r="DF4" s="18">
        <v>44137</v>
      </c>
      <c r="DG4" s="16">
        <v>779</v>
      </c>
      <c r="DH4" s="16">
        <v>817</v>
      </c>
      <c r="DI4" s="16">
        <v>765</v>
      </c>
      <c r="DJ4" s="16">
        <v>812</v>
      </c>
      <c r="DK4" s="16">
        <v>812</v>
      </c>
      <c r="DL4" s="16">
        <v>683100</v>
      </c>
      <c r="DM4" s="16">
        <v>33</v>
      </c>
      <c r="DN4" s="16">
        <f>DM4/DG4*100</f>
        <v>4.2362002567394095</v>
      </c>
      <c r="DO4" s="19">
        <f>DO3/DO2*100</f>
        <v>80</v>
      </c>
      <c r="DP4" s="18">
        <v>44166</v>
      </c>
      <c r="DQ4" s="16">
        <v>808</v>
      </c>
      <c r="DR4" s="16">
        <v>847</v>
      </c>
      <c r="DS4" s="16">
        <v>614</v>
      </c>
      <c r="DT4" s="16">
        <v>642</v>
      </c>
      <c r="DU4" s="16">
        <v>642</v>
      </c>
      <c r="DV4" s="16">
        <v>2383100</v>
      </c>
      <c r="DW4" s="16">
        <v>-166</v>
      </c>
      <c r="DX4" s="16">
        <f>DW4/DQ4*100</f>
        <v>-20.544554455445542</v>
      </c>
      <c r="DY4" s="19">
        <f>DY3/DY2*100</f>
        <v>40</v>
      </c>
    </row>
    <row r="5" spans="1:129">
      <c r="A5" s="17">
        <v>43192</v>
      </c>
      <c r="B5" s="16">
        <v>427</v>
      </c>
      <c r="C5" s="16">
        <v>436</v>
      </c>
      <c r="D5" s="16">
        <v>416</v>
      </c>
      <c r="E5" s="16">
        <v>430</v>
      </c>
      <c r="F5" s="16">
        <v>430</v>
      </c>
      <c r="G5" s="16">
        <v>220000</v>
      </c>
      <c r="H5" s="16">
        <f t="shared" si="0"/>
        <v>3</v>
      </c>
      <c r="J5" s="18">
        <v>44200</v>
      </c>
      <c r="K5" s="16">
        <v>645</v>
      </c>
      <c r="L5" s="16">
        <v>749</v>
      </c>
      <c r="M5" s="16">
        <v>632</v>
      </c>
      <c r="N5" s="16">
        <v>671</v>
      </c>
      <c r="O5" s="16">
        <v>671</v>
      </c>
      <c r="P5" s="16">
        <v>2127900</v>
      </c>
      <c r="Q5" s="16">
        <v>26</v>
      </c>
      <c r="R5" s="16">
        <f>Q5/K5*100</f>
        <v>4.0310077519379846</v>
      </c>
      <c r="S5" s="16">
        <f>AVERAGE(R2:R6)</f>
        <v>-5.2478580542234781</v>
      </c>
      <c r="T5" s="18">
        <v>44228</v>
      </c>
      <c r="U5" s="16">
        <v>669</v>
      </c>
      <c r="V5" s="16">
        <v>698</v>
      </c>
      <c r="W5" s="16">
        <v>658</v>
      </c>
      <c r="X5" s="16">
        <v>658</v>
      </c>
      <c r="Y5" s="16">
        <v>658</v>
      </c>
      <c r="Z5" s="16">
        <v>554600</v>
      </c>
      <c r="AA5" s="16">
        <v>-11</v>
      </c>
      <c r="AB5" s="16">
        <f>AA5/U5*100</f>
        <v>-1.6442451420029895</v>
      </c>
      <c r="AC5" s="16">
        <f>AVERAGE(AB2:AB6)</f>
        <v>-3.061580084225024</v>
      </c>
      <c r="AD5" s="18">
        <v>44256</v>
      </c>
      <c r="AE5" s="16">
        <v>668</v>
      </c>
      <c r="AF5" s="16">
        <v>738</v>
      </c>
      <c r="AG5" s="16">
        <v>655</v>
      </c>
      <c r="AH5" s="16">
        <v>712</v>
      </c>
      <c r="AI5" s="16">
        <v>712</v>
      </c>
      <c r="AJ5" s="16">
        <v>959200</v>
      </c>
      <c r="AK5" s="16">
        <v>44</v>
      </c>
      <c r="AL5" s="16">
        <f>AK5/AE5*100</f>
        <v>6.5868263473053901</v>
      </c>
      <c r="AM5" s="16">
        <f>AVERAGE(AL2:AL6)</f>
        <v>-8.0631441724875224</v>
      </c>
      <c r="AN5" s="18">
        <v>44287</v>
      </c>
      <c r="AO5" s="16">
        <v>712</v>
      </c>
      <c r="AP5" s="16">
        <v>735</v>
      </c>
      <c r="AQ5" s="16">
        <v>661</v>
      </c>
      <c r="AR5" s="16">
        <v>683</v>
      </c>
      <c r="AS5" s="16">
        <v>683</v>
      </c>
      <c r="AT5" s="16">
        <v>425800</v>
      </c>
      <c r="AU5" s="16">
        <v>-29</v>
      </c>
      <c r="AV5" s="16">
        <f>AU5/AO5*100</f>
        <v>-4.0730337078651688</v>
      </c>
      <c r="AW5" s="16">
        <f>AVERAGE(AV2:AV6)</f>
        <v>4.4337483162262643</v>
      </c>
      <c r="AX5" s="18">
        <v>44322</v>
      </c>
      <c r="AY5" s="16">
        <v>679</v>
      </c>
      <c r="AZ5" s="16">
        <v>714</v>
      </c>
      <c r="BA5" s="16">
        <v>674</v>
      </c>
      <c r="BB5" s="16">
        <v>689</v>
      </c>
      <c r="BC5" s="16">
        <v>689</v>
      </c>
      <c r="BD5" s="16">
        <v>243300</v>
      </c>
      <c r="BE5" s="16">
        <v>10</v>
      </c>
      <c r="BF5" s="16">
        <f>BE5/AY5*100</f>
        <v>1.4727540500736376</v>
      </c>
      <c r="BG5" s="16">
        <f>AVERAGE(BF2:BF6)</f>
        <v>3.635837691611036</v>
      </c>
      <c r="BH5" s="18">
        <v>44348</v>
      </c>
      <c r="BI5" s="16">
        <v>692</v>
      </c>
      <c r="BJ5" s="16">
        <v>729</v>
      </c>
      <c r="BK5" s="16">
        <v>667</v>
      </c>
      <c r="BL5" s="16">
        <v>684</v>
      </c>
      <c r="BM5" s="16">
        <v>684</v>
      </c>
      <c r="BN5" s="16">
        <v>472200</v>
      </c>
      <c r="BO5" s="16">
        <v>-8</v>
      </c>
      <c r="BP5" s="16">
        <f>BO5/BI5*100</f>
        <v>-1.1560693641618496</v>
      </c>
      <c r="BQ5" s="16">
        <f>AVERAGE(BP2:BP6)</f>
        <v>1.7523362897895964</v>
      </c>
      <c r="BR5" s="18">
        <v>44378</v>
      </c>
      <c r="BS5" s="16">
        <v>687</v>
      </c>
      <c r="BT5" s="16">
        <v>700</v>
      </c>
      <c r="BU5" s="16">
        <v>660</v>
      </c>
      <c r="BV5" s="16">
        <v>660</v>
      </c>
      <c r="BW5" s="16">
        <v>660</v>
      </c>
      <c r="BX5" s="16">
        <v>253700</v>
      </c>
      <c r="BY5" s="16">
        <v>-27</v>
      </c>
      <c r="BZ5" s="16">
        <f>BY5/BS5*100</f>
        <v>-3.9301310043668125</v>
      </c>
      <c r="CA5" s="16">
        <f>AVERAGE(BZ2:BZ6)</f>
        <v>2.7647745123959853</v>
      </c>
      <c r="CB5" s="18">
        <v>44410</v>
      </c>
      <c r="CC5" s="16">
        <v>669</v>
      </c>
      <c r="CD5" s="16">
        <v>681</v>
      </c>
      <c r="CE5" s="16">
        <v>640</v>
      </c>
      <c r="CF5" s="16">
        <v>681</v>
      </c>
      <c r="CG5" s="16">
        <v>681</v>
      </c>
      <c r="CH5" s="16">
        <v>236800</v>
      </c>
      <c r="CI5" s="16">
        <v>12</v>
      </c>
      <c r="CJ5" s="16">
        <f>CI5/CC5*100</f>
        <v>1.7937219730941705</v>
      </c>
      <c r="CK5" s="16">
        <f>AVERAGE(CJ2:CJ6)</f>
        <v>4.3212779137404214</v>
      </c>
      <c r="CL5" s="18">
        <v>44440</v>
      </c>
      <c r="CM5" s="16">
        <v>681</v>
      </c>
      <c r="CN5" s="16">
        <v>713</v>
      </c>
      <c r="CO5" s="16">
        <v>665</v>
      </c>
      <c r="CP5" s="16">
        <v>678</v>
      </c>
      <c r="CQ5" s="16">
        <v>678</v>
      </c>
      <c r="CR5" s="16">
        <v>563300</v>
      </c>
      <c r="CS5" s="16">
        <v>-3</v>
      </c>
      <c r="CT5" s="16">
        <f>CS5/CM5*100</f>
        <v>-0.44052863436123352</v>
      </c>
      <c r="CU5" s="16">
        <f>AVERAGE(CT2:CT6)</f>
        <v>5.9717971668849721</v>
      </c>
      <c r="CV5" s="18">
        <v>44470</v>
      </c>
      <c r="CW5" s="16">
        <v>670</v>
      </c>
      <c r="CX5" s="16">
        <v>681</v>
      </c>
      <c r="CY5" s="16">
        <v>660</v>
      </c>
      <c r="CZ5" s="16">
        <v>670</v>
      </c>
      <c r="DA5" s="16">
        <v>670</v>
      </c>
      <c r="DB5" s="16">
        <v>314700</v>
      </c>
      <c r="DC5" s="16">
        <v>0</v>
      </c>
      <c r="DD5" s="16">
        <f>DC5/CW5*100</f>
        <v>0</v>
      </c>
      <c r="DE5" s="16">
        <f>AVERAGE(DD2:DD6)</f>
        <v>6.383988048477705</v>
      </c>
      <c r="DF5" s="18">
        <v>44501</v>
      </c>
      <c r="DG5" s="16">
        <v>677</v>
      </c>
      <c r="DH5" s="16">
        <v>705</v>
      </c>
      <c r="DI5" s="16">
        <v>653</v>
      </c>
      <c r="DJ5" s="16">
        <v>653</v>
      </c>
      <c r="DK5" s="16">
        <v>653</v>
      </c>
      <c r="DL5" s="16">
        <v>497000</v>
      </c>
      <c r="DM5" s="16">
        <v>-24</v>
      </c>
      <c r="DN5" s="16">
        <f>DM5/DG5*100</f>
        <v>-3.5450516986706058</v>
      </c>
      <c r="DO5" s="16">
        <f>AVERAGE(DN2:DN6)</f>
        <v>4.3712573785345272</v>
      </c>
      <c r="DP5" s="18">
        <v>44531</v>
      </c>
      <c r="DQ5" s="16">
        <v>652</v>
      </c>
      <c r="DR5" s="16">
        <v>728</v>
      </c>
      <c r="DS5" s="16">
        <v>636</v>
      </c>
      <c r="DT5" s="16">
        <v>728</v>
      </c>
      <c r="DU5" s="16">
        <v>728</v>
      </c>
      <c r="DV5" s="16">
        <v>931500</v>
      </c>
      <c r="DW5" s="16">
        <v>76</v>
      </c>
      <c r="DX5" s="16">
        <f>DW5/DQ5*100</f>
        <v>11.656441717791409</v>
      </c>
      <c r="DY5" s="16">
        <f>AVERAGE(DX2:DX6)</f>
        <v>-5.3321675258507293</v>
      </c>
    </row>
    <row r="6" spans="1:129">
      <c r="A6" s="17">
        <v>43221</v>
      </c>
      <c r="B6" s="16">
        <v>433</v>
      </c>
      <c r="C6" s="16">
        <v>435</v>
      </c>
      <c r="D6" s="16">
        <v>422</v>
      </c>
      <c r="E6" s="16">
        <v>425</v>
      </c>
      <c r="F6" s="16">
        <v>425</v>
      </c>
      <c r="G6" s="16">
        <v>124800</v>
      </c>
      <c r="H6" s="16">
        <f t="shared" si="0"/>
        <v>-8</v>
      </c>
      <c r="J6" s="18">
        <v>44565</v>
      </c>
      <c r="K6" s="16">
        <v>728</v>
      </c>
      <c r="L6" s="16">
        <v>736</v>
      </c>
      <c r="M6" s="16">
        <v>648</v>
      </c>
      <c r="N6" s="16">
        <v>657</v>
      </c>
      <c r="O6" s="16">
        <v>657</v>
      </c>
      <c r="P6" s="16">
        <v>815200</v>
      </c>
      <c r="Q6" s="16">
        <v>-71</v>
      </c>
      <c r="R6" s="16">
        <f>Q6/K6*100</f>
        <v>-9.7527472527472536</v>
      </c>
      <c r="S6" s="16">
        <f>MEDIAN(R2:R6)</f>
        <v>-7.2549019607843146</v>
      </c>
      <c r="T6" s="18">
        <v>44593</v>
      </c>
      <c r="U6" s="16">
        <v>657</v>
      </c>
      <c r="V6" s="16">
        <v>673</v>
      </c>
      <c r="W6" s="16">
        <v>629</v>
      </c>
      <c r="X6" s="16">
        <v>656</v>
      </c>
      <c r="Y6" s="16">
        <v>656</v>
      </c>
      <c r="Z6" s="16">
        <v>393700</v>
      </c>
      <c r="AA6" s="16">
        <v>-1</v>
      </c>
      <c r="AB6" s="16">
        <f>AA6/U6*100</f>
        <v>-0.15220700152207001</v>
      </c>
      <c r="AC6" s="16">
        <f>MEDIAN(AB2:AB6)</f>
        <v>-1.6442451420029895</v>
      </c>
      <c r="AD6" s="18">
        <v>44621</v>
      </c>
      <c r="AE6" s="16">
        <v>658</v>
      </c>
      <c r="AF6" s="16">
        <v>661</v>
      </c>
      <c r="AG6" s="16">
        <v>600</v>
      </c>
      <c r="AH6" s="16">
        <v>620</v>
      </c>
      <c r="AI6" s="16">
        <v>620</v>
      </c>
      <c r="AJ6" s="16">
        <v>834600</v>
      </c>
      <c r="AK6" s="16">
        <v>-38</v>
      </c>
      <c r="AL6" s="16">
        <f>AK6/AE6*100</f>
        <v>-5.7750759878419453</v>
      </c>
      <c r="AM6" s="16">
        <f>MEDIAN(AL2:AL6)</f>
        <v>-5.7750759878419453</v>
      </c>
      <c r="AN6" s="18">
        <v>44652</v>
      </c>
      <c r="AO6" s="16">
        <v>620</v>
      </c>
      <c r="AP6" s="16">
        <v>628</v>
      </c>
      <c r="AQ6" s="16">
        <v>601</v>
      </c>
      <c r="AR6" s="16">
        <v>616</v>
      </c>
      <c r="AS6" s="16">
        <v>616</v>
      </c>
      <c r="AT6" s="16">
        <v>200900</v>
      </c>
      <c r="AU6" s="16">
        <v>-4</v>
      </c>
      <c r="AV6" s="16">
        <f>AU6/AO6*100</f>
        <v>-0.64516129032258063</v>
      </c>
      <c r="AW6" s="16">
        <f>MEDIAN(AV2:AV6)</f>
        <v>-0.64516129032258063</v>
      </c>
      <c r="AX6" s="18">
        <v>44683</v>
      </c>
      <c r="AY6" s="16">
        <v>610</v>
      </c>
      <c r="AZ6" s="16">
        <v>633</v>
      </c>
      <c r="BA6" s="16">
        <v>606</v>
      </c>
      <c r="BB6" s="16">
        <v>632</v>
      </c>
      <c r="BC6" s="16">
        <v>632</v>
      </c>
      <c r="BD6" s="16">
        <v>145300</v>
      </c>
      <c r="BE6" s="16">
        <v>22</v>
      </c>
      <c r="BF6" s="16">
        <f>BE6/AY6*100</f>
        <v>3.6065573770491808</v>
      </c>
      <c r="BG6" s="16">
        <f>MEDIAN(BF2:BF6)</f>
        <v>1.4727540500736376</v>
      </c>
      <c r="BH6" s="18">
        <v>44713</v>
      </c>
      <c r="BI6" s="16">
        <v>630</v>
      </c>
      <c r="BJ6" s="16">
        <v>646</v>
      </c>
      <c r="BK6" s="16">
        <v>608</v>
      </c>
      <c r="BL6" s="16">
        <v>621</v>
      </c>
      <c r="BM6" s="16">
        <v>621</v>
      </c>
      <c r="BN6" s="16">
        <v>247700</v>
      </c>
      <c r="BO6" s="16">
        <v>-9</v>
      </c>
      <c r="BP6" s="16">
        <f>BO6/BI6*100</f>
        <v>-1.4285714285714286</v>
      </c>
      <c r="BQ6" s="16">
        <f>MEDIAN(BP2:BP6)</f>
        <v>-1.1560693641618496</v>
      </c>
      <c r="BR6" s="18">
        <v>44743</v>
      </c>
      <c r="BS6" s="16">
        <v>621</v>
      </c>
      <c r="BT6" s="16">
        <v>622</v>
      </c>
      <c r="BU6" s="16">
        <v>599</v>
      </c>
      <c r="BV6" s="16">
        <v>604</v>
      </c>
      <c r="BW6" s="16">
        <v>604</v>
      </c>
      <c r="BX6" s="16">
        <v>501800</v>
      </c>
      <c r="BY6" s="16">
        <v>-17</v>
      </c>
      <c r="BZ6" s="16">
        <f>BY6/BS6*100</f>
        <v>-2.7375201288244768</v>
      </c>
      <c r="CA6" s="16">
        <f>MEDIAN(BZ2:BZ6)</f>
        <v>-2.7375201288244768</v>
      </c>
      <c r="CB6" s="18">
        <v>44774</v>
      </c>
      <c r="CC6" s="16">
        <v>606</v>
      </c>
      <c r="CD6" s="16">
        <v>610</v>
      </c>
      <c r="CE6" s="16">
        <v>600</v>
      </c>
      <c r="CF6" s="16">
        <v>603</v>
      </c>
      <c r="CG6" s="16">
        <v>603</v>
      </c>
      <c r="CH6" s="16">
        <v>269900</v>
      </c>
      <c r="CI6" s="16">
        <v>-3</v>
      </c>
      <c r="CJ6" s="16">
        <f>CI6/CC6*100</f>
        <v>-0.49504950495049505</v>
      </c>
      <c r="CK6" s="16">
        <f>MEDIAN(CJ2:CJ6)</f>
        <v>1.6548463356973995</v>
      </c>
      <c r="CL6" s="18">
        <v>44805</v>
      </c>
      <c r="CM6" s="16">
        <v>603</v>
      </c>
      <c r="CN6" s="16">
        <v>607</v>
      </c>
      <c r="CO6" s="16">
        <v>541</v>
      </c>
      <c r="CP6" s="16">
        <v>575</v>
      </c>
      <c r="CQ6" s="16">
        <v>575</v>
      </c>
      <c r="CR6" s="16">
        <v>518200</v>
      </c>
      <c r="CS6" s="16">
        <v>-28</v>
      </c>
      <c r="CT6" s="16">
        <f>CS6/CM6*100</f>
        <v>-4.6434494195688218</v>
      </c>
      <c r="CU6" s="16">
        <f>MEDIAN(CT2:CT6)</f>
        <v>-0.44052863436123352</v>
      </c>
      <c r="CV6" s="18">
        <v>44837</v>
      </c>
      <c r="CW6" s="16">
        <v>565</v>
      </c>
      <c r="CX6" s="16">
        <v>593</v>
      </c>
      <c r="CY6" s="16">
        <v>560</v>
      </c>
      <c r="CZ6" s="16">
        <v>576</v>
      </c>
      <c r="DA6" s="16">
        <v>576</v>
      </c>
      <c r="DB6" s="16">
        <v>473100</v>
      </c>
      <c r="DC6" s="16">
        <v>11</v>
      </c>
      <c r="DD6" s="16">
        <f>DC6/CW6*100</f>
        <v>1.9469026548672566</v>
      </c>
      <c r="DE6" s="16">
        <f>MEDIAN(DD2:DD6)</f>
        <v>0</v>
      </c>
      <c r="DF6" s="18">
        <v>44866</v>
      </c>
      <c r="DG6" s="16">
        <v>580</v>
      </c>
      <c r="DH6" s="16">
        <v>621</v>
      </c>
      <c r="DI6" s="16">
        <v>579</v>
      </c>
      <c r="DJ6" s="16">
        <v>618</v>
      </c>
      <c r="DK6" s="16">
        <v>618</v>
      </c>
      <c r="DL6" s="16">
        <v>176100</v>
      </c>
      <c r="DM6" s="16">
        <v>38</v>
      </c>
      <c r="DN6" s="16">
        <f>DM6/DG6*100</f>
        <v>6.5517241379310347</v>
      </c>
      <c r="DO6" s="16">
        <f>MEDIAN(DN2:DN6)</f>
        <v>6.5517241379310347</v>
      </c>
      <c r="DP6" s="18">
        <v>44896</v>
      </c>
      <c r="DQ6" s="16">
        <v>620</v>
      </c>
      <c r="DR6" s="16">
        <v>631</v>
      </c>
      <c r="DS6" s="16">
        <v>611</v>
      </c>
      <c r="DT6" s="16">
        <v>627</v>
      </c>
      <c r="DU6" s="16">
        <v>627</v>
      </c>
      <c r="DV6" s="16">
        <v>194600</v>
      </c>
      <c r="DW6" s="16">
        <v>7</v>
      </c>
      <c r="DX6" s="16">
        <f>DW6/DQ6*100</f>
        <v>1.129032258064516</v>
      </c>
      <c r="DY6" s="16">
        <f>MEDIAN(DX2:DX6)</f>
        <v>-5.4479418886198543</v>
      </c>
    </row>
    <row r="7" spans="1:129">
      <c r="A7" s="17">
        <v>43252</v>
      </c>
      <c r="B7" s="16">
        <v>425</v>
      </c>
      <c r="C7" s="16">
        <v>547</v>
      </c>
      <c r="D7" s="16">
        <v>420</v>
      </c>
      <c r="E7" s="16">
        <v>476</v>
      </c>
      <c r="F7" s="16">
        <v>476</v>
      </c>
      <c r="G7" s="16">
        <v>1417400</v>
      </c>
      <c r="H7" s="16">
        <f t="shared" si="0"/>
        <v>51</v>
      </c>
    </row>
    <row r="8" spans="1:129">
      <c r="A8" s="17">
        <v>43283</v>
      </c>
      <c r="B8" s="16">
        <v>478</v>
      </c>
      <c r="C8" s="16">
        <v>524</v>
      </c>
      <c r="D8" s="16">
        <v>443</v>
      </c>
      <c r="E8" s="16">
        <v>462</v>
      </c>
      <c r="F8" s="16">
        <v>462</v>
      </c>
      <c r="G8" s="16">
        <v>807200</v>
      </c>
      <c r="H8" s="16">
        <f t="shared" si="0"/>
        <v>-16</v>
      </c>
    </row>
    <row r="9" spans="1:129">
      <c r="A9" s="17">
        <v>43313</v>
      </c>
      <c r="B9" s="16">
        <v>465</v>
      </c>
      <c r="C9" s="16">
        <v>468</v>
      </c>
      <c r="D9" s="16">
        <v>414</v>
      </c>
      <c r="E9" s="16">
        <v>464</v>
      </c>
      <c r="F9" s="16">
        <v>464</v>
      </c>
      <c r="G9" s="16">
        <v>245100</v>
      </c>
      <c r="H9" s="16">
        <f t="shared" si="0"/>
        <v>-1</v>
      </c>
    </row>
    <row r="10" spans="1:129">
      <c r="A10" s="17">
        <v>43346</v>
      </c>
      <c r="B10" s="16">
        <v>462</v>
      </c>
      <c r="C10" s="16">
        <v>548</v>
      </c>
      <c r="D10" s="16">
        <v>449</v>
      </c>
      <c r="E10" s="16">
        <v>491</v>
      </c>
      <c r="F10" s="16">
        <v>491</v>
      </c>
      <c r="G10" s="16">
        <v>1174800</v>
      </c>
      <c r="H10" s="16">
        <f t="shared" si="0"/>
        <v>29</v>
      </c>
    </row>
    <row r="11" spans="1:129">
      <c r="A11" s="17">
        <v>43374</v>
      </c>
      <c r="B11" s="16">
        <v>493</v>
      </c>
      <c r="C11" s="16">
        <v>500</v>
      </c>
      <c r="D11" s="16">
        <v>441</v>
      </c>
      <c r="E11" s="16">
        <v>456</v>
      </c>
      <c r="F11" s="16">
        <v>456</v>
      </c>
      <c r="G11" s="16">
        <v>309700</v>
      </c>
      <c r="H11" s="16">
        <f t="shared" si="0"/>
        <v>-37</v>
      </c>
    </row>
    <row r="12" spans="1:129">
      <c r="A12" s="17">
        <v>43405</v>
      </c>
      <c r="B12" s="16">
        <v>464</v>
      </c>
      <c r="C12" s="16">
        <v>500</v>
      </c>
      <c r="D12" s="16">
        <v>447</v>
      </c>
      <c r="E12" s="16">
        <v>495</v>
      </c>
      <c r="F12" s="16">
        <v>495</v>
      </c>
      <c r="G12" s="16">
        <v>223400</v>
      </c>
      <c r="H12" s="16">
        <f t="shared" si="0"/>
        <v>31</v>
      </c>
    </row>
    <row r="13" spans="1:129">
      <c r="A13" s="17">
        <v>43437</v>
      </c>
      <c r="B13" s="16">
        <v>498</v>
      </c>
      <c r="C13" s="16">
        <v>547</v>
      </c>
      <c r="D13" s="16">
        <v>377</v>
      </c>
      <c r="E13" s="16">
        <v>431</v>
      </c>
      <c r="F13" s="16">
        <v>431</v>
      </c>
      <c r="G13" s="16">
        <v>1283900</v>
      </c>
      <c r="H13" s="16">
        <f t="shared" si="0"/>
        <v>-67</v>
      </c>
    </row>
    <row r="14" spans="1:129">
      <c r="A14" s="17">
        <v>43469</v>
      </c>
      <c r="B14" s="16">
        <v>420</v>
      </c>
      <c r="C14" s="16">
        <v>461</v>
      </c>
      <c r="D14" s="16">
        <v>416</v>
      </c>
      <c r="E14" s="16">
        <v>425</v>
      </c>
      <c r="F14" s="16">
        <v>425</v>
      </c>
      <c r="G14" s="16">
        <v>759000</v>
      </c>
      <c r="H14" s="16">
        <f t="shared" si="0"/>
        <v>5</v>
      </c>
    </row>
    <row r="15" spans="1:129">
      <c r="A15" s="17">
        <v>43497</v>
      </c>
      <c r="B15" s="16">
        <v>425</v>
      </c>
      <c r="C15" s="16">
        <v>441</v>
      </c>
      <c r="D15" s="16">
        <v>394</v>
      </c>
      <c r="E15" s="16">
        <v>440</v>
      </c>
      <c r="F15" s="16">
        <v>440</v>
      </c>
      <c r="G15" s="16">
        <v>359600</v>
      </c>
      <c r="H15" s="16">
        <f t="shared" si="0"/>
        <v>15</v>
      </c>
    </row>
    <row r="16" spans="1:129">
      <c r="A16" s="17">
        <v>43525</v>
      </c>
      <c r="B16" s="16">
        <v>440</v>
      </c>
      <c r="C16" s="16">
        <v>468</v>
      </c>
      <c r="D16" s="16">
        <v>399</v>
      </c>
      <c r="E16" s="16">
        <v>404</v>
      </c>
      <c r="F16" s="16">
        <v>404</v>
      </c>
      <c r="G16" s="16">
        <v>732200</v>
      </c>
      <c r="H16" s="16">
        <f t="shared" si="0"/>
        <v>-36</v>
      </c>
    </row>
    <row r="17" spans="1:8">
      <c r="A17" s="17">
        <v>43556</v>
      </c>
      <c r="B17" s="16">
        <v>411</v>
      </c>
      <c r="C17" s="16">
        <v>414</v>
      </c>
      <c r="D17" s="16">
        <v>398</v>
      </c>
      <c r="E17" s="16">
        <v>400</v>
      </c>
      <c r="F17" s="16">
        <v>400</v>
      </c>
      <c r="G17" s="16">
        <v>198000</v>
      </c>
      <c r="H17" s="16">
        <f t="shared" si="0"/>
        <v>-11</v>
      </c>
    </row>
    <row r="18" spans="1:8">
      <c r="A18" s="17">
        <v>43592</v>
      </c>
      <c r="B18" s="16">
        <v>402</v>
      </c>
      <c r="C18" s="16">
        <v>408</v>
      </c>
      <c r="D18" s="16">
        <v>377</v>
      </c>
      <c r="E18" s="16">
        <v>405</v>
      </c>
      <c r="F18" s="16">
        <v>405</v>
      </c>
      <c r="G18" s="16">
        <v>215200</v>
      </c>
      <c r="H18" s="16">
        <f t="shared" si="0"/>
        <v>3</v>
      </c>
    </row>
    <row r="19" spans="1:8">
      <c r="A19" s="17">
        <v>43619</v>
      </c>
      <c r="B19" s="16">
        <v>400</v>
      </c>
      <c r="C19" s="16">
        <v>489</v>
      </c>
      <c r="D19" s="16">
        <v>397</v>
      </c>
      <c r="E19" s="16">
        <v>417</v>
      </c>
      <c r="F19" s="16">
        <v>417</v>
      </c>
      <c r="G19" s="16">
        <v>957100</v>
      </c>
      <c r="H19" s="16">
        <f t="shared" si="0"/>
        <v>17</v>
      </c>
    </row>
    <row r="20" spans="1:8">
      <c r="A20" s="17">
        <v>43647</v>
      </c>
      <c r="B20" s="16">
        <v>425</v>
      </c>
      <c r="C20" s="16">
        <v>449</v>
      </c>
      <c r="D20" s="16">
        <v>417</v>
      </c>
      <c r="E20" s="16">
        <v>423</v>
      </c>
      <c r="F20" s="16">
        <v>423</v>
      </c>
      <c r="G20" s="16">
        <v>230500</v>
      </c>
      <c r="H20" s="16">
        <f t="shared" si="0"/>
        <v>-2</v>
      </c>
    </row>
    <row r="21" spans="1:8">
      <c r="A21" s="17">
        <v>43678</v>
      </c>
      <c r="B21" s="16">
        <v>423</v>
      </c>
      <c r="C21" s="16">
        <v>442</v>
      </c>
      <c r="D21" s="16">
        <v>403</v>
      </c>
      <c r="E21" s="16">
        <v>430</v>
      </c>
      <c r="F21" s="16">
        <v>430</v>
      </c>
      <c r="G21" s="16">
        <v>225100</v>
      </c>
      <c r="H21" s="16">
        <f t="shared" si="0"/>
        <v>7</v>
      </c>
    </row>
    <row r="22" spans="1:8">
      <c r="A22" s="17">
        <v>43710</v>
      </c>
      <c r="B22" s="16">
        <v>431</v>
      </c>
      <c r="C22" s="16">
        <v>570</v>
      </c>
      <c r="D22" s="16">
        <v>428</v>
      </c>
      <c r="E22" s="16">
        <v>570</v>
      </c>
      <c r="F22" s="16">
        <v>570</v>
      </c>
      <c r="G22" s="16">
        <v>2057500</v>
      </c>
      <c r="H22" s="16">
        <f t="shared" si="0"/>
        <v>139</v>
      </c>
    </row>
    <row r="23" spans="1:8">
      <c r="A23" s="17">
        <v>43739</v>
      </c>
      <c r="B23" s="16">
        <v>571</v>
      </c>
      <c r="C23" s="16">
        <v>820</v>
      </c>
      <c r="D23" s="16">
        <v>545</v>
      </c>
      <c r="E23" s="16">
        <v>785</v>
      </c>
      <c r="F23" s="16">
        <v>785</v>
      </c>
      <c r="G23" s="16">
        <v>3295700</v>
      </c>
      <c r="H23" s="16">
        <f t="shared" si="0"/>
        <v>214</v>
      </c>
    </row>
    <row r="24" spans="1:8">
      <c r="A24" s="17">
        <v>43770</v>
      </c>
      <c r="B24" s="16">
        <v>769</v>
      </c>
      <c r="C24" s="16">
        <v>912</v>
      </c>
      <c r="D24" s="16">
        <v>751</v>
      </c>
      <c r="E24" s="16">
        <v>830</v>
      </c>
      <c r="F24" s="16">
        <v>830</v>
      </c>
      <c r="G24" s="16">
        <v>1705900</v>
      </c>
      <c r="H24" s="16">
        <f t="shared" si="0"/>
        <v>61</v>
      </c>
    </row>
    <row r="25" spans="1:8">
      <c r="A25" s="17">
        <v>43801</v>
      </c>
      <c r="B25" s="16">
        <v>826</v>
      </c>
      <c r="C25" s="16">
        <v>1027</v>
      </c>
      <c r="D25" s="16">
        <v>715</v>
      </c>
      <c r="E25" s="16">
        <v>781</v>
      </c>
      <c r="F25" s="16">
        <v>781</v>
      </c>
      <c r="G25" s="16">
        <v>4667900</v>
      </c>
      <c r="H25" s="16">
        <f t="shared" si="0"/>
        <v>-45</v>
      </c>
    </row>
    <row r="26" spans="1:8">
      <c r="A26" s="17">
        <v>43836</v>
      </c>
      <c r="B26" s="16">
        <v>768</v>
      </c>
      <c r="C26" s="16">
        <v>786</v>
      </c>
      <c r="D26" s="16">
        <v>628</v>
      </c>
      <c r="E26" s="16">
        <v>657</v>
      </c>
      <c r="F26" s="16">
        <v>657</v>
      </c>
      <c r="G26" s="16">
        <v>2163700</v>
      </c>
      <c r="H26" s="16">
        <f t="shared" si="0"/>
        <v>-111</v>
      </c>
    </row>
    <row r="27" spans="1:8">
      <c r="A27" s="17">
        <v>43864</v>
      </c>
      <c r="B27" s="16">
        <v>633</v>
      </c>
      <c r="C27" s="16">
        <v>774</v>
      </c>
      <c r="D27" s="16">
        <v>556</v>
      </c>
      <c r="E27" s="16">
        <v>560</v>
      </c>
      <c r="F27" s="16">
        <v>560</v>
      </c>
      <c r="G27" s="16">
        <v>2535300</v>
      </c>
      <c r="H27" s="16">
        <f t="shared" si="0"/>
        <v>-73</v>
      </c>
    </row>
    <row r="28" spans="1:8">
      <c r="A28" s="17">
        <v>43892</v>
      </c>
      <c r="B28" s="16">
        <v>564</v>
      </c>
      <c r="C28" s="16">
        <v>648</v>
      </c>
      <c r="D28" s="16">
        <v>333</v>
      </c>
      <c r="E28" s="16">
        <v>401</v>
      </c>
      <c r="F28" s="16">
        <v>401</v>
      </c>
      <c r="G28" s="16">
        <v>2579800</v>
      </c>
      <c r="H28" s="16">
        <f t="shared" si="0"/>
        <v>-163</v>
      </c>
    </row>
    <row r="29" spans="1:8">
      <c r="A29" s="17">
        <v>43922</v>
      </c>
      <c r="B29" s="16">
        <v>395</v>
      </c>
      <c r="C29" s="16">
        <v>519</v>
      </c>
      <c r="D29" s="16">
        <v>345</v>
      </c>
      <c r="E29" s="16">
        <v>509</v>
      </c>
      <c r="F29" s="16">
        <v>509</v>
      </c>
      <c r="G29" s="16">
        <v>1126100</v>
      </c>
      <c r="H29" s="16">
        <f t="shared" si="0"/>
        <v>114</v>
      </c>
    </row>
    <row r="30" spans="1:8">
      <c r="A30" s="17">
        <v>43952</v>
      </c>
      <c r="B30" s="16">
        <v>507</v>
      </c>
      <c r="C30" s="16">
        <v>594</v>
      </c>
      <c r="D30" s="16">
        <v>482</v>
      </c>
      <c r="E30" s="16">
        <v>579</v>
      </c>
      <c r="F30" s="16">
        <v>579</v>
      </c>
      <c r="G30" s="16">
        <v>676300</v>
      </c>
      <c r="H30" s="16">
        <f t="shared" si="0"/>
        <v>72</v>
      </c>
    </row>
    <row r="31" spans="1:8">
      <c r="A31" s="17">
        <v>43983</v>
      </c>
      <c r="B31" s="16">
        <v>571</v>
      </c>
      <c r="C31" s="16">
        <v>581</v>
      </c>
      <c r="D31" s="16">
        <v>459</v>
      </c>
      <c r="E31" s="16">
        <v>543</v>
      </c>
      <c r="F31" s="16">
        <v>543</v>
      </c>
      <c r="G31" s="16">
        <v>1164000</v>
      </c>
      <c r="H31" s="16">
        <f t="shared" si="0"/>
        <v>-28</v>
      </c>
    </row>
    <row r="32" spans="1:8">
      <c r="A32" s="17">
        <v>44013</v>
      </c>
      <c r="B32" s="16">
        <v>543</v>
      </c>
      <c r="C32" s="16">
        <v>691</v>
      </c>
      <c r="D32" s="16">
        <v>511</v>
      </c>
      <c r="E32" s="16">
        <v>675</v>
      </c>
      <c r="F32" s="16">
        <v>675</v>
      </c>
      <c r="G32" s="16">
        <v>1086400</v>
      </c>
      <c r="H32" s="16">
        <f t="shared" si="0"/>
        <v>132</v>
      </c>
    </row>
    <row r="33" spans="1:8">
      <c r="A33" s="17">
        <v>44046</v>
      </c>
      <c r="B33" s="16">
        <v>689</v>
      </c>
      <c r="C33" s="16">
        <v>820</v>
      </c>
      <c r="D33" s="16">
        <v>688</v>
      </c>
      <c r="E33" s="16">
        <v>819</v>
      </c>
      <c r="F33" s="16">
        <v>819</v>
      </c>
      <c r="G33" s="16">
        <v>754300</v>
      </c>
      <c r="H33" s="16">
        <f t="shared" si="0"/>
        <v>130</v>
      </c>
    </row>
    <row r="34" spans="1:8">
      <c r="A34" s="17">
        <v>44075</v>
      </c>
      <c r="B34" s="16">
        <v>809</v>
      </c>
      <c r="C34" s="16">
        <v>875</v>
      </c>
      <c r="D34" s="16">
        <v>660</v>
      </c>
      <c r="E34" s="16">
        <v>780</v>
      </c>
      <c r="F34" s="16">
        <v>780</v>
      </c>
      <c r="G34" s="16">
        <v>1789800</v>
      </c>
      <c r="H34" s="16">
        <f t="shared" ref="H34:H61" si="1">E34-B34</f>
        <v>-29</v>
      </c>
    </row>
    <row r="35" spans="1:8">
      <c r="A35" s="17">
        <v>44106</v>
      </c>
      <c r="B35" s="16">
        <v>780</v>
      </c>
      <c r="C35" s="16">
        <v>805</v>
      </c>
      <c r="D35" s="16">
        <v>707</v>
      </c>
      <c r="E35" s="16">
        <v>780</v>
      </c>
      <c r="F35" s="16">
        <v>780</v>
      </c>
      <c r="G35" s="16">
        <v>861300</v>
      </c>
      <c r="H35" s="16">
        <f t="shared" si="1"/>
        <v>0</v>
      </c>
    </row>
    <row r="36" spans="1:8">
      <c r="A36" s="17">
        <v>44137</v>
      </c>
      <c r="B36" s="16">
        <v>779</v>
      </c>
      <c r="C36" s="16">
        <v>817</v>
      </c>
      <c r="D36" s="16">
        <v>765</v>
      </c>
      <c r="E36" s="16">
        <v>812</v>
      </c>
      <c r="F36" s="16">
        <v>812</v>
      </c>
      <c r="G36" s="16">
        <v>683100</v>
      </c>
      <c r="H36" s="16">
        <f t="shared" si="1"/>
        <v>33</v>
      </c>
    </row>
    <row r="37" spans="1:8">
      <c r="A37" s="17">
        <v>44166</v>
      </c>
      <c r="B37" s="16">
        <v>808</v>
      </c>
      <c r="C37" s="16">
        <v>847</v>
      </c>
      <c r="D37" s="16">
        <v>614</v>
      </c>
      <c r="E37" s="16">
        <v>642</v>
      </c>
      <c r="F37" s="16">
        <v>642</v>
      </c>
      <c r="G37" s="16">
        <v>2383100</v>
      </c>
      <c r="H37" s="16">
        <f t="shared" si="1"/>
        <v>-166</v>
      </c>
    </row>
    <row r="38" spans="1:8">
      <c r="A38" s="17">
        <v>44200</v>
      </c>
      <c r="B38" s="16">
        <v>645</v>
      </c>
      <c r="C38" s="16">
        <v>749</v>
      </c>
      <c r="D38" s="16">
        <v>632</v>
      </c>
      <c r="E38" s="16">
        <v>671</v>
      </c>
      <c r="F38" s="16">
        <v>671</v>
      </c>
      <c r="G38" s="16">
        <v>2127900</v>
      </c>
      <c r="H38" s="16">
        <f t="shared" si="1"/>
        <v>26</v>
      </c>
    </row>
    <row r="39" spans="1:8">
      <c r="A39" s="17">
        <v>44228</v>
      </c>
      <c r="B39" s="16">
        <v>669</v>
      </c>
      <c r="C39" s="16">
        <v>698</v>
      </c>
      <c r="D39" s="16">
        <v>658</v>
      </c>
      <c r="E39" s="16">
        <v>658</v>
      </c>
      <c r="F39" s="16">
        <v>658</v>
      </c>
      <c r="G39" s="16">
        <v>554600</v>
      </c>
      <c r="H39" s="16">
        <f t="shared" si="1"/>
        <v>-11</v>
      </c>
    </row>
    <row r="40" spans="1:8">
      <c r="A40" s="17">
        <v>44256</v>
      </c>
      <c r="B40" s="16">
        <v>668</v>
      </c>
      <c r="C40" s="16">
        <v>738</v>
      </c>
      <c r="D40" s="16">
        <v>655</v>
      </c>
      <c r="E40" s="16">
        <v>712</v>
      </c>
      <c r="F40" s="16">
        <v>712</v>
      </c>
      <c r="G40" s="16">
        <v>959200</v>
      </c>
      <c r="H40" s="16">
        <f t="shared" si="1"/>
        <v>44</v>
      </c>
    </row>
    <row r="41" spans="1:8">
      <c r="A41" s="17">
        <v>44287</v>
      </c>
      <c r="B41" s="16">
        <v>712</v>
      </c>
      <c r="C41" s="16">
        <v>735</v>
      </c>
      <c r="D41" s="16">
        <v>661</v>
      </c>
      <c r="E41" s="16">
        <v>683</v>
      </c>
      <c r="F41" s="16">
        <v>683</v>
      </c>
      <c r="G41" s="16">
        <v>425800</v>
      </c>
      <c r="H41" s="16">
        <f t="shared" si="1"/>
        <v>-29</v>
      </c>
    </row>
    <row r="42" spans="1:8">
      <c r="A42" s="17">
        <v>44322</v>
      </c>
      <c r="B42" s="16">
        <v>679</v>
      </c>
      <c r="C42" s="16">
        <v>714</v>
      </c>
      <c r="D42" s="16">
        <v>674</v>
      </c>
      <c r="E42" s="16">
        <v>689</v>
      </c>
      <c r="F42" s="16">
        <v>689</v>
      </c>
      <c r="G42" s="16">
        <v>243300</v>
      </c>
      <c r="H42" s="16">
        <f t="shared" si="1"/>
        <v>10</v>
      </c>
    </row>
    <row r="43" spans="1:8">
      <c r="A43" s="17">
        <v>44348</v>
      </c>
      <c r="B43" s="16">
        <v>692</v>
      </c>
      <c r="C43" s="16">
        <v>729</v>
      </c>
      <c r="D43" s="16">
        <v>667</v>
      </c>
      <c r="E43" s="16">
        <v>684</v>
      </c>
      <c r="F43" s="16">
        <v>684</v>
      </c>
      <c r="G43" s="16">
        <v>472200</v>
      </c>
      <c r="H43" s="16">
        <f t="shared" si="1"/>
        <v>-8</v>
      </c>
    </row>
    <row r="44" spans="1:8">
      <c r="A44" s="17">
        <v>44378</v>
      </c>
      <c r="B44" s="16">
        <v>687</v>
      </c>
      <c r="C44" s="16">
        <v>700</v>
      </c>
      <c r="D44" s="16">
        <v>660</v>
      </c>
      <c r="E44" s="16">
        <v>660</v>
      </c>
      <c r="F44" s="16">
        <v>660</v>
      </c>
      <c r="G44" s="16">
        <v>253700</v>
      </c>
      <c r="H44" s="16">
        <f t="shared" si="1"/>
        <v>-27</v>
      </c>
    </row>
    <row r="45" spans="1:8">
      <c r="A45" s="17">
        <v>44410</v>
      </c>
      <c r="B45" s="16">
        <v>669</v>
      </c>
      <c r="C45" s="16">
        <v>681</v>
      </c>
      <c r="D45" s="16">
        <v>640</v>
      </c>
      <c r="E45" s="16">
        <v>681</v>
      </c>
      <c r="F45" s="16">
        <v>681</v>
      </c>
      <c r="G45" s="16">
        <v>236800</v>
      </c>
      <c r="H45" s="16">
        <f t="shared" si="1"/>
        <v>12</v>
      </c>
    </row>
    <row r="46" spans="1:8">
      <c r="A46" s="17">
        <v>44440</v>
      </c>
      <c r="B46" s="16">
        <v>681</v>
      </c>
      <c r="C46" s="16">
        <v>713</v>
      </c>
      <c r="D46" s="16">
        <v>665</v>
      </c>
      <c r="E46" s="16">
        <v>678</v>
      </c>
      <c r="F46" s="16">
        <v>678</v>
      </c>
      <c r="G46" s="16">
        <v>563300</v>
      </c>
      <c r="H46" s="16">
        <f t="shared" si="1"/>
        <v>-3</v>
      </c>
    </row>
    <row r="47" spans="1:8">
      <c r="A47" s="17">
        <v>44470</v>
      </c>
      <c r="B47" s="16">
        <v>670</v>
      </c>
      <c r="C47" s="16">
        <v>681</v>
      </c>
      <c r="D47" s="16">
        <v>660</v>
      </c>
      <c r="E47" s="16">
        <v>670</v>
      </c>
      <c r="F47" s="16">
        <v>670</v>
      </c>
      <c r="G47" s="16">
        <v>314700</v>
      </c>
      <c r="H47" s="16">
        <f t="shared" si="1"/>
        <v>0</v>
      </c>
    </row>
    <row r="48" spans="1:8">
      <c r="A48" s="17">
        <v>44501</v>
      </c>
      <c r="B48" s="16">
        <v>677</v>
      </c>
      <c r="C48" s="16">
        <v>705</v>
      </c>
      <c r="D48" s="16">
        <v>653</v>
      </c>
      <c r="E48" s="16">
        <v>653</v>
      </c>
      <c r="F48" s="16">
        <v>653</v>
      </c>
      <c r="G48" s="16">
        <v>497000</v>
      </c>
      <c r="H48" s="16">
        <f t="shared" si="1"/>
        <v>-24</v>
      </c>
    </row>
    <row r="49" spans="1:8">
      <c r="A49" s="17">
        <v>44531</v>
      </c>
      <c r="B49" s="16">
        <v>652</v>
      </c>
      <c r="C49" s="16">
        <v>728</v>
      </c>
      <c r="D49" s="16">
        <v>636</v>
      </c>
      <c r="E49" s="16">
        <v>728</v>
      </c>
      <c r="F49" s="16">
        <v>728</v>
      </c>
      <c r="G49" s="16">
        <v>931500</v>
      </c>
      <c r="H49" s="16">
        <f t="shared" si="1"/>
        <v>76</v>
      </c>
    </row>
    <row r="50" spans="1:8">
      <c r="A50" s="17">
        <v>44565</v>
      </c>
      <c r="B50" s="16">
        <v>728</v>
      </c>
      <c r="C50" s="16">
        <v>736</v>
      </c>
      <c r="D50" s="16">
        <v>648</v>
      </c>
      <c r="E50" s="16">
        <v>657</v>
      </c>
      <c r="F50" s="16">
        <v>657</v>
      </c>
      <c r="G50" s="16">
        <v>815200</v>
      </c>
      <c r="H50" s="16">
        <f t="shared" si="1"/>
        <v>-71</v>
      </c>
    </row>
    <row r="51" spans="1:8">
      <c r="A51" s="17">
        <v>44593</v>
      </c>
      <c r="B51" s="16">
        <v>657</v>
      </c>
      <c r="C51" s="16">
        <v>673</v>
      </c>
      <c r="D51" s="16">
        <v>629</v>
      </c>
      <c r="E51" s="16">
        <v>656</v>
      </c>
      <c r="F51" s="16">
        <v>656</v>
      </c>
      <c r="G51" s="16">
        <v>393700</v>
      </c>
      <c r="H51" s="16">
        <f t="shared" si="1"/>
        <v>-1</v>
      </c>
    </row>
    <row r="52" spans="1:8">
      <c r="A52" s="17">
        <v>44621</v>
      </c>
      <c r="B52" s="16">
        <v>658</v>
      </c>
      <c r="C52" s="16">
        <v>661</v>
      </c>
      <c r="D52" s="16">
        <v>600</v>
      </c>
      <c r="E52" s="16">
        <v>620</v>
      </c>
      <c r="F52" s="16">
        <v>620</v>
      </c>
      <c r="G52" s="16">
        <v>834600</v>
      </c>
      <c r="H52" s="16">
        <f t="shared" si="1"/>
        <v>-38</v>
      </c>
    </row>
    <row r="53" spans="1:8">
      <c r="A53" s="17">
        <v>44652</v>
      </c>
      <c r="B53" s="16">
        <v>620</v>
      </c>
      <c r="C53" s="16">
        <v>628</v>
      </c>
      <c r="D53" s="16">
        <v>601</v>
      </c>
      <c r="E53" s="16">
        <v>616</v>
      </c>
      <c r="F53" s="16">
        <v>616</v>
      </c>
      <c r="G53" s="16">
        <v>200900</v>
      </c>
      <c r="H53" s="16">
        <f t="shared" si="1"/>
        <v>-4</v>
      </c>
    </row>
    <row r="54" spans="1:8">
      <c r="A54" s="17">
        <v>44683</v>
      </c>
      <c r="B54" s="16">
        <v>610</v>
      </c>
      <c r="C54" s="16">
        <v>633</v>
      </c>
      <c r="D54" s="16">
        <v>606</v>
      </c>
      <c r="E54" s="16">
        <v>632</v>
      </c>
      <c r="F54" s="16">
        <v>632</v>
      </c>
      <c r="G54" s="16">
        <v>145300</v>
      </c>
      <c r="H54" s="16">
        <f t="shared" si="1"/>
        <v>22</v>
      </c>
    </row>
    <row r="55" spans="1:8">
      <c r="A55" s="17">
        <v>44713</v>
      </c>
      <c r="B55" s="16">
        <v>630</v>
      </c>
      <c r="C55" s="16">
        <v>646</v>
      </c>
      <c r="D55" s="16">
        <v>608</v>
      </c>
      <c r="E55" s="16">
        <v>621</v>
      </c>
      <c r="F55" s="16">
        <v>621</v>
      </c>
      <c r="G55" s="16">
        <v>247700</v>
      </c>
      <c r="H55" s="16">
        <f t="shared" si="1"/>
        <v>-9</v>
      </c>
    </row>
    <row r="56" spans="1:8">
      <c r="A56" s="17">
        <v>44743</v>
      </c>
      <c r="B56" s="16">
        <v>621</v>
      </c>
      <c r="C56" s="16">
        <v>622</v>
      </c>
      <c r="D56" s="16">
        <v>599</v>
      </c>
      <c r="E56" s="16">
        <v>604</v>
      </c>
      <c r="F56" s="16">
        <v>604</v>
      </c>
      <c r="G56" s="16">
        <v>501800</v>
      </c>
      <c r="H56" s="16">
        <f t="shared" si="1"/>
        <v>-17</v>
      </c>
    </row>
    <row r="57" spans="1:8">
      <c r="A57" s="17">
        <v>44774</v>
      </c>
      <c r="B57" s="16">
        <v>606</v>
      </c>
      <c r="C57" s="16">
        <v>610</v>
      </c>
      <c r="D57" s="16">
        <v>600</v>
      </c>
      <c r="E57" s="16">
        <v>603</v>
      </c>
      <c r="F57" s="16">
        <v>603</v>
      </c>
      <c r="G57" s="16">
        <v>269900</v>
      </c>
      <c r="H57" s="16">
        <f t="shared" si="1"/>
        <v>-3</v>
      </c>
    </row>
    <row r="58" spans="1:8">
      <c r="A58" s="17">
        <v>44805</v>
      </c>
      <c r="B58" s="16">
        <v>603</v>
      </c>
      <c r="C58" s="16">
        <v>607</v>
      </c>
      <c r="D58" s="16">
        <v>541</v>
      </c>
      <c r="E58" s="16">
        <v>575</v>
      </c>
      <c r="F58" s="16">
        <v>575</v>
      </c>
      <c r="G58" s="16">
        <v>518200</v>
      </c>
      <c r="H58" s="16">
        <f t="shared" si="1"/>
        <v>-28</v>
      </c>
    </row>
    <row r="59" spans="1:8">
      <c r="A59" s="17">
        <v>44837</v>
      </c>
      <c r="B59" s="16">
        <v>565</v>
      </c>
      <c r="C59" s="16">
        <v>593</v>
      </c>
      <c r="D59" s="16">
        <v>560</v>
      </c>
      <c r="E59" s="16">
        <v>576</v>
      </c>
      <c r="F59" s="16">
        <v>576</v>
      </c>
      <c r="G59" s="16">
        <v>473100</v>
      </c>
      <c r="H59" s="16">
        <f t="shared" si="1"/>
        <v>11</v>
      </c>
    </row>
    <row r="60" spans="1:8">
      <c r="A60" s="17">
        <v>44866</v>
      </c>
      <c r="B60" s="16">
        <v>580</v>
      </c>
      <c r="C60" s="16">
        <v>621</v>
      </c>
      <c r="D60" s="16">
        <v>579</v>
      </c>
      <c r="E60" s="16">
        <v>618</v>
      </c>
      <c r="F60" s="16">
        <v>618</v>
      </c>
      <c r="G60" s="16">
        <v>176100</v>
      </c>
      <c r="H60" s="16">
        <f t="shared" si="1"/>
        <v>38</v>
      </c>
    </row>
    <row r="61" spans="1:8">
      <c r="A61" s="17">
        <v>44896</v>
      </c>
      <c r="B61" s="16">
        <v>620</v>
      </c>
      <c r="C61" s="16">
        <v>631</v>
      </c>
      <c r="D61" s="16">
        <v>611</v>
      </c>
      <c r="E61" s="16">
        <v>627</v>
      </c>
      <c r="F61" s="16">
        <v>627</v>
      </c>
      <c r="G61" s="16">
        <v>194600</v>
      </c>
      <c r="H61" s="16">
        <f t="shared" si="1"/>
        <v>7</v>
      </c>
    </row>
  </sheetData>
  <phoneticPr fontId="32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C2625-194D-4B1F-BF9B-77F332D68245}">
  <sheetPr codeName="Sheet11"/>
  <dimension ref="A1:DY61"/>
  <sheetViews>
    <sheetView workbookViewId="0">
      <selection activeCell="I1" sqref="I1"/>
    </sheetView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113</v>
      </c>
      <c r="C2" s="16">
        <v>131</v>
      </c>
      <c r="D2" s="16">
        <v>112</v>
      </c>
      <c r="E2" s="16">
        <v>120</v>
      </c>
      <c r="F2" s="16">
        <v>120</v>
      </c>
      <c r="G2" s="16">
        <v>4223000</v>
      </c>
      <c r="H2" s="16">
        <f t="shared" ref="H2:H33" si="0">E2-B2</f>
        <v>7</v>
      </c>
      <c r="J2" s="18" cm="1">
        <f t="array" ref="J2:Q6">_xlfn._xlws.FILTER(A2:H61,MONTH(A2:A61)=1,"")</f>
        <v>43104</v>
      </c>
      <c r="K2" s="16">
        <v>113</v>
      </c>
      <c r="L2" s="16">
        <v>131</v>
      </c>
      <c r="M2" s="16">
        <v>112</v>
      </c>
      <c r="N2" s="16">
        <v>120</v>
      </c>
      <c r="O2" s="16">
        <v>120</v>
      </c>
      <c r="P2" s="16">
        <v>4223000</v>
      </c>
      <c r="Q2" s="16">
        <v>7</v>
      </c>
      <c r="R2" s="16">
        <f>Q2/K2*100</f>
        <v>6.1946902654867255</v>
      </c>
      <c r="S2" s="16">
        <f>COUNT(Q2:Q6)</f>
        <v>5</v>
      </c>
      <c r="T2" s="18" cm="1">
        <f t="array" ref="T2:AA6">_xlfn._xlws.FILTER(A2:H61,MONTH(A2:A61)=2,"")</f>
        <v>43132</v>
      </c>
      <c r="U2" s="16">
        <v>122</v>
      </c>
      <c r="V2" s="16">
        <v>122</v>
      </c>
      <c r="W2" s="16">
        <v>109</v>
      </c>
      <c r="X2" s="16">
        <v>116</v>
      </c>
      <c r="Y2" s="16">
        <v>116</v>
      </c>
      <c r="Z2" s="16">
        <v>1050600</v>
      </c>
      <c r="AA2" s="16">
        <v>-6</v>
      </c>
      <c r="AB2" s="16">
        <f>AA2/U2*100</f>
        <v>-4.918032786885246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117</v>
      </c>
      <c r="AF2" s="16">
        <v>153</v>
      </c>
      <c r="AG2" s="16">
        <v>111</v>
      </c>
      <c r="AH2" s="16">
        <v>121</v>
      </c>
      <c r="AI2" s="16">
        <v>121</v>
      </c>
      <c r="AJ2" s="16">
        <v>11698400</v>
      </c>
      <c r="AK2" s="16">
        <v>4</v>
      </c>
      <c r="AL2" s="16">
        <f>AK2/AE2*100</f>
        <v>3.4188034188034191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123</v>
      </c>
      <c r="AP2" s="16">
        <v>126</v>
      </c>
      <c r="AQ2" s="16">
        <v>116</v>
      </c>
      <c r="AR2" s="16">
        <v>119</v>
      </c>
      <c r="AS2" s="16">
        <v>119</v>
      </c>
      <c r="AT2" s="16">
        <v>2022400</v>
      </c>
      <c r="AU2" s="16">
        <v>-4</v>
      </c>
      <c r="AV2" s="16">
        <f>AU2/AO2*100</f>
        <v>-3.2520325203252036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120</v>
      </c>
      <c r="AZ2" s="16">
        <v>135</v>
      </c>
      <c r="BA2" s="16">
        <v>116</v>
      </c>
      <c r="BB2" s="16">
        <v>129</v>
      </c>
      <c r="BC2" s="16">
        <v>129</v>
      </c>
      <c r="BD2" s="16">
        <v>2383900</v>
      </c>
      <c r="BE2" s="16">
        <v>9</v>
      </c>
      <c r="BF2" s="16">
        <f>BE2/AY2*100</f>
        <v>7.5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129</v>
      </c>
      <c r="BJ2" s="16">
        <v>148</v>
      </c>
      <c r="BK2" s="16">
        <v>114</v>
      </c>
      <c r="BL2" s="16">
        <v>114</v>
      </c>
      <c r="BM2" s="16">
        <v>114</v>
      </c>
      <c r="BN2" s="16">
        <v>6709400</v>
      </c>
      <c r="BO2" s="16">
        <v>-15</v>
      </c>
      <c r="BP2" s="16">
        <f>BO2/BI2*100</f>
        <v>-11.627906976744185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115</v>
      </c>
      <c r="BT2" s="16">
        <v>126</v>
      </c>
      <c r="BU2" s="16">
        <v>114</v>
      </c>
      <c r="BV2" s="16">
        <v>118</v>
      </c>
      <c r="BW2" s="16">
        <v>118</v>
      </c>
      <c r="BX2" s="16">
        <v>2266700</v>
      </c>
      <c r="BY2" s="16">
        <v>3</v>
      </c>
      <c r="BZ2" s="16">
        <f>BY2/BS2*100</f>
        <v>2.6086956521739131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119</v>
      </c>
      <c r="CD2" s="16">
        <v>129</v>
      </c>
      <c r="CE2" s="16">
        <v>113</v>
      </c>
      <c r="CF2" s="16">
        <v>126</v>
      </c>
      <c r="CG2" s="16">
        <v>126</v>
      </c>
      <c r="CH2" s="16">
        <v>1544500</v>
      </c>
      <c r="CI2" s="16">
        <v>7</v>
      </c>
      <c r="CJ2" s="16">
        <f>CI2/CC2*100</f>
        <v>5.8823529411764701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127</v>
      </c>
      <c r="CN2" s="16">
        <v>127</v>
      </c>
      <c r="CO2" s="16">
        <v>104</v>
      </c>
      <c r="CP2" s="16">
        <v>108</v>
      </c>
      <c r="CQ2" s="16">
        <v>108</v>
      </c>
      <c r="CR2" s="16">
        <v>1838500</v>
      </c>
      <c r="CS2" s="16">
        <v>-19</v>
      </c>
      <c r="CT2" s="16">
        <f>CS2/CM2*100</f>
        <v>-14.960629921259844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108</v>
      </c>
      <c r="CX2" s="16">
        <v>111</v>
      </c>
      <c r="CY2" s="16">
        <v>96</v>
      </c>
      <c r="CZ2" s="16">
        <v>100</v>
      </c>
      <c r="DA2" s="16">
        <v>100</v>
      </c>
      <c r="DB2" s="16">
        <v>1403300</v>
      </c>
      <c r="DC2" s="16">
        <v>-8</v>
      </c>
      <c r="DD2" s="16">
        <f>DC2/CW2*100</f>
        <v>-7.4074074074074066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101</v>
      </c>
      <c r="DH2" s="16">
        <v>104</v>
      </c>
      <c r="DI2" s="16">
        <v>97</v>
      </c>
      <c r="DJ2" s="16">
        <v>98</v>
      </c>
      <c r="DK2" s="16">
        <v>98</v>
      </c>
      <c r="DL2" s="16">
        <v>920300</v>
      </c>
      <c r="DM2" s="16">
        <v>-3</v>
      </c>
      <c r="DN2" s="16">
        <f>DM2/DG2*100</f>
        <v>-2.9702970297029703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100</v>
      </c>
      <c r="DR2" s="16">
        <v>100</v>
      </c>
      <c r="DS2" s="16">
        <v>52</v>
      </c>
      <c r="DT2" s="16">
        <v>67</v>
      </c>
      <c r="DU2" s="16">
        <v>67</v>
      </c>
      <c r="DV2" s="16">
        <v>2439500</v>
      </c>
      <c r="DW2" s="16">
        <v>-33</v>
      </c>
      <c r="DX2" s="16">
        <f>DW2/DQ2*100</f>
        <v>-33</v>
      </c>
      <c r="DY2" s="16">
        <f>COUNT(DW2:DW6)</f>
        <v>5</v>
      </c>
    </row>
    <row r="3" spans="1:129">
      <c r="A3" s="17">
        <v>43132</v>
      </c>
      <c r="B3" s="16">
        <v>122</v>
      </c>
      <c r="C3" s="16">
        <v>122</v>
      </c>
      <c r="D3" s="16">
        <v>109</v>
      </c>
      <c r="E3" s="16">
        <v>116</v>
      </c>
      <c r="F3" s="16">
        <v>116</v>
      </c>
      <c r="G3" s="16">
        <v>1050600</v>
      </c>
      <c r="H3" s="16">
        <f t="shared" si="0"/>
        <v>-6</v>
      </c>
      <c r="J3" s="18">
        <v>43469</v>
      </c>
      <c r="K3" s="16">
        <v>64</v>
      </c>
      <c r="L3" s="16">
        <v>85</v>
      </c>
      <c r="M3" s="16">
        <v>64</v>
      </c>
      <c r="N3" s="16">
        <v>78</v>
      </c>
      <c r="O3" s="16">
        <v>78</v>
      </c>
      <c r="P3" s="16">
        <v>2164000</v>
      </c>
      <c r="Q3" s="16">
        <v>14</v>
      </c>
      <c r="R3" s="16">
        <f>Q3/K3*100</f>
        <v>21.875</v>
      </c>
      <c r="S3" s="16">
        <f>COUNTIF(Q2:Q6,"&gt;0")</f>
        <v>4</v>
      </c>
      <c r="T3" s="18">
        <v>43497</v>
      </c>
      <c r="U3" s="16">
        <v>78</v>
      </c>
      <c r="V3" s="16">
        <v>110</v>
      </c>
      <c r="W3" s="16">
        <v>72</v>
      </c>
      <c r="X3" s="16">
        <v>89</v>
      </c>
      <c r="Y3" s="16">
        <v>89</v>
      </c>
      <c r="Z3" s="16">
        <v>5328700</v>
      </c>
      <c r="AA3" s="16">
        <v>11</v>
      </c>
      <c r="AB3" s="16">
        <f>AA3/U3*100</f>
        <v>14.102564102564102</v>
      </c>
      <c r="AC3" s="16">
        <f>COUNTIF(AA2:AA6,"&gt;0")</f>
        <v>2</v>
      </c>
      <c r="AD3" s="18">
        <v>43525</v>
      </c>
      <c r="AE3" s="16">
        <v>91</v>
      </c>
      <c r="AF3" s="16">
        <v>124</v>
      </c>
      <c r="AG3" s="16">
        <v>85</v>
      </c>
      <c r="AH3" s="16">
        <v>96</v>
      </c>
      <c r="AI3" s="16">
        <v>96</v>
      </c>
      <c r="AJ3" s="16">
        <v>13966100</v>
      </c>
      <c r="AK3" s="16">
        <v>5</v>
      </c>
      <c r="AL3" s="16">
        <f>AK3/AE3*100</f>
        <v>5.4945054945054945</v>
      </c>
      <c r="AM3" s="16">
        <f>COUNTIF(AK2:AK6,"&gt;0")</f>
        <v>2</v>
      </c>
      <c r="AN3" s="18">
        <v>43556</v>
      </c>
      <c r="AO3" s="16">
        <v>100</v>
      </c>
      <c r="AP3" s="16">
        <v>100</v>
      </c>
      <c r="AQ3" s="16">
        <v>87</v>
      </c>
      <c r="AR3" s="16">
        <v>88</v>
      </c>
      <c r="AS3" s="16">
        <v>88</v>
      </c>
      <c r="AT3" s="16">
        <v>1220200</v>
      </c>
      <c r="AU3" s="16">
        <v>-12</v>
      </c>
      <c r="AV3" s="16">
        <f>AU3/AO3*100</f>
        <v>-12</v>
      </c>
      <c r="AW3" s="16">
        <f>COUNTIF(AU2:AU6,"&gt;0")</f>
        <v>1</v>
      </c>
      <c r="AX3" s="18">
        <v>43592</v>
      </c>
      <c r="AY3" s="16">
        <v>88</v>
      </c>
      <c r="AZ3" s="16">
        <v>100</v>
      </c>
      <c r="BA3" s="16">
        <v>82</v>
      </c>
      <c r="BB3" s="16">
        <v>90</v>
      </c>
      <c r="BC3" s="16">
        <v>90</v>
      </c>
      <c r="BD3" s="16">
        <v>1647300</v>
      </c>
      <c r="BE3" s="16">
        <v>2</v>
      </c>
      <c r="BF3" s="16">
        <f>BE3/AY3*100</f>
        <v>2.2727272727272729</v>
      </c>
      <c r="BG3" s="16">
        <f>COUNTIF(BE2:BE6,"&gt;0")</f>
        <v>5</v>
      </c>
      <c r="BH3" s="18">
        <v>43619</v>
      </c>
      <c r="BI3" s="16">
        <v>90</v>
      </c>
      <c r="BJ3" s="16">
        <v>109</v>
      </c>
      <c r="BK3" s="16">
        <v>86</v>
      </c>
      <c r="BL3" s="16">
        <v>91</v>
      </c>
      <c r="BM3" s="16">
        <v>91</v>
      </c>
      <c r="BN3" s="16">
        <v>3217200</v>
      </c>
      <c r="BO3" s="16">
        <v>1</v>
      </c>
      <c r="BP3" s="16">
        <f>BO3/BI3*100</f>
        <v>1.1111111111111112</v>
      </c>
      <c r="BQ3" s="16">
        <f>COUNTIF(BO2:BO6,"&gt;0")</f>
        <v>1</v>
      </c>
      <c r="BR3" s="18">
        <v>43647</v>
      </c>
      <c r="BS3" s="16">
        <v>92</v>
      </c>
      <c r="BT3" s="16">
        <v>97</v>
      </c>
      <c r="BU3" s="16">
        <v>90</v>
      </c>
      <c r="BV3" s="16">
        <v>93</v>
      </c>
      <c r="BW3" s="16">
        <v>93</v>
      </c>
      <c r="BX3" s="16">
        <v>1283100</v>
      </c>
      <c r="BY3" s="16">
        <v>1</v>
      </c>
      <c r="BZ3" s="16">
        <f>BY3/BS3*100</f>
        <v>1.0869565217391304</v>
      </c>
      <c r="CA3" s="16">
        <f>COUNTIF(BY2:BY6,"&gt;0")</f>
        <v>2</v>
      </c>
      <c r="CB3" s="18">
        <v>43678</v>
      </c>
      <c r="CC3" s="16">
        <v>94</v>
      </c>
      <c r="CD3" s="16">
        <v>95</v>
      </c>
      <c r="CE3" s="16">
        <v>84</v>
      </c>
      <c r="CF3" s="16">
        <v>89</v>
      </c>
      <c r="CG3" s="16">
        <v>89</v>
      </c>
      <c r="CH3" s="16">
        <v>694300</v>
      </c>
      <c r="CI3" s="16">
        <v>-5</v>
      </c>
      <c r="CJ3" s="16">
        <f>CI3/CC3*100</f>
        <v>-5.3191489361702127</v>
      </c>
      <c r="CK3" s="16">
        <f>COUNTIF(CI2:CI6,"&gt;0")</f>
        <v>3</v>
      </c>
      <c r="CL3" s="18">
        <v>43710</v>
      </c>
      <c r="CM3" s="16">
        <v>89</v>
      </c>
      <c r="CN3" s="16">
        <v>127</v>
      </c>
      <c r="CO3" s="16">
        <v>87</v>
      </c>
      <c r="CP3" s="16">
        <v>89</v>
      </c>
      <c r="CQ3" s="16">
        <v>89</v>
      </c>
      <c r="CR3" s="16">
        <v>12505400</v>
      </c>
      <c r="CS3" s="16">
        <v>0</v>
      </c>
      <c r="CT3" s="16">
        <f>CS3/CM3*100</f>
        <v>0</v>
      </c>
      <c r="CU3" s="16">
        <f>COUNTIF(CS2:CS6,"&gt;0")</f>
        <v>1</v>
      </c>
      <c r="CV3" s="18">
        <v>43739</v>
      </c>
      <c r="CW3" s="16">
        <v>90</v>
      </c>
      <c r="CX3" s="16">
        <v>91</v>
      </c>
      <c r="CY3" s="16">
        <v>80</v>
      </c>
      <c r="CZ3" s="16">
        <v>81</v>
      </c>
      <c r="DA3" s="16">
        <v>81</v>
      </c>
      <c r="DB3" s="16">
        <v>7608600</v>
      </c>
      <c r="DC3" s="16">
        <v>-9</v>
      </c>
      <c r="DD3" s="16">
        <f>DC3/CW3*100</f>
        <v>-10</v>
      </c>
      <c r="DE3" s="16">
        <f>COUNTIF(DC2:DC6,"&gt;0")</f>
        <v>1</v>
      </c>
      <c r="DF3" s="18">
        <v>43770</v>
      </c>
      <c r="DG3" s="16">
        <v>84</v>
      </c>
      <c r="DH3" s="16">
        <v>104</v>
      </c>
      <c r="DI3" s="16">
        <v>77</v>
      </c>
      <c r="DJ3" s="16">
        <v>85</v>
      </c>
      <c r="DK3" s="16">
        <v>85</v>
      </c>
      <c r="DL3" s="16">
        <v>14096400</v>
      </c>
      <c r="DM3" s="16">
        <v>1</v>
      </c>
      <c r="DN3" s="16">
        <f>DM3/DG3*100</f>
        <v>1.1904761904761905</v>
      </c>
      <c r="DO3" s="16">
        <f>COUNTIF(DM2:DM6,"&gt;0")</f>
        <v>3</v>
      </c>
      <c r="DP3" s="18">
        <v>43801</v>
      </c>
      <c r="DQ3" s="16">
        <v>87</v>
      </c>
      <c r="DR3" s="16">
        <v>95</v>
      </c>
      <c r="DS3" s="16">
        <v>82</v>
      </c>
      <c r="DT3" s="16">
        <v>86</v>
      </c>
      <c r="DU3" s="16">
        <v>86</v>
      </c>
      <c r="DV3" s="16">
        <v>7839900</v>
      </c>
      <c r="DW3" s="16">
        <v>-1</v>
      </c>
      <c r="DX3" s="16">
        <f>DW3/DQ3*100</f>
        <v>-1.1494252873563218</v>
      </c>
      <c r="DY3" s="16">
        <f>COUNTIF(DW2:DW6,"&gt;0")</f>
        <v>1</v>
      </c>
    </row>
    <row r="4" spans="1:129">
      <c r="A4" s="17">
        <v>43160</v>
      </c>
      <c r="B4" s="16">
        <v>117</v>
      </c>
      <c r="C4" s="16">
        <v>153</v>
      </c>
      <c r="D4" s="16">
        <v>111</v>
      </c>
      <c r="E4" s="16">
        <v>121</v>
      </c>
      <c r="F4" s="16">
        <v>121</v>
      </c>
      <c r="G4" s="16">
        <v>11698400</v>
      </c>
      <c r="H4" s="16">
        <f t="shared" si="0"/>
        <v>4</v>
      </c>
      <c r="J4" s="18">
        <v>43836</v>
      </c>
      <c r="K4" s="16">
        <v>85</v>
      </c>
      <c r="L4" s="16">
        <v>98</v>
      </c>
      <c r="M4" s="16">
        <v>83</v>
      </c>
      <c r="N4" s="16">
        <v>83</v>
      </c>
      <c r="O4" s="16">
        <v>83</v>
      </c>
      <c r="P4" s="16">
        <v>4930800</v>
      </c>
      <c r="Q4" s="16">
        <v>-2</v>
      </c>
      <c r="R4" s="16">
        <f>Q4/K4*100</f>
        <v>-2.3529411764705883</v>
      </c>
      <c r="S4" s="19">
        <f>S3/S2*100</f>
        <v>80</v>
      </c>
      <c r="T4" s="18">
        <v>43864</v>
      </c>
      <c r="U4" s="16">
        <v>81</v>
      </c>
      <c r="V4" s="16">
        <v>85</v>
      </c>
      <c r="W4" s="16">
        <v>61</v>
      </c>
      <c r="X4" s="16">
        <v>61</v>
      </c>
      <c r="Y4" s="16">
        <v>61</v>
      </c>
      <c r="Z4" s="16">
        <v>2291100</v>
      </c>
      <c r="AA4" s="16">
        <v>-20</v>
      </c>
      <c r="AB4" s="16">
        <f>AA4/U4*100</f>
        <v>-24.691358024691358</v>
      </c>
      <c r="AC4" s="19">
        <f>AC3/AC2*100</f>
        <v>40</v>
      </c>
      <c r="AD4" s="18">
        <v>43892</v>
      </c>
      <c r="AE4" s="16">
        <v>65</v>
      </c>
      <c r="AF4" s="16">
        <v>73</v>
      </c>
      <c r="AG4" s="16">
        <v>46</v>
      </c>
      <c r="AH4" s="16">
        <v>53</v>
      </c>
      <c r="AI4" s="16">
        <v>53</v>
      </c>
      <c r="AJ4" s="16">
        <v>4164500</v>
      </c>
      <c r="AK4" s="16">
        <v>-12</v>
      </c>
      <c r="AL4" s="16">
        <f>AK4/AE4*100</f>
        <v>-18.461538461538463</v>
      </c>
      <c r="AM4" s="19">
        <f>AM3/AM2*100</f>
        <v>40</v>
      </c>
      <c r="AN4" s="18">
        <v>43922</v>
      </c>
      <c r="AO4" s="16">
        <v>52</v>
      </c>
      <c r="AP4" s="16">
        <v>67</v>
      </c>
      <c r="AQ4" s="16">
        <v>48</v>
      </c>
      <c r="AR4" s="16">
        <v>64</v>
      </c>
      <c r="AS4" s="16">
        <v>64</v>
      </c>
      <c r="AT4" s="16">
        <v>3312400</v>
      </c>
      <c r="AU4" s="16">
        <v>12</v>
      </c>
      <c r="AV4" s="16">
        <f>AU4/AO4*100</f>
        <v>23.076923076923077</v>
      </c>
      <c r="AW4" s="19">
        <f>AW3/AW2*100</f>
        <v>20</v>
      </c>
      <c r="AX4" s="18">
        <v>43952</v>
      </c>
      <c r="AY4" s="16">
        <v>63</v>
      </c>
      <c r="AZ4" s="16">
        <v>79</v>
      </c>
      <c r="BA4" s="16">
        <v>60</v>
      </c>
      <c r="BB4" s="16">
        <v>79</v>
      </c>
      <c r="BC4" s="16">
        <v>79</v>
      </c>
      <c r="BD4" s="16">
        <v>3275800</v>
      </c>
      <c r="BE4" s="16">
        <v>16</v>
      </c>
      <c r="BF4" s="16">
        <f>BE4/AY4*100</f>
        <v>25.396825396825395</v>
      </c>
      <c r="BG4" s="19">
        <f>BG3/BG2*100</f>
        <v>100</v>
      </c>
      <c r="BH4" s="18">
        <v>43983</v>
      </c>
      <c r="BI4" s="16">
        <v>78</v>
      </c>
      <c r="BJ4" s="16">
        <v>90</v>
      </c>
      <c r="BK4" s="16">
        <v>69</v>
      </c>
      <c r="BL4" s="16">
        <v>74</v>
      </c>
      <c r="BM4" s="16">
        <v>74</v>
      </c>
      <c r="BN4" s="16">
        <v>7579700</v>
      </c>
      <c r="BO4" s="16">
        <v>-4</v>
      </c>
      <c r="BP4" s="16">
        <f>BO4/BI4*100</f>
        <v>-5.1282051282051277</v>
      </c>
      <c r="BQ4" s="19">
        <f>BQ3/BQ2*100</f>
        <v>20</v>
      </c>
      <c r="BR4" s="18">
        <v>44013</v>
      </c>
      <c r="BS4" s="16">
        <v>74</v>
      </c>
      <c r="BT4" s="16">
        <v>78</v>
      </c>
      <c r="BU4" s="16">
        <v>69</v>
      </c>
      <c r="BV4" s="16">
        <v>71</v>
      </c>
      <c r="BW4" s="16">
        <v>71</v>
      </c>
      <c r="BX4" s="16">
        <v>1426000</v>
      </c>
      <c r="BY4" s="16">
        <v>-3</v>
      </c>
      <c r="BZ4" s="16">
        <f>BY4/BS4*100</f>
        <v>-4.0540540540540544</v>
      </c>
      <c r="CA4" s="19">
        <f>CA3/CA2*100</f>
        <v>40</v>
      </c>
      <c r="CB4" s="18">
        <v>44046</v>
      </c>
      <c r="CC4" s="16">
        <v>72</v>
      </c>
      <c r="CD4" s="16">
        <v>98</v>
      </c>
      <c r="CE4" s="16">
        <v>71</v>
      </c>
      <c r="CF4" s="16">
        <v>88</v>
      </c>
      <c r="CG4" s="16">
        <v>88</v>
      </c>
      <c r="CH4" s="16">
        <v>8470000</v>
      </c>
      <c r="CI4" s="16">
        <v>16</v>
      </c>
      <c r="CJ4" s="16">
        <f>CI4/CC4*100</f>
        <v>22.222222222222221</v>
      </c>
      <c r="CK4" s="19">
        <f>CK3/CK2*100</f>
        <v>60</v>
      </c>
      <c r="CL4" s="18">
        <v>44075</v>
      </c>
      <c r="CM4" s="16">
        <v>86</v>
      </c>
      <c r="CN4" s="16">
        <v>172</v>
      </c>
      <c r="CO4" s="16">
        <v>84</v>
      </c>
      <c r="CP4" s="16">
        <v>130</v>
      </c>
      <c r="CQ4" s="16">
        <v>130</v>
      </c>
      <c r="CR4" s="16">
        <v>56170900</v>
      </c>
      <c r="CS4" s="16">
        <v>44</v>
      </c>
      <c r="CT4" s="16">
        <f>CS4/CM4*100</f>
        <v>51.162790697674424</v>
      </c>
      <c r="CU4" s="19">
        <f>CU3/CU2*100</f>
        <v>20</v>
      </c>
      <c r="CV4" s="18">
        <v>44106</v>
      </c>
      <c r="CW4" s="16">
        <v>132</v>
      </c>
      <c r="CX4" s="16">
        <v>157</v>
      </c>
      <c r="CY4" s="16">
        <v>116</v>
      </c>
      <c r="CZ4" s="16">
        <v>117</v>
      </c>
      <c r="DA4" s="16">
        <v>117</v>
      </c>
      <c r="DB4" s="16">
        <v>17525700</v>
      </c>
      <c r="DC4" s="16">
        <v>-15</v>
      </c>
      <c r="DD4" s="16">
        <f>DC4/CW4*100</f>
        <v>-11.363636363636363</v>
      </c>
      <c r="DE4" s="19">
        <f>DE3/DE2*100</f>
        <v>20</v>
      </c>
      <c r="DF4" s="18">
        <v>44137</v>
      </c>
      <c r="DG4" s="16">
        <v>117</v>
      </c>
      <c r="DH4" s="16">
        <v>176</v>
      </c>
      <c r="DI4" s="16">
        <v>116</v>
      </c>
      <c r="DJ4" s="16">
        <v>163</v>
      </c>
      <c r="DK4" s="16">
        <v>163</v>
      </c>
      <c r="DL4" s="16">
        <v>12938100</v>
      </c>
      <c r="DM4" s="16">
        <v>46</v>
      </c>
      <c r="DN4" s="16">
        <f>DM4/DG4*100</f>
        <v>39.316239316239319</v>
      </c>
      <c r="DO4" s="19">
        <f>DO3/DO2*100</f>
        <v>60</v>
      </c>
      <c r="DP4" s="18">
        <v>44166</v>
      </c>
      <c r="DQ4" s="16">
        <v>162</v>
      </c>
      <c r="DR4" s="16">
        <v>244</v>
      </c>
      <c r="DS4" s="16">
        <v>162</v>
      </c>
      <c r="DT4" s="16">
        <v>199</v>
      </c>
      <c r="DU4" s="16">
        <v>199</v>
      </c>
      <c r="DV4" s="16">
        <v>38438600</v>
      </c>
      <c r="DW4" s="16">
        <v>37</v>
      </c>
      <c r="DX4" s="16">
        <f>DW4/DQ4*100</f>
        <v>22.839506172839506</v>
      </c>
      <c r="DY4" s="19">
        <f>DY3/DY2*100</f>
        <v>20</v>
      </c>
    </row>
    <row r="5" spans="1:129">
      <c r="A5" s="17">
        <v>43192</v>
      </c>
      <c r="B5" s="16">
        <v>123</v>
      </c>
      <c r="C5" s="16">
        <v>126</v>
      </c>
      <c r="D5" s="16">
        <v>116</v>
      </c>
      <c r="E5" s="16">
        <v>119</v>
      </c>
      <c r="F5" s="16">
        <v>119</v>
      </c>
      <c r="G5" s="16">
        <v>2022400</v>
      </c>
      <c r="H5" s="16">
        <f t="shared" si="0"/>
        <v>-4</v>
      </c>
      <c r="J5" s="18">
        <v>44200</v>
      </c>
      <c r="K5" s="16">
        <v>206</v>
      </c>
      <c r="L5" s="16">
        <v>238</v>
      </c>
      <c r="M5" s="16">
        <v>195</v>
      </c>
      <c r="N5" s="16">
        <v>211</v>
      </c>
      <c r="O5" s="16">
        <v>211</v>
      </c>
      <c r="P5" s="16">
        <v>21664300</v>
      </c>
      <c r="Q5" s="16">
        <v>5</v>
      </c>
      <c r="R5" s="16">
        <f>Q5/K5*100</f>
        <v>2.4271844660194173</v>
      </c>
      <c r="S5" s="16">
        <f>AVERAGE(R2:R6)</f>
        <v>7.8929376544033385</v>
      </c>
      <c r="T5" s="18">
        <v>44228</v>
      </c>
      <c r="U5" s="16">
        <v>208</v>
      </c>
      <c r="V5" s="16">
        <v>220</v>
      </c>
      <c r="W5" s="16">
        <v>197</v>
      </c>
      <c r="X5" s="16">
        <v>199</v>
      </c>
      <c r="Y5" s="16">
        <v>199</v>
      </c>
      <c r="Z5" s="16">
        <v>9463600</v>
      </c>
      <c r="AA5" s="16">
        <v>-9</v>
      </c>
      <c r="AB5" s="16">
        <f>AA5/U5*100</f>
        <v>-4.3269230769230766</v>
      </c>
      <c r="AC5" s="16">
        <f>AVERAGE(AB2:AB6)</f>
        <v>-1.2081292675319433</v>
      </c>
      <c r="AD5" s="18">
        <v>44256</v>
      </c>
      <c r="AE5" s="16">
        <v>201</v>
      </c>
      <c r="AF5" s="16">
        <v>219</v>
      </c>
      <c r="AG5" s="16">
        <v>163</v>
      </c>
      <c r="AH5" s="16">
        <v>166</v>
      </c>
      <c r="AI5" s="16">
        <v>166</v>
      </c>
      <c r="AJ5" s="16">
        <v>15955700</v>
      </c>
      <c r="AK5" s="16">
        <v>-35</v>
      </c>
      <c r="AL5" s="16">
        <f>AK5/AE5*100</f>
        <v>-17.412935323383085</v>
      </c>
      <c r="AM5" s="16">
        <f>AVERAGE(AL2:AL6)</f>
        <v>-6.7768483589379116</v>
      </c>
      <c r="AN5" s="18">
        <v>44287</v>
      </c>
      <c r="AO5" s="16">
        <v>168</v>
      </c>
      <c r="AP5" s="16">
        <v>172</v>
      </c>
      <c r="AQ5" s="16">
        <v>155</v>
      </c>
      <c r="AR5" s="16">
        <v>157</v>
      </c>
      <c r="AS5" s="16">
        <v>157</v>
      </c>
      <c r="AT5" s="16">
        <v>3188800</v>
      </c>
      <c r="AU5" s="16">
        <v>-11</v>
      </c>
      <c r="AV5" s="16">
        <f>AU5/AO5*100</f>
        <v>-6.5476190476190483</v>
      </c>
      <c r="AW5" s="16">
        <f>AVERAGE(AV2:AV6)</f>
        <v>-0.24454569820423497</v>
      </c>
      <c r="AX5" s="18">
        <v>44322</v>
      </c>
      <c r="AY5" s="16">
        <v>157</v>
      </c>
      <c r="AZ5" s="16">
        <v>193</v>
      </c>
      <c r="BA5" s="16">
        <v>149</v>
      </c>
      <c r="BB5" s="16">
        <v>183</v>
      </c>
      <c r="BC5" s="16">
        <v>183</v>
      </c>
      <c r="BD5" s="16">
        <v>6483100</v>
      </c>
      <c r="BE5" s="16">
        <v>26</v>
      </c>
      <c r="BF5" s="16">
        <f>BE5/AY5*100</f>
        <v>16.560509554140125</v>
      </c>
      <c r="BG5" s="16">
        <f>AVERAGE(BF2:BF6)</f>
        <v>11.200713299439414</v>
      </c>
      <c r="BH5" s="18">
        <v>44348</v>
      </c>
      <c r="BI5" s="16">
        <v>186</v>
      </c>
      <c r="BJ5" s="16">
        <v>202</v>
      </c>
      <c r="BK5" s="16">
        <v>157</v>
      </c>
      <c r="BL5" s="16">
        <v>167</v>
      </c>
      <c r="BM5" s="16">
        <v>167</v>
      </c>
      <c r="BN5" s="16">
        <v>9952000</v>
      </c>
      <c r="BO5" s="16">
        <v>-19</v>
      </c>
      <c r="BP5" s="16">
        <f>BO5/BI5*100</f>
        <v>-10.21505376344086</v>
      </c>
      <c r="BQ5" s="16">
        <f>AVERAGE(BP2:BP6)</f>
        <v>-5.3386776181224791</v>
      </c>
      <c r="BR5" s="18">
        <v>44378</v>
      </c>
      <c r="BS5" s="16">
        <v>167</v>
      </c>
      <c r="BT5" s="16">
        <v>178</v>
      </c>
      <c r="BU5" s="16">
        <v>160</v>
      </c>
      <c r="BV5" s="16">
        <v>164</v>
      </c>
      <c r="BW5" s="16">
        <v>164</v>
      </c>
      <c r="BX5" s="16">
        <v>2584900</v>
      </c>
      <c r="BY5" s="16">
        <v>-3</v>
      </c>
      <c r="BZ5" s="16">
        <f>BY5/BS5*100</f>
        <v>-1.7964071856287425</v>
      </c>
      <c r="CA5" s="16">
        <f>AVERAGE(BZ2:BZ6)</f>
        <v>-0.60045333857767946</v>
      </c>
      <c r="CB5" s="18">
        <v>44410</v>
      </c>
      <c r="CC5" s="16">
        <v>165</v>
      </c>
      <c r="CD5" s="16">
        <v>178</v>
      </c>
      <c r="CE5" s="16">
        <v>159</v>
      </c>
      <c r="CF5" s="16">
        <v>177</v>
      </c>
      <c r="CG5" s="16">
        <v>177</v>
      </c>
      <c r="CH5" s="16">
        <v>3922400</v>
      </c>
      <c r="CI5" s="16">
        <v>12</v>
      </c>
      <c r="CJ5" s="16">
        <f>CI5/CC5*100</f>
        <v>7.2727272727272725</v>
      </c>
      <c r="CK5" s="16">
        <f>AVERAGE(CJ2:CJ6)</f>
        <v>5.8421391745674214</v>
      </c>
      <c r="CL5" s="18">
        <v>44440</v>
      </c>
      <c r="CM5" s="16">
        <v>176</v>
      </c>
      <c r="CN5" s="16">
        <v>180</v>
      </c>
      <c r="CO5" s="16">
        <v>126</v>
      </c>
      <c r="CP5" s="16">
        <v>128</v>
      </c>
      <c r="CQ5" s="16">
        <v>128</v>
      </c>
      <c r="CR5" s="16">
        <v>9604100</v>
      </c>
      <c r="CS5" s="16">
        <v>-48</v>
      </c>
      <c r="CT5" s="16">
        <f>CS5/CM5*100</f>
        <v>-27.27272727272727</v>
      </c>
      <c r="CU5" s="16">
        <f>AVERAGE(CT2:CT6)</f>
        <v>0.41836533321609437</v>
      </c>
      <c r="CV5" s="18">
        <v>44470</v>
      </c>
      <c r="CW5" s="16">
        <v>128</v>
      </c>
      <c r="CX5" s="16">
        <v>130</v>
      </c>
      <c r="CY5" s="16">
        <v>120</v>
      </c>
      <c r="CZ5" s="16">
        <v>125</v>
      </c>
      <c r="DA5" s="16">
        <v>125</v>
      </c>
      <c r="DB5" s="16">
        <v>2227200</v>
      </c>
      <c r="DC5" s="16">
        <v>-3</v>
      </c>
      <c r="DD5" s="16">
        <f>DC5/CW5*100</f>
        <v>-2.34375</v>
      </c>
      <c r="DE5" s="16">
        <f>AVERAGE(DD2:DD6)</f>
        <v>-5.1118476430976427</v>
      </c>
      <c r="DF5" s="18">
        <v>44501</v>
      </c>
      <c r="DG5" s="16">
        <v>125</v>
      </c>
      <c r="DH5" s="16">
        <v>127</v>
      </c>
      <c r="DI5" s="16">
        <v>109</v>
      </c>
      <c r="DJ5" s="16">
        <v>111</v>
      </c>
      <c r="DK5" s="16">
        <v>111</v>
      </c>
      <c r="DL5" s="16">
        <v>1765800</v>
      </c>
      <c r="DM5" s="16">
        <v>-14</v>
      </c>
      <c r="DN5" s="16">
        <f>DM5/DG5*100</f>
        <v>-11.200000000000001</v>
      </c>
      <c r="DO5" s="16">
        <f>AVERAGE(DN2:DN6)</f>
        <v>5.6181608883849634</v>
      </c>
      <c r="DP5" s="18">
        <v>44531</v>
      </c>
      <c r="DQ5" s="16">
        <v>111</v>
      </c>
      <c r="DR5" s="16">
        <v>113</v>
      </c>
      <c r="DS5" s="16">
        <v>96</v>
      </c>
      <c r="DT5" s="16">
        <v>105</v>
      </c>
      <c r="DU5" s="16">
        <v>105</v>
      </c>
      <c r="DV5" s="16">
        <v>3685500</v>
      </c>
      <c r="DW5" s="16">
        <v>-6</v>
      </c>
      <c r="DX5" s="16">
        <f>DW5/DQ5*100</f>
        <v>-5.4054054054054053</v>
      </c>
      <c r="DY5" s="16">
        <f>AVERAGE(DX2:DX6)</f>
        <v>-3.3430649039844438</v>
      </c>
    </row>
    <row r="6" spans="1:129">
      <c r="A6" s="17">
        <v>43221</v>
      </c>
      <c r="B6" s="16">
        <v>120</v>
      </c>
      <c r="C6" s="16">
        <v>135</v>
      </c>
      <c r="D6" s="16">
        <v>116</v>
      </c>
      <c r="E6" s="16">
        <v>129</v>
      </c>
      <c r="F6" s="16">
        <v>129</v>
      </c>
      <c r="G6" s="16">
        <v>2383900</v>
      </c>
      <c r="H6" s="16">
        <f t="shared" si="0"/>
        <v>9</v>
      </c>
      <c r="J6" s="18">
        <v>44565</v>
      </c>
      <c r="K6" s="16">
        <v>106</v>
      </c>
      <c r="L6" s="16">
        <v>138</v>
      </c>
      <c r="M6" s="16">
        <v>103</v>
      </c>
      <c r="N6" s="16">
        <v>118</v>
      </c>
      <c r="O6" s="16">
        <v>118</v>
      </c>
      <c r="P6" s="16">
        <v>5981100</v>
      </c>
      <c r="Q6" s="16">
        <v>12</v>
      </c>
      <c r="R6" s="16">
        <f>Q6/K6*100</f>
        <v>11.320754716981133</v>
      </c>
      <c r="S6" s="16">
        <f>MEDIAN(R2:R6)</f>
        <v>6.1946902654867255</v>
      </c>
      <c r="T6" s="18">
        <v>44593</v>
      </c>
      <c r="U6" s="16">
        <v>116</v>
      </c>
      <c r="V6" s="16">
        <v>133</v>
      </c>
      <c r="W6" s="16">
        <v>109</v>
      </c>
      <c r="X6" s="16">
        <v>132</v>
      </c>
      <c r="Y6" s="16">
        <v>132</v>
      </c>
      <c r="Z6" s="16">
        <v>2232800</v>
      </c>
      <c r="AA6" s="16">
        <v>16</v>
      </c>
      <c r="AB6" s="16">
        <f>AA6/U6*100</f>
        <v>13.793103448275861</v>
      </c>
      <c r="AC6" s="16">
        <f>MEDIAN(AB2:AB6)</f>
        <v>-4.3269230769230766</v>
      </c>
      <c r="AD6" s="18">
        <v>44621</v>
      </c>
      <c r="AE6" s="16">
        <v>130</v>
      </c>
      <c r="AF6" s="16">
        <v>141</v>
      </c>
      <c r="AG6" s="16">
        <v>116</v>
      </c>
      <c r="AH6" s="16">
        <v>121</v>
      </c>
      <c r="AI6" s="16">
        <v>121</v>
      </c>
      <c r="AJ6" s="16">
        <v>4210700</v>
      </c>
      <c r="AK6" s="16">
        <v>-9</v>
      </c>
      <c r="AL6" s="16">
        <f>AK6/AE6*100</f>
        <v>-6.9230769230769234</v>
      </c>
      <c r="AM6" s="16">
        <f>MEDIAN(AL2:AL6)</f>
        <v>-6.9230769230769234</v>
      </c>
      <c r="AN6" s="18">
        <v>44652</v>
      </c>
      <c r="AO6" s="16">
        <v>120</v>
      </c>
      <c r="AP6" s="16">
        <v>123</v>
      </c>
      <c r="AQ6" s="16">
        <v>115</v>
      </c>
      <c r="AR6" s="16">
        <v>117</v>
      </c>
      <c r="AS6" s="16">
        <v>117</v>
      </c>
      <c r="AT6" s="16">
        <v>989800</v>
      </c>
      <c r="AU6" s="16">
        <v>-3</v>
      </c>
      <c r="AV6" s="16">
        <f>AU6/AO6*100</f>
        <v>-2.5</v>
      </c>
      <c r="AW6" s="16">
        <f>MEDIAN(AV2:AV6)</f>
        <v>-3.2520325203252036</v>
      </c>
      <c r="AX6" s="18">
        <v>44683</v>
      </c>
      <c r="AY6" s="16">
        <v>117</v>
      </c>
      <c r="AZ6" s="16">
        <v>124</v>
      </c>
      <c r="BA6" s="16">
        <v>111</v>
      </c>
      <c r="BB6" s="16">
        <v>122</v>
      </c>
      <c r="BC6" s="16">
        <v>122</v>
      </c>
      <c r="BD6" s="16">
        <v>1141700</v>
      </c>
      <c r="BE6" s="16">
        <v>5</v>
      </c>
      <c r="BF6" s="16">
        <f>BE6/AY6*100</f>
        <v>4.2735042735042734</v>
      </c>
      <c r="BG6" s="16">
        <f>MEDIAN(BF2:BF6)</f>
        <v>7.5</v>
      </c>
      <c r="BH6" s="18">
        <v>44713</v>
      </c>
      <c r="BI6" s="16">
        <v>120</v>
      </c>
      <c r="BJ6" s="16">
        <v>123</v>
      </c>
      <c r="BK6" s="16">
        <v>113</v>
      </c>
      <c r="BL6" s="16">
        <v>119</v>
      </c>
      <c r="BM6" s="16">
        <v>119</v>
      </c>
      <c r="BN6" s="16">
        <v>1562200</v>
      </c>
      <c r="BO6" s="16">
        <v>-1</v>
      </c>
      <c r="BP6" s="16">
        <f>BO6/BI6*100</f>
        <v>-0.83333333333333337</v>
      </c>
      <c r="BQ6" s="16">
        <f>MEDIAN(BP2:BP6)</f>
        <v>-5.1282051282051277</v>
      </c>
      <c r="BR6" s="18">
        <v>44743</v>
      </c>
      <c r="BS6" s="16">
        <v>118</v>
      </c>
      <c r="BT6" s="16">
        <v>119</v>
      </c>
      <c r="BU6" s="16">
        <v>112</v>
      </c>
      <c r="BV6" s="16">
        <v>117</v>
      </c>
      <c r="BW6" s="16">
        <v>117</v>
      </c>
      <c r="BX6" s="16">
        <v>879100</v>
      </c>
      <c r="BY6" s="16">
        <v>-1</v>
      </c>
      <c r="BZ6" s="16">
        <f>BY6/BS6*100</f>
        <v>-0.84745762711864403</v>
      </c>
      <c r="CA6" s="16">
        <f>MEDIAN(BZ2:BZ6)</f>
        <v>-0.84745762711864403</v>
      </c>
      <c r="CB6" s="18">
        <v>44774</v>
      </c>
      <c r="CC6" s="16">
        <v>118</v>
      </c>
      <c r="CD6" s="16">
        <v>118</v>
      </c>
      <c r="CE6" s="16">
        <v>114</v>
      </c>
      <c r="CF6" s="16">
        <v>117</v>
      </c>
      <c r="CG6" s="16">
        <v>117</v>
      </c>
      <c r="CH6" s="16">
        <v>666200</v>
      </c>
      <c r="CI6" s="16">
        <v>-1</v>
      </c>
      <c r="CJ6" s="16">
        <f>CI6/CC6*100</f>
        <v>-0.84745762711864403</v>
      </c>
      <c r="CK6" s="16">
        <f>MEDIAN(CJ2:CJ6)</f>
        <v>5.8823529411764701</v>
      </c>
      <c r="CL6" s="18">
        <v>44805</v>
      </c>
      <c r="CM6" s="16">
        <v>117</v>
      </c>
      <c r="CN6" s="16">
        <v>118</v>
      </c>
      <c r="CO6" s="16">
        <v>109</v>
      </c>
      <c r="CP6" s="16">
        <v>109</v>
      </c>
      <c r="CQ6" s="16">
        <v>109</v>
      </c>
      <c r="CR6" s="16">
        <v>1296900</v>
      </c>
      <c r="CS6" s="16">
        <v>-8</v>
      </c>
      <c r="CT6" s="16">
        <f>CS6/CM6*100</f>
        <v>-6.8376068376068382</v>
      </c>
      <c r="CU6" s="16">
        <f>MEDIAN(CT2:CT6)</f>
        <v>-6.8376068376068382</v>
      </c>
      <c r="CV6" s="18">
        <v>44837</v>
      </c>
      <c r="CW6" s="16">
        <v>108</v>
      </c>
      <c r="CX6" s="16">
        <v>116</v>
      </c>
      <c r="CY6" s="16">
        <v>108</v>
      </c>
      <c r="CZ6" s="16">
        <v>114</v>
      </c>
      <c r="DA6" s="16">
        <v>114</v>
      </c>
      <c r="DB6" s="16">
        <v>508300</v>
      </c>
      <c r="DC6" s="16">
        <v>6</v>
      </c>
      <c r="DD6" s="16">
        <f>DC6/CW6*100</f>
        <v>5.5555555555555554</v>
      </c>
      <c r="DE6" s="16">
        <f>MEDIAN(DD2:DD6)</f>
        <v>-7.4074074074074066</v>
      </c>
      <c r="DF6" s="18">
        <v>44866</v>
      </c>
      <c r="DG6" s="16">
        <v>114</v>
      </c>
      <c r="DH6" s="16">
        <v>116</v>
      </c>
      <c r="DI6" s="16">
        <v>113</v>
      </c>
      <c r="DJ6" s="16">
        <v>116</v>
      </c>
      <c r="DK6" s="16">
        <v>116</v>
      </c>
      <c r="DL6" s="16">
        <v>467100</v>
      </c>
      <c r="DM6" s="16">
        <v>2</v>
      </c>
      <c r="DN6" s="16">
        <f>DM6/DG6*100</f>
        <v>1.7543859649122806</v>
      </c>
      <c r="DO6" s="16">
        <f>MEDIAN(DN2:DN6)</f>
        <v>1.1904761904761905</v>
      </c>
      <c r="DP6" s="18">
        <v>44896</v>
      </c>
      <c r="DQ6" s="16">
        <v>117</v>
      </c>
      <c r="DR6" s="16">
        <v>118</v>
      </c>
      <c r="DS6" s="16">
        <v>110</v>
      </c>
      <c r="DT6" s="16">
        <v>117</v>
      </c>
      <c r="DU6" s="16">
        <v>117</v>
      </c>
      <c r="DV6" s="16">
        <v>1354500</v>
      </c>
      <c r="DW6" s="16">
        <v>0</v>
      </c>
      <c r="DX6" s="16">
        <f>DW6/DQ6*100</f>
        <v>0</v>
      </c>
      <c r="DY6" s="16">
        <f>MEDIAN(DX2:DX6)</f>
        <v>-1.1494252873563218</v>
      </c>
    </row>
    <row r="7" spans="1:129">
      <c r="A7" s="17">
        <v>43252</v>
      </c>
      <c r="B7" s="16">
        <v>129</v>
      </c>
      <c r="C7" s="16">
        <v>148</v>
      </c>
      <c r="D7" s="16">
        <v>114</v>
      </c>
      <c r="E7" s="16">
        <v>114</v>
      </c>
      <c r="F7" s="16">
        <v>114</v>
      </c>
      <c r="G7" s="16">
        <v>6709400</v>
      </c>
      <c r="H7" s="16">
        <f t="shared" si="0"/>
        <v>-15</v>
      </c>
    </row>
    <row r="8" spans="1:129">
      <c r="A8" s="17">
        <v>43283</v>
      </c>
      <c r="B8" s="16">
        <v>115</v>
      </c>
      <c r="C8" s="16">
        <v>126</v>
      </c>
      <c r="D8" s="16">
        <v>114</v>
      </c>
      <c r="E8" s="16">
        <v>118</v>
      </c>
      <c r="F8" s="16">
        <v>118</v>
      </c>
      <c r="G8" s="16">
        <v>2266700</v>
      </c>
      <c r="H8" s="16">
        <f t="shared" si="0"/>
        <v>3</v>
      </c>
    </row>
    <row r="9" spans="1:129">
      <c r="A9" s="17">
        <v>43313</v>
      </c>
      <c r="B9" s="16">
        <v>119</v>
      </c>
      <c r="C9" s="16">
        <v>129</v>
      </c>
      <c r="D9" s="16">
        <v>113</v>
      </c>
      <c r="E9" s="16">
        <v>126</v>
      </c>
      <c r="F9" s="16">
        <v>126</v>
      </c>
      <c r="G9" s="16">
        <v>1544500</v>
      </c>
      <c r="H9" s="16">
        <f t="shared" si="0"/>
        <v>7</v>
      </c>
    </row>
    <row r="10" spans="1:129">
      <c r="A10" s="17">
        <v>43346</v>
      </c>
      <c r="B10" s="16">
        <v>127</v>
      </c>
      <c r="C10" s="16">
        <v>127</v>
      </c>
      <c r="D10" s="16">
        <v>104</v>
      </c>
      <c r="E10" s="16">
        <v>108</v>
      </c>
      <c r="F10" s="16">
        <v>108</v>
      </c>
      <c r="G10" s="16">
        <v>1838500</v>
      </c>
      <c r="H10" s="16">
        <f t="shared" si="0"/>
        <v>-19</v>
      </c>
    </row>
    <row r="11" spans="1:129">
      <c r="A11" s="17">
        <v>43374</v>
      </c>
      <c r="B11" s="16">
        <v>108</v>
      </c>
      <c r="C11" s="16">
        <v>111</v>
      </c>
      <c r="D11" s="16">
        <v>96</v>
      </c>
      <c r="E11" s="16">
        <v>100</v>
      </c>
      <c r="F11" s="16">
        <v>100</v>
      </c>
      <c r="G11" s="16">
        <v>1403300</v>
      </c>
      <c r="H11" s="16">
        <f t="shared" si="0"/>
        <v>-8</v>
      </c>
    </row>
    <row r="12" spans="1:129">
      <c r="A12" s="17">
        <v>43405</v>
      </c>
      <c r="B12" s="16">
        <v>101</v>
      </c>
      <c r="C12" s="16">
        <v>104</v>
      </c>
      <c r="D12" s="16">
        <v>97</v>
      </c>
      <c r="E12" s="16">
        <v>98</v>
      </c>
      <c r="F12" s="16">
        <v>98</v>
      </c>
      <c r="G12" s="16">
        <v>920300</v>
      </c>
      <c r="H12" s="16">
        <f t="shared" si="0"/>
        <v>-3</v>
      </c>
    </row>
    <row r="13" spans="1:129">
      <c r="A13" s="17">
        <v>43437</v>
      </c>
      <c r="B13" s="16">
        <v>100</v>
      </c>
      <c r="C13" s="16">
        <v>100</v>
      </c>
      <c r="D13" s="16">
        <v>52</v>
      </c>
      <c r="E13" s="16">
        <v>67</v>
      </c>
      <c r="F13" s="16">
        <v>67</v>
      </c>
      <c r="G13" s="16">
        <v>2439500</v>
      </c>
      <c r="H13" s="16">
        <f t="shared" si="0"/>
        <v>-33</v>
      </c>
    </row>
    <row r="14" spans="1:129">
      <c r="A14" s="17">
        <v>43469</v>
      </c>
      <c r="B14" s="16">
        <v>64</v>
      </c>
      <c r="C14" s="16">
        <v>85</v>
      </c>
      <c r="D14" s="16">
        <v>64</v>
      </c>
      <c r="E14" s="16">
        <v>78</v>
      </c>
      <c r="F14" s="16">
        <v>78</v>
      </c>
      <c r="G14" s="16">
        <v>2164000</v>
      </c>
      <c r="H14" s="16">
        <f t="shared" si="0"/>
        <v>14</v>
      </c>
    </row>
    <row r="15" spans="1:129">
      <c r="A15" s="17">
        <v>43497</v>
      </c>
      <c r="B15" s="16">
        <v>78</v>
      </c>
      <c r="C15" s="16">
        <v>110</v>
      </c>
      <c r="D15" s="16">
        <v>72</v>
      </c>
      <c r="E15" s="16">
        <v>89</v>
      </c>
      <c r="F15" s="16">
        <v>89</v>
      </c>
      <c r="G15" s="16">
        <v>5328700</v>
      </c>
      <c r="H15" s="16">
        <f t="shared" si="0"/>
        <v>11</v>
      </c>
    </row>
    <row r="16" spans="1:129">
      <c r="A16" s="17">
        <v>43525</v>
      </c>
      <c r="B16" s="16">
        <v>91</v>
      </c>
      <c r="C16" s="16">
        <v>124</v>
      </c>
      <c r="D16" s="16">
        <v>85</v>
      </c>
      <c r="E16" s="16">
        <v>96</v>
      </c>
      <c r="F16" s="16">
        <v>96</v>
      </c>
      <c r="G16" s="16">
        <v>13966100</v>
      </c>
      <c r="H16" s="16">
        <f t="shared" si="0"/>
        <v>5</v>
      </c>
    </row>
    <row r="17" spans="1:8">
      <c r="A17" s="17">
        <v>43556</v>
      </c>
      <c r="B17" s="16">
        <v>100</v>
      </c>
      <c r="C17" s="16">
        <v>100</v>
      </c>
      <c r="D17" s="16">
        <v>87</v>
      </c>
      <c r="E17" s="16">
        <v>88</v>
      </c>
      <c r="F17" s="16">
        <v>88</v>
      </c>
      <c r="G17" s="16">
        <v>1220200</v>
      </c>
      <c r="H17" s="16">
        <f t="shared" si="0"/>
        <v>-12</v>
      </c>
    </row>
    <row r="18" spans="1:8">
      <c r="A18" s="17">
        <v>43592</v>
      </c>
      <c r="B18" s="16">
        <v>88</v>
      </c>
      <c r="C18" s="16">
        <v>100</v>
      </c>
      <c r="D18" s="16">
        <v>82</v>
      </c>
      <c r="E18" s="16">
        <v>90</v>
      </c>
      <c r="F18" s="16">
        <v>90</v>
      </c>
      <c r="G18" s="16">
        <v>1647300</v>
      </c>
      <c r="H18" s="16">
        <f t="shared" si="0"/>
        <v>2</v>
      </c>
    </row>
    <row r="19" spans="1:8">
      <c r="A19" s="17">
        <v>43619</v>
      </c>
      <c r="B19" s="16">
        <v>90</v>
      </c>
      <c r="C19" s="16">
        <v>109</v>
      </c>
      <c r="D19" s="16">
        <v>86</v>
      </c>
      <c r="E19" s="16">
        <v>91</v>
      </c>
      <c r="F19" s="16">
        <v>91</v>
      </c>
      <c r="G19" s="16">
        <v>3217200</v>
      </c>
      <c r="H19" s="16">
        <f t="shared" si="0"/>
        <v>1</v>
      </c>
    </row>
    <row r="20" spans="1:8">
      <c r="A20" s="17">
        <v>43647</v>
      </c>
      <c r="B20" s="16">
        <v>92</v>
      </c>
      <c r="C20" s="16">
        <v>97</v>
      </c>
      <c r="D20" s="16">
        <v>90</v>
      </c>
      <c r="E20" s="16">
        <v>93</v>
      </c>
      <c r="F20" s="16">
        <v>93</v>
      </c>
      <c r="G20" s="16">
        <v>1283100</v>
      </c>
      <c r="H20" s="16">
        <f t="shared" si="0"/>
        <v>1</v>
      </c>
    </row>
    <row r="21" spans="1:8">
      <c r="A21" s="17">
        <v>43678</v>
      </c>
      <c r="B21" s="16">
        <v>94</v>
      </c>
      <c r="C21" s="16">
        <v>95</v>
      </c>
      <c r="D21" s="16">
        <v>84</v>
      </c>
      <c r="E21" s="16">
        <v>89</v>
      </c>
      <c r="F21" s="16">
        <v>89</v>
      </c>
      <c r="G21" s="16">
        <v>694300</v>
      </c>
      <c r="H21" s="16">
        <f t="shared" si="0"/>
        <v>-5</v>
      </c>
    </row>
    <row r="22" spans="1:8">
      <c r="A22" s="17">
        <v>43710</v>
      </c>
      <c r="B22" s="16">
        <v>89</v>
      </c>
      <c r="C22" s="16">
        <v>127</v>
      </c>
      <c r="D22" s="16">
        <v>87</v>
      </c>
      <c r="E22" s="16">
        <v>89</v>
      </c>
      <c r="F22" s="16">
        <v>89</v>
      </c>
      <c r="G22" s="16">
        <v>12505400</v>
      </c>
      <c r="H22" s="16">
        <f t="shared" si="0"/>
        <v>0</v>
      </c>
    </row>
    <row r="23" spans="1:8">
      <c r="A23" s="17">
        <v>43739</v>
      </c>
      <c r="B23" s="16">
        <v>90</v>
      </c>
      <c r="C23" s="16">
        <v>91</v>
      </c>
      <c r="D23" s="16">
        <v>80</v>
      </c>
      <c r="E23" s="16">
        <v>81</v>
      </c>
      <c r="F23" s="16">
        <v>81</v>
      </c>
      <c r="G23" s="16">
        <v>7608600</v>
      </c>
      <c r="H23" s="16">
        <f t="shared" si="0"/>
        <v>-9</v>
      </c>
    </row>
    <row r="24" spans="1:8">
      <c r="A24" s="17">
        <v>43770</v>
      </c>
      <c r="B24" s="16">
        <v>84</v>
      </c>
      <c r="C24" s="16">
        <v>104</v>
      </c>
      <c r="D24" s="16">
        <v>77</v>
      </c>
      <c r="E24" s="16">
        <v>85</v>
      </c>
      <c r="F24" s="16">
        <v>85</v>
      </c>
      <c r="G24" s="16">
        <v>14096400</v>
      </c>
      <c r="H24" s="16">
        <f t="shared" si="0"/>
        <v>1</v>
      </c>
    </row>
    <row r="25" spans="1:8">
      <c r="A25" s="17">
        <v>43801</v>
      </c>
      <c r="B25" s="16">
        <v>87</v>
      </c>
      <c r="C25" s="16">
        <v>95</v>
      </c>
      <c r="D25" s="16">
        <v>82</v>
      </c>
      <c r="E25" s="16">
        <v>86</v>
      </c>
      <c r="F25" s="16">
        <v>86</v>
      </c>
      <c r="G25" s="16">
        <v>7839900</v>
      </c>
      <c r="H25" s="16">
        <f t="shared" si="0"/>
        <v>-1</v>
      </c>
    </row>
    <row r="26" spans="1:8">
      <c r="A26" s="17">
        <v>43836</v>
      </c>
      <c r="B26" s="16">
        <v>85</v>
      </c>
      <c r="C26" s="16">
        <v>98</v>
      </c>
      <c r="D26" s="16">
        <v>83</v>
      </c>
      <c r="E26" s="16">
        <v>83</v>
      </c>
      <c r="F26" s="16">
        <v>83</v>
      </c>
      <c r="G26" s="16">
        <v>4930800</v>
      </c>
      <c r="H26" s="16">
        <f t="shared" si="0"/>
        <v>-2</v>
      </c>
    </row>
    <row r="27" spans="1:8">
      <c r="A27" s="17">
        <v>43864</v>
      </c>
      <c r="B27" s="16">
        <v>81</v>
      </c>
      <c r="C27" s="16">
        <v>85</v>
      </c>
      <c r="D27" s="16">
        <v>61</v>
      </c>
      <c r="E27" s="16">
        <v>61</v>
      </c>
      <c r="F27" s="16">
        <v>61</v>
      </c>
      <c r="G27" s="16">
        <v>2291100</v>
      </c>
      <c r="H27" s="16">
        <f t="shared" si="0"/>
        <v>-20</v>
      </c>
    </row>
    <row r="28" spans="1:8">
      <c r="A28" s="17">
        <v>43892</v>
      </c>
      <c r="B28" s="16">
        <v>65</v>
      </c>
      <c r="C28" s="16">
        <v>73</v>
      </c>
      <c r="D28" s="16">
        <v>46</v>
      </c>
      <c r="E28" s="16">
        <v>53</v>
      </c>
      <c r="F28" s="16">
        <v>53</v>
      </c>
      <c r="G28" s="16">
        <v>4164500</v>
      </c>
      <c r="H28" s="16">
        <f t="shared" si="0"/>
        <v>-12</v>
      </c>
    </row>
    <row r="29" spans="1:8">
      <c r="A29" s="17">
        <v>43922</v>
      </c>
      <c r="B29" s="16">
        <v>52</v>
      </c>
      <c r="C29" s="16">
        <v>67</v>
      </c>
      <c r="D29" s="16">
        <v>48</v>
      </c>
      <c r="E29" s="16">
        <v>64</v>
      </c>
      <c r="F29" s="16">
        <v>64</v>
      </c>
      <c r="G29" s="16">
        <v>3312400</v>
      </c>
      <c r="H29" s="16">
        <f t="shared" si="0"/>
        <v>12</v>
      </c>
    </row>
    <row r="30" spans="1:8">
      <c r="A30" s="17">
        <v>43952</v>
      </c>
      <c r="B30" s="16">
        <v>63</v>
      </c>
      <c r="C30" s="16">
        <v>79</v>
      </c>
      <c r="D30" s="16">
        <v>60</v>
      </c>
      <c r="E30" s="16">
        <v>79</v>
      </c>
      <c r="F30" s="16">
        <v>79</v>
      </c>
      <c r="G30" s="16">
        <v>3275800</v>
      </c>
      <c r="H30" s="16">
        <f t="shared" si="0"/>
        <v>16</v>
      </c>
    </row>
    <row r="31" spans="1:8">
      <c r="A31" s="17">
        <v>43983</v>
      </c>
      <c r="B31" s="16">
        <v>78</v>
      </c>
      <c r="C31" s="16">
        <v>90</v>
      </c>
      <c r="D31" s="16">
        <v>69</v>
      </c>
      <c r="E31" s="16">
        <v>74</v>
      </c>
      <c r="F31" s="16">
        <v>74</v>
      </c>
      <c r="G31" s="16">
        <v>7579700</v>
      </c>
      <c r="H31" s="16">
        <f t="shared" si="0"/>
        <v>-4</v>
      </c>
    </row>
    <row r="32" spans="1:8">
      <c r="A32" s="17">
        <v>44013</v>
      </c>
      <c r="B32" s="16">
        <v>74</v>
      </c>
      <c r="C32" s="16">
        <v>78</v>
      </c>
      <c r="D32" s="16">
        <v>69</v>
      </c>
      <c r="E32" s="16">
        <v>71</v>
      </c>
      <c r="F32" s="16">
        <v>71</v>
      </c>
      <c r="G32" s="16">
        <v>1426000</v>
      </c>
      <c r="H32" s="16">
        <f t="shared" si="0"/>
        <v>-3</v>
      </c>
    </row>
    <row r="33" spans="1:8">
      <c r="A33" s="17">
        <v>44046</v>
      </c>
      <c r="B33" s="16">
        <v>72</v>
      </c>
      <c r="C33" s="16">
        <v>98</v>
      </c>
      <c r="D33" s="16">
        <v>71</v>
      </c>
      <c r="E33" s="16">
        <v>88</v>
      </c>
      <c r="F33" s="16">
        <v>88</v>
      </c>
      <c r="G33" s="16">
        <v>8470000</v>
      </c>
      <c r="H33" s="16">
        <f t="shared" si="0"/>
        <v>16</v>
      </c>
    </row>
    <row r="34" spans="1:8">
      <c r="A34" s="17">
        <v>44075</v>
      </c>
      <c r="B34" s="16">
        <v>86</v>
      </c>
      <c r="C34" s="16">
        <v>172</v>
      </c>
      <c r="D34" s="16">
        <v>84</v>
      </c>
      <c r="E34" s="16">
        <v>130</v>
      </c>
      <c r="F34" s="16">
        <v>130</v>
      </c>
      <c r="G34" s="16">
        <v>56170900</v>
      </c>
      <c r="H34" s="16">
        <f t="shared" ref="H34:H61" si="1">E34-B34</f>
        <v>44</v>
      </c>
    </row>
    <row r="35" spans="1:8">
      <c r="A35" s="17">
        <v>44106</v>
      </c>
      <c r="B35" s="16">
        <v>132</v>
      </c>
      <c r="C35" s="16">
        <v>157</v>
      </c>
      <c r="D35" s="16">
        <v>116</v>
      </c>
      <c r="E35" s="16">
        <v>117</v>
      </c>
      <c r="F35" s="16">
        <v>117</v>
      </c>
      <c r="G35" s="16">
        <v>17525700</v>
      </c>
      <c r="H35" s="16">
        <f t="shared" si="1"/>
        <v>-15</v>
      </c>
    </row>
    <row r="36" spans="1:8">
      <c r="A36" s="17">
        <v>44137</v>
      </c>
      <c r="B36" s="16">
        <v>117</v>
      </c>
      <c r="C36" s="16">
        <v>176</v>
      </c>
      <c r="D36" s="16">
        <v>116</v>
      </c>
      <c r="E36" s="16">
        <v>163</v>
      </c>
      <c r="F36" s="16">
        <v>163</v>
      </c>
      <c r="G36" s="16">
        <v>12938100</v>
      </c>
      <c r="H36" s="16">
        <f t="shared" si="1"/>
        <v>46</v>
      </c>
    </row>
    <row r="37" spans="1:8">
      <c r="A37" s="17">
        <v>44166</v>
      </c>
      <c r="B37" s="16">
        <v>162</v>
      </c>
      <c r="C37" s="16">
        <v>244</v>
      </c>
      <c r="D37" s="16">
        <v>162</v>
      </c>
      <c r="E37" s="16">
        <v>199</v>
      </c>
      <c r="F37" s="16">
        <v>199</v>
      </c>
      <c r="G37" s="16">
        <v>38438600</v>
      </c>
      <c r="H37" s="16">
        <f t="shared" si="1"/>
        <v>37</v>
      </c>
    </row>
    <row r="38" spans="1:8">
      <c r="A38" s="17">
        <v>44200</v>
      </c>
      <c r="B38" s="16">
        <v>206</v>
      </c>
      <c r="C38" s="16">
        <v>238</v>
      </c>
      <c r="D38" s="16">
        <v>195</v>
      </c>
      <c r="E38" s="16">
        <v>211</v>
      </c>
      <c r="F38" s="16">
        <v>211</v>
      </c>
      <c r="G38" s="16">
        <v>21664300</v>
      </c>
      <c r="H38" s="16">
        <f t="shared" si="1"/>
        <v>5</v>
      </c>
    </row>
    <row r="39" spans="1:8">
      <c r="A39" s="17">
        <v>44228</v>
      </c>
      <c r="B39" s="16">
        <v>208</v>
      </c>
      <c r="C39" s="16">
        <v>220</v>
      </c>
      <c r="D39" s="16">
        <v>197</v>
      </c>
      <c r="E39" s="16">
        <v>199</v>
      </c>
      <c r="F39" s="16">
        <v>199</v>
      </c>
      <c r="G39" s="16">
        <v>9463600</v>
      </c>
      <c r="H39" s="16">
        <f t="shared" si="1"/>
        <v>-9</v>
      </c>
    </row>
    <row r="40" spans="1:8">
      <c r="A40" s="17">
        <v>44256</v>
      </c>
      <c r="B40" s="16">
        <v>201</v>
      </c>
      <c r="C40" s="16">
        <v>219</v>
      </c>
      <c r="D40" s="16">
        <v>163</v>
      </c>
      <c r="E40" s="16">
        <v>166</v>
      </c>
      <c r="F40" s="16">
        <v>166</v>
      </c>
      <c r="G40" s="16">
        <v>15955700</v>
      </c>
      <c r="H40" s="16">
        <f t="shared" si="1"/>
        <v>-35</v>
      </c>
    </row>
    <row r="41" spans="1:8">
      <c r="A41" s="17">
        <v>44287</v>
      </c>
      <c r="B41" s="16">
        <v>168</v>
      </c>
      <c r="C41" s="16">
        <v>172</v>
      </c>
      <c r="D41" s="16">
        <v>155</v>
      </c>
      <c r="E41" s="16">
        <v>157</v>
      </c>
      <c r="F41" s="16">
        <v>157</v>
      </c>
      <c r="G41" s="16">
        <v>3188800</v>
      </c>
      <c r="H41" s="16">
        <f t="shared" si="1"/>
        <v>-11</v>
      </c>
    </row>
    <row r="42" spans="1:8">
      <c r="A42" s="17">
        <v>44322</v>
      </c>
      <c r="B42" s="16">
        <v>157</v>
      </c>
      <c r="C42" s="16">
        <v>193</v>
      </c>
      <c r="D42" s="16">
        <v>149</v>
      </c>
      <c r="E42" s="16">
        <v>183</v>
      </c>
      <c r="F42" s="16">
        <v>183</v>
      </c>
      <c r="G42" s="16">
        <v>6483100</v>
      </c>
      <c r="H42" s="16">
        <f t="shared" si="1"/>
        <v>26</v>
      </c>
    </row>
    <row r="43" spans="1:8">
      <c r="A43" s="17">
        <v>44348</v>
      </c>
      <c r="B43" s="16">
        <v>186</v>
      </c>
      <c r="C43" s="16">
        <v>202</v>
      </c>
      <c r="D43" s="16">
        <v>157</v>
      </c>
      <c r="E43" s="16">
        <v>167</v>
      </c>
      <c r="F43" s="16">
        <v>167</v>
      </c>
      <c r="G43" s="16">
        <v>9952000</v>
      </c>
      <c r="H43" s="16">
        <f t="shared" si="1"/>
        <v>-19</v>
      </c>
    </row>
    <row r="44" spans="1:8">
      <c r="A44" s="17">
        <v>44378</v>
      </c>
      <c r="B44" s="16">
        <v>167</v>
      </c>
      <c r="C44" s="16">
        <v>178</v>
      </c>
      <c r="D44" s="16">
        <v>160</v>
      </c>
      <c r="E44" s="16">
        <v>164</v>
      </c>
      <c r="F44" s="16">
        <v>164</v>
      </c>
      <c r="G44" s="16">
        <v>2584900</v>
      </c>
      <c r="H44" s="16">
        <f t="shared" si="1"/>
        <v>-3</v>
      </c>
    </row>
    <row r="45" spans="1:8">
      <c r="A45" s="17">
        <v>44410</v>
      </c>
      <c r="B45" s="16">
        <v>165</v>
      </c>
      <c r="C45" s="16">
        <v>178</v>
      </c>
      <c r="D45" s="16">
        <v>159</v>
      </c>
      <c r="E45" s="16">
        <v>177</v>
      </c>
      <c r="F45" s="16">
        <v>177</v>
      </c>
      <c r="G45" s="16">
        <v>3922400</v>
      </c>
      <c r="H45" s="16">
        <f t="shared" si="1"/>
        <v>12</v>
      </c>
    </row>
    <row r="46" spans="1:8">
      <c r="A46" s="17">
        <v>44440</v>
      </c>
      <c r="B46" s="16">
        <v>176</v>
      </c>
      <c r="C46" s="16">
        <v>180</v>
      </c>
      <c r="D46" s="16">
        <v>126</v>
      </c>
      <c r="E46" s="16">
        <v>128</v>
      </c>
      <c r="F46" s="16">
        <v>128</v>
      </c>
      <c r="G46" s="16">
        <v>9604100</v>
      </c>
      <c r="H46" s="16">
        <f t="shared" si="1"/>
        <v>-48</v>
      </c>
    </row>
    <row r="47" spans="1:8">
      <c r="A47" s="17">
        <v>44470</v>
      </c>
      <c r="B47" s="16">
        <v>128</v>
      </c>
      <c r="C47" s="16">
        <v>130</v>
      </c>
      <c r="D47" s="16">
        <v>120</v>
      </c>
      <c r="E47" s="16">
        <v>125</v>
      </c>
      <c r="F47" s="16">
        <v>125</v>
      </c>
      <c r="G47" s="16">
        <v>2227200</v>
      </c>
      <c r="H47" s="16">
        <f t="shared" si="1"/>
        <v>-3</v>
      </c>
    </row>
    <row r="48" spans="1:8">
      <c r="A48" s="17">
        <v>44501</v>
      </c>
      <c r="B48" s="16">
        <v>125</v>
      </c>
      <c r="C48" s="16">
        <v>127</v>
      </c>
      <c r="D48" s="16">
        <v>109</v>
      </c>
      <c r="E48" s="16">
        <v>111</v>
      </c>
      <c r="F48" s="16">
        <v>111</v>
      </c>
      <c r="G48" s="16">
        <v>1765800</v>
      </c>
      <c r="H48" s="16">
        <f t="shared" si="1"/>
        <v>-14</v>
      </c>
    </row>
    <row r="49" spans="1:8">
      <c r="A49" s="17">
        <v>44531</v>
      </c>
      <c r="B49" s="16">
        <v>111</v>
      </c>
      <c r="C49" s="16">
        <v>113</v>
      </c>
      <c r="D49" s="16">
        <v>96</v>
      </c>
      <c r="E49" s="16">
        <v>105</v>
      </c>
      <c r="F49" s="16">
        <v>105</v>
      </c>
      <c r="G49" s="16">
        <v>3685500</v>
      </c>
      <c r="H49" s="16">
        <f t="shared" si="1"/>
        <v>-6</v>
      </c>
    </row>
    <row r="50" spans="1:8">
      <c r="A50" s="17">
        <v>44565</v>
      </c>
      <c r="B50" s="16">
        <v>106</v>
      </c>
      <c r="C50" s="16">
        <v>138</v>
      </c>
      <c r="D50" s="16">
        <v>103</v>
      </c>
      <c r="E50" s="16">
        <v>118</v>
      </c>
      <c r="F50" s="16">
        <v>118</v>
      </c>
      <c r="G50" s="16">
        <v>5981100</v>
      </c>
      <c r="H50" s="16">
        <f t="shared" si="1"/>
        <v>12</v>
      </c>
    </row>
    <row r="51" spans="1:8">
      <c r="A51" s="17">
        <v>44593</v>
      </c>
      <c r="B51" s="16">
        <v>116</v>
      </c>
      <c r="C51" s="16">
        <v>133</v>
      </c>
      <c r="D51" s="16">
        <v>109</v>
      </c>
      <c r="E51" s="16">
        <v>132</v>
      </c>
      <c r="F51" s="16">
        <v>132</v>
      </c>
      <c r="G51" s="16">
        <v>2232800</v>
      </c>
      <c r="H51" s="16">
        <f t="shared" si="1"/>
        <v>16</v>
      </c>
    </row>
    <row r="52" spans="1:8">
      <c r="A52" s="17">
        <v>44621</v>
      </c>
      <c r="B52" s="16">
        <v>130</v>
      </c>
      <c r="C52" s="16">
        <v>141</v>
      </c>
      <c r="D52" s="16">
        <v>116</v>
      </c>
      <c r="E52" s="16">
        <v>121</v>
      </c>
      <c r="F52" s="16">
        <v>121</v>
      </c>
      <c r="G52" s="16">
        <v>4210700</v>
      </c>
      <c r="H52" s="16">
        <f t="shared" si="1"/>
        <v>-9</v>
      </c>
    </row>
    <row r="53" spans="1:8">
      <c r="A53" s="17">
        <v>44652</v>
      </c>
      <c r="B53" s="16">
        <v>120</v>
      </c>
      <c r="C53" s="16">
        <v>123</v>
      </c>
      <c r="D53" s="16">
        <v>115</v>
      </c>
      <c r="E53" s="16">
        <v>117</v>
      </c>
      <c r="F53" s="16">
        <v>117</v>
      </c>
      <c r="G53" s="16">
        <v>989800</v>
      </c>
      <c r="H53" s="16">
        <f t="shared" si="1"/>
        <v>-3</v>
      </c>
    </row>
    <row r="54" spans="1:8">
      <c r="A54" s="17">
        <v>44683</v>
      </c>
      <c r="B54" s="16">
        <v>117</v>
      </c>
      <c r="C54" s="16">
        <v>124</v>
      </c>
      <c r="D54" s="16">
        <v>111</v>
      </c>
      <c r="E54" s="16">
        <v>122</v>
      </c>
      <c r="F54" s="16">
        <v>122</v>
      </c>
      <c r="G54" s="16">
        <v>1141700</v>
      </c>
      <c r="H54" s="16">
        <f t="shared" si="1"/>
        <v>5</v>
      </c>
    </row>
    <row r="55" spans="1:8">
      <c r="A55" s="17">
        <v>44713</v>
      </c>
      <c r="B55" s="16">
        <v>120</v>
      </c>
      <c r="C55" s="16">
        <v>123</v>
      </c>
      <c r="D55" s="16">
        <v>113</v>
      </c>
      <c r="E55" s="16">
        <v>119</v>
      </c>
      <c r="F55" s="16">
        <v>119</v>
      </c>
      <c r="G55" s="16">
        <v>1562200</v>
      </c>
      <c r="H55" s="16">
        <f t="shared" si="1"/>
        <v>-1</v>
      </c>
    </row>
    <row r="56" spans="1:8">
      <c r="A56" s="17">
        <v>44743</v>
      </c>
      <c r="B56" s="16">
        <v>118</v>
      </c>
      <c r="C56" s="16">
        <v>119</v>
      </c>
      <c r="D56" s="16">
        <v>112</v>
      </c>
      <c r="E56" s="16">
        <v>117</v>
      </c>
      <c r="F56" s="16">
        <v>117</v>
      </c>
      <c r="G56" s="16">
        <v>879100</v>
      </c>
      <c r="H56" s="16">
        <f t="shared" si="1"/>
        <v>-1</v>
      </c>
    </row>
    <row r="57" spans="1:8">
      <c r="A57" s="17">
        <v>44774</v>
      </c>
      <c r="B57" s="16">
        <v>118</v>
      </c>
      <c r="C57" s="16">
        <v>118</v>
      </c>
      <c r="D57" s="16">
        <v>114</v>
      </c>
      <c r="E57" s="16">
        <v>117</v>
      </c>
      <c r="F57" s="16">
        <v>117</v>
      </c>
      <c r="G57" s="16">
        <v>666200</v>
      </c>
      <c r="H57" s="16">
        <f t="shared" si="1"/>
        <v>-1</v>
      </c>
    </row>
    <row r="58" spans="1:8">
      <c r="A58" s="17">
        <v>44805</v>
      </c>
      <c r="B58" s="16">
        <v>117</v>
      </c>
      <c r="C58" s="16">
        <v>118</v>
      </c>
      <c r="D58" s="16">
        <v>109</v>
      </c>
      <c r="E58" s="16">
        <v>109</v>
      </c>
      <c r="F58" s="16">
        <v>109</v>
      </c>
      <c r="G58" s="16">
        <v>1296900</v>
      </c>
      <c r="H58" s="16">
        <f t="shared" si="1"/>
        <v>-8</v>
      </c>
    </row>
    <row r="59" spans="1:8">
      <c r="A59" s="17">
        <v>44837</v>
      </c>
      <c r="B59" s="16">
        <v>108</v>
      </c>
      <c r="C59" s="16">
        <v>116</v>
      </c>
      <c r="D59" s="16">
        <v>108</v>
      </c>
      <c r="E59" s="16">
        <v>114</v>
      </c>
      <c r="F59" s="16">
        <v>114</v>
      </c>
      <c r="G59" s="16">
        <v>508300</v>
      </c>
      <c r="H59" s="16">
        <f t="shared" si="1"/>
        <v>6</v>
      </c>
    </row>
    <row r="60" spans="1:8">
      <c r="A60" s="17">
        <v>44866</v>
      </c>
      <c r="B60" s="16">
        <v>114</v>
      </c>
      <c r="C60" s="16">
        <v>116</v>
      </c>
      <c r="D60" s="16">
        <v>113</v>
      </c>
      <c r="E60" s="16">
        <v>116</v>
      </c>
      <c r="F60" s="16">
        <v>116</v>
      </c>
      <c r="G60" s="16">
        <v>467100</v>
      </c>
      <c r="H60" s="16">
        <f t="shared" si="1"/>
        <v>2</v>
      </c>
    </row>
    <row r="61" spans="1:8">
      <c r="A61" s="17">
        <v>44896</v>
      </c>
      <c r="B61" s="16">
        <v>117</v>
      </c>
      <c r="C61" s="16">
        <v>118</v>
      </c>
      <c r="D61" s="16">
        <v>110</v>
      </c>
      <c r="E61" s="16">
        <v>117</v>
      </c>
      <c r="F61" s="16">
        <v>117</v>
      </c>
      <c r="G61" s="16">
        <v>1354500</v>
      </c>
      <c r="H61" s="16">
        <f t="shared" si="1"/>
        <v>0</v>
      </c>
    </row>
  </sheetData>
  <phoneticPr fontId="32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2BBD2-300F-4708-92B5-62ACFD203864}">
  <sheetPr codeName="Sheet10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601</v>
      </c>
      <c r="C2" s="16">
        <v>647</v>
      </c>
      <c r="D2" s="16">
        <v>510</v>
      </c>
      <c r="E2" s="16">
        <v>522</v>
      </c>
      <c r="F2" s="16">
        <v>522</v>
      </c>
      <c r="G2" s="16">
        <v>165400</v>
      </c>
      <c r="H2" s="16">
        <f t="shared" ref="H2:H33" si="0">E2-B2</f>
        <v>-79</v>
      </c>
      <c r="J2" s="18" cm="1">
        <f t="array" ref="J2:Q6">_xlfn._xlws.FILTER(A2:H61,MONTH(A2:A61)=1,"")</f>
        <v>43104</v>
      </c>
      <c r="K2" s="16">
        <v>601</v>
      </c>
      <c r="L2" s="16">
        <v>647</v>
      </c>
      <c r="M2" s="16">
        <v>510</v>
      </c>
      <c r="N2" s="16">
        <v>522</v>
      </c>
      <c r="O2" s="16">
        <v>522</v>
      </c>
      <c r="P2" s="16">
        <v>165400</v>
      </c>
      <c r="Q2" s="16">
        <v>-79</v>
      </c>
      <c r="R2" s="16">
        <f>Q2/K2*100</f>
        <v>-13.144758735440931</v>
      </c>
      <c r="S2" s="16">
        <f>COUNT(Q2:Q6)</f>
        <v>5</v>
      </c>
      <c r="T2" s="18" cm="1">
        <f t="array" ref="T2:AA6">_xlfn._xlws.FILTER(A2:H61,MONTH(A2:A61)=2,"")</f>
        <v>43132</v>
      </c>
      <c r="U2" s="16">
        <v>519</v>
      </c>
      <c r="V2" s="16">
        <v>523</v>
      </c>
      <c r="W2" s="16">
        <v>457</v>
      </c>
      <c r="X2" s="16">
        <v>500</v>
      </c>
      <c r="Y2" s="16">
        <v>500</v>
      </c>
      <c r="Z2" s="16">
        <v>162400</v>
      </c>
      <c r="AA2" s="16">
        <v>-19</v>
      </c>
      <c r="AB2" s="16">
        <f>AA2/U2*100</f>
        <v>-3.6608863198458574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500</v>
      </c>
      <c r="AF2" s="16">
        <v>626</v>
      </c>
      <c r="AG2" s="16">
        <v>468</v>
      </c>
      <c r="AH2" s="16">
        <v>511</v>
      </c>
      <c r="AI2" s="16">
        <v>511</v>
      </c>
      <c r="AJ2" s="16">
        <v>322800</v>
      </c>
      <c r="AK2" s="16">
        <v>11</v>
      </c>
      <c r="AL2" s="16">
        <f>AK2/AE2*100</f>
        <v>2.1999999999999997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511</v>
      </c>
      <c r="AP2" s="16">
        <v>535</v>
      </c>
      <c r="AQ2" s="16">
        <v>490</v>
      </c>
      <c r="AR2" s="16">
        <v>497</v>
      </c>
      <c r="AS2" s="16">
        <v>497</v>
      </c>
      <c r="AT2" s="16">
        <v>30300</v>
      </c>
      <c r="AU2" s="16">
        <v>-14</v>
      </c>
      <c r="AV2" s="16">
        <f>AU2/AO2*100</f>
        <v>-2.7397260273972601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500</v>
      </c>
      <c r="AZ2" s="16">
        <v>558</v>
      </c>
      <c r="BA2" s="16">
        <v>478</v>
      </c>
      <c r="BB2" s="16">
        <v>534</v>
      </c>
      <c r="BC2" s="16">
        <v>534</v>
      </c>
      <c r="BD2" s="16">
        <v>173200</v>
      </c>
      <c r="BE2" s="16">
        <v>34</v>
      </c>
      <c r="BF2" s="16">
        <f>BE2/AY2*100</f>
        <v>6.8000000000000007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544</v>
      </c>
      <c r="BJ2" s="16">
        <v>548</v>
      </c>
      <c r="BK2" s="16">
        <v>468</v>
      </c>
      <c r="BL2" s="16">
        <v>491</v>
      </c>
      <c r="BM2" s="16">
        <v>491</v>
      </c>
      <c r="BN2" s="16">
        <v>104000</v>
      </c>
      <c r="BO2" s="16">
        <v>-53</v>
      </c>
      <c r="BP2" s="16">
        <f>BO2/BI2*100</f>
        <v>-9.742647058823529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490</v>
      </c>
      <c r="BT2" s="16">
        <v>490</v>
      </c>
      <c r="BU2" s="16">
        <v>465</v>
      </c>
      <c r="BV2" s="16">
        <v>471</v>
      </c>
      <c r="BW2" s="16">
        <v>471</v>
      </c>
      <c r="BX2" s="16">
        <v>29300</v>
      </c>
      <c r="BY2" s="16">
        <v>-19</v>
      </c>
      <c r="BZ2" s="16">
        <f>BY2/BS2*100</f>
        <v>-3.8775510204081631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470</v>
      </c>
      <c r="CD2" s="16">
        <v>483</v>
      </c>
      <c r="CE2" s="16">
        <v>455</v>
      </c>
      <c r="CF2" s="16">
        <v>470</v>
      </c>
      <c r="CG2" s="16">
        <v>470</v>
      </c>
      <c r="CH2" s="16">
        <v>19700</v>
      </c>
      <c r="CI2" s="16">
        <v>0</v>
      </c>
      <c r="CJ2" s="16">
        <f>CI2/CC2*100</f>
        <v>0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473</v>
      </c>
      <c r="CN2" s="16">
        <v>559</v>
      </c>
      <c r="CO2" s="16">
        <v>459</v>
      </c>
      <c r="CP2" s="16">
        <v>488</v>
      </c>
      <c r="CQ2" s="16">
        <v>488</v>
      </c>
      <c r="CR2" s="16">
        <v>413400</v>
      </c>
      <c r="CS2" s="16">
        <v>15</v>
      </c>
      <c r="CT2" s="16">
        <f>CS2/CM2*100</f>
        <v>3.1712473572938689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489</v>
      </c>
      <c r="CX2" s="16">
        <v>494</v>
      </c>
      <c r="CY2" s="16">
        <v>409</v>
      </c>
      <c r="CZ2" s="16">
        <v>429</v>
      </c>
      <c r="DA2" s="16">
        <v>429</v>
      </c>
      <c r="DB2" s="16">
        <v>71300</v>
      </c>
      <c r="DC2" s="16">
        <v>-60</v>
      </c>
      <c r="DD2" s="16">
        <f>DC2/CW2*100</f>
        <v>-12.269938650306749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430</v>
      </c>
      <c r="DH2" s="16">
        <v>442</v>
      </c>
      <c r="DI2" s="16">
        <v>402</v>
      </c>
      <c r="DJ2" s="16">
        <v>410</v>
      </c>
      <c r="DK2" s="16">
        <v>410</v>
      </c>
      <c r="DL2" s="16">
        <v>29800</v>
      </c>
      <c r="DM2" s="16">
        <v>-20</v>
      </c>
      <c r="DN2" s="16">
        <f>DM2/DG2*100</f>
        <v>-4.6511627906976747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418</v>
      </c>
      <c r="DR2" s="16">
        <v>460</v>
      </c>
      <c r="DS2" s="16">
        <v>297</v>
      </c>
      <c r="DT2" s="16">
        <v>312</v>
      </c>
      <c r="DU2" s="16">
        <v>312</v>
      </c>
      <c r="DV2" s="16">
        <v>155200</v>
      </c>
      <c r="DW2" s="16">
        <v>-106</v>
      </c>
      <c r="DX2" s="16">
        <f>DW2/DQ2*100</f>
        <v>-25.358851674641148</v>
      </c>
      <c r="DY2" s="16">
        <f>COUNT(DW2:DW6)</f>
        <v>5</v>
      </c>
    </row>
    <row r="3" spans="1:129">
      <c r="A3" s="17">
        <v>43132</v>
      </c>
      <c r="B3" s="16">
        <v>519</v>
      </c>
      <c r="C3" s="16">
        <v>523</v>
      </c>
      <c r="D3" s="16">
        <v>457</v>
      </c>
      <c r="E3" s="16">
        <v>500</v>
      </c>
      <c r="F3" s="16">
        <v>500</v>
      </c>
      <c r="G3" s="16">
        <v>162400</v>
      </c>
      <c r="H3" s="16">
        <f t="shared" si="0"/>
        <v>-19</v>
      </c>
      <c r="J3" s="18">
        <v>43469</v>
      </c>
      <c r="K3" s="16">
        <v>312</v>
      </c>
      <c r="L3" s="16">
        <v>384</v>
      </c>
      <c r="M3" s="16">
        <v>307</v>
      </c>
      <c r="N3" s="16">
        <v>342</v>
      </c>
      <c r="O3" s="16">
        <v>342</v>
      </c>
      <c r="P3" s="16">
        <v>42200</v>
      </c>
      <c r="Q3" s="16">
        <v>30</v>
      </c>
      <c r="R3" s="16">
        <f>Q3/K3*100</f>
        <v>9.6153846153846168</v>
      </c>
      <c r="S3" s="16">
        <f>COUNTIF(Q2:Q6,"&gt;0")</f>
        <v>1</v>
      </c>
      <c r="T3" s="18">
        <v>43497</v>
      </c>
      <c r="U3" s="16">
        <v>342</v>
      </c>
      <c r="V3" s="16">
        <v>377</v>
      </c>
      <c r="W3" s="16">
        <v>335</v>
      </c>
      <c r="X3" s="16">
        <v>359</v>
      </c>
      <c r="Y3" s="16">
        <v>359</v>
      </c>
      <c r="Z3" s="16">
        <v>13200</v>
      </c>
      <c r="AA3" s="16">
        <v>17</v>
      </c>
      <c r="AB3" s="16">
        <f>AA3/U3*100</f>
        <v>4.9707602339181287</v>
      </c>
      <c r="AC3" s="16">
        <f>COUNTIF(AA2:AA6,"&gt;0")</f>
        <v>1</v>
      </c>
      <c r="AD3" s="18">
        <v>43525</v>
      </c>
      <c r="AE3" s="16">
        <v>351</v>
      </c>
      <c r="AF3" s="16">
        <v>385</v>
      </c>
      <c r="AG3" s="16">
        <v>330</v>
      </c>
      <c r="AH3" s="16">
        <v>343</v>
      </c>
      <c r="AI3" s="16">
        <v>343</v>
      </c>
      <c r="AJ3" s="16">
        <v>39500</v>
      </c>
      <c r="AK3" s="16">
        <v>-8</v>
      </c>
      <c r="AL3" s="16">
        <f>AK3/AE3*100</f>
        <v>-2.2792022792022792</v>
      </c>
      <c r="AM3" s="16">
        <f>COUNTIF(AK2:AK6,"&gt;0")</f>
        <v>2</v>
      </c>
      <c r="AN3" s="18">
        <v>43556</v>
      </c>
      <c r="AO3" s="16">
        <v>341</v>
      </c>
      <c r="AP3" s="16">
        <v>360</v>
      </c>
      <c r="AQ3" s="16">
        <v>292</v>
      </c>
      <c r="AR3" s="16">
        <v>300</v>
      </c>
      <c r="AS3" s="16">
        <v>300</v>
      </c>
      <c r="AT3" s="16">
        <v>104000</v>
      </c>
      <c r="AU3" s="16">
        <v>-41</v>
      </c>
      <c r="AV3" s="16">
        <f>AU3/AO3*100</f>
        <v>-12.023460410557185</v>
      </c>
      <c r="AW3" s="16">
        <f>COUNTIF(AU2:AU6,"&gt;0")</f>
        <v>1</v>
      </c>
      <c r="AX3" s="18">
        <v>43592</v>
      </c>
      <c r="AY3" s="16">
        <v>293</v>
      </c>
      <c r="AZ3" s="16">
        <v>348</v>
      </c>
      <c r="BA3" s="16">
        <v>293</v>
      </c>
      <c r="BB3" s="16">
        <v>345</v>
      </c>
      <c r="BC3" s="16">
        <v>345</v>
      </c>
      <c r="BD3" s="16">
        <v>87600</v>
      </c>
      <c r="BE3" s="16">
        <v>52</v>
      </c>
      <c r="BF3" s="16">
        <f>BE3/AY3*100</f>
        <v>17.747440273037544</v>
      </c>
      <c r="BG3" s="16">
        <f>COUNTIF(BE2:BE6,"&gt;0")</f>
        <v>4</v>
      </c>
      <c r="BH3" s="18">
        <v>43619</v>
      </c>
      <c r="BI3" s="16">
        <v>329</v>
      </c>
      <c r="BJ3" s="16">
        <v>448</v>
      </c>
      <c r="BK3" s="16">
        <v>320</v>
      </c>
      <c r="BL3" s="16">
        <v>405</v>
      </c>
      <c r="BM3" s="16">
        <v>405</v>
      </c>
      <c r="BN3" s="16">
        <v>604700</v>
      </c>
      <c r="BO3" s="16">
        <v>76</v>
      </c>
      <c r="BP3" s="16">
        <f>BO3/BI3*100</f>
        <v>23.100303951367781</v>
      </c>
      <c r="BQ3" s="16">
        <f>COUNTIF(BO2:BO6,"&gt;0")</f>
        <v>3</v>
      </c>
      <c r="BR3" s="18">
        <v>43647</v>
      </c>
      <c r="BS3" s="16">
        <v>404</v>
      </c>
      <c r="BT3" s="16">
        <v>430</v>
      </c>
      <c r="BU3" s="16">
        <v>358</v>
      </c>
      <c r="BV3" s="16">
        <v>365</v>
      </c>
      <c r="BW3" s="16">
        <v>365</v>
      </c>
      <c r="BX3" s="16">
        <v>126100</v>
      </c>
      <c r="BY3" s="16">
        <v>-39</v>
      </c>
      <c r="BZ3" s="16">
        <f>BY3/BS3*100</f>
        <v>-9.653465346534654</v>
      </c>
      <c r="CA3" s="16">
        <f>COUNTIF(BY2:BY6,"&gt;0")</f>
        <v>0</v>
      </c>
      <c r="CB3" s="18">
        <v>43678</v>
      </c>
      <c r="CC3" s="16">
        <v>358</v>
      </c>
      <c r="CD3" s="16">
        <v>393</v>
      </c>
      <c r="CE3" s="16">
        <v>351</v>
      </c>
      <c r="CF3" s="16">
        <v>369</v>
      </c>
      <c r="CG3" s="16">
        <v>369</v>
      </c>
      <c r="CH3" s="16">
        <v>28900</v>
      </c>
      <c r="CI3" s="16">
        <v>11</v>
      </c>
      <c r="CJ3" s="16">
        <f>CI3/CC3*100</f>
        <v>3.0726256983240221</v>
      </c>
      <c r="CK3" s="16">
        <f>COUNTIF(CI2:CI6,"&gt;0")</f>
        <v>2</v>
      </c>
      <c r="CL3" s="18">
        <v>43710</v>
      </c>
      <c r="CM3" s="16">
        <v>367</v>
      </c>
      <c r="CN3" s="16">
        <v>391</v>
      </c>
      <c r="CO3" s="16">
        <v>357</v>
      </c>
      <c r="CP3" s="16">
        <v>366</v>
      </c>
      <c r="CQ3" s="16">
        <v>366</v>
      </c>
      <c r="CR3" s="16">
        <v>43200</v>
      </c>
      <c r="CS3" s="16">
        <v>-1</v>
      </c>
      <c r="CT3" s="16">
        <f>CS3/CM3*100</f>
        <v>-0.27247956403269752</v>
      </c>
      <c r="CU3" s="16">
        <f>COUNTIF(CS2:CS6,"&gt;0")</f>
        <v>3</v>
      </c>
      <c r="CV3" s="18">
        <v>43739</v>
      </c>
      <c r="CW3" s="16">
        <v>360</v>
      </c>
      <c r="CX3" s="16">
        <v>662</v>
      </c>
      <c r="CY3" s="16">
        <v>357</v>
      </c>
      <c r="CZ3" s="16">
        <v>419</v>
      </c>
      <c r="DA3" s="16">
        <v>419</v>
      </c>
      <c r="DB3" s="16">
        <v>3521200</v>
      </c>
      <c r="DC3" s="16">
        <v>59</v>
      </c>
      <c r="DD3" s="16">
        <f>DC3/CW3*100</f>
        <v>16.388888888888889</v>
      </c>
      <c r="DE3" s="16">
        <f>COUNTIF(DC2:DC6,"&gt;0")</f>
        <v>4</v>
      </c>
      <c r="DF3" s="18">
        <v>43770</v>
      </c>
      <c r="DG3" s="16">
        <v>427</v>
      </c>
      <c r="DH3" s="16">
        <v>428</v>
      </c>
      <c r="DI3" s="16">
        <v>361</v>
      </c>
      <c r="DJ3" s="16">
        <v>386</v>
      </c>
      <c r="DK3" s="16">
        <v>386</v>
      </c>
      <c r="DL3" s="16">
        <v>251700</v>
      </c>
      <c r="DM3" s="16">
        <v>-41</v>
      </c>
      <c r="DN3" s="16">
        <f>DM3/DG3*100</f>
        <v>-9.6018735362997649</v>
      </c>
      <c r="DO3" s="16">
        <f>COUNTIF(DM2:DM6,"&gt;0")</f>
        <v>1</v>
      </c>
      <c r="DP3" s="18">
        <v>43801</v>
      </c>
      <c r="DQ3" s="16">
        <v>382</v>
      </c>
      <c r="DR3" s="16">
        <v>408</v>
      </c>
      <c r="DS3" s="16">
        <v>326</v>
      </c>
      <c r="DT3" s="16">
        <v>332</v>
      </c>
      <c r="DU3" s="16">
        <v>332</v>
      </c>
      <c r="DV3" s="16">
        <v>348600</v>
      </c>
      <c r="DW3" s="16">
        <v>-50</v>
      </c>
      <c r="DX3" s="16">
        <f>DW3/DQ3*100</f>
        <v>-13.089005235602095</v>
      </c>
      <c r="DY3" s="16">
        <f>COUNTIF(DW2:DW6,"&gt;0")</f>
        <v>2</v>
      </c>
    </row>
    <row r="4" spans="1:129">
      <c r="A4" s="17">
        <v>43160</v>
      </c>
      <c r="B4" s="16">
        <v>500</v>
      </c>
      <c r="C4" s="16">
        <v>626</v>
      </c>
      <c r="D4" s="16">
        <v>468</v>
      </c>
      <c r="E4" s="16">
        <v>511</v>
      </c>
      <c r="F4" s="16">
        <v>511</v>
      </c>
      <c r="G4" s="16">
        <v>322800</v>
      </c>
      <c r="H4" s="16">
        <f t="shared" si="0"/>
        <v>11</v>
      </c>
      <c r="J4" s="18">
        <v>43836</v>
      </c>
      <c r="K4" s="16">
        <v>332</v>
      </c>
      <c r="L4" s="16">
        <v>349</v>
      </c>
      <c r="M4" s="16">
        <v>290</v>
      </c>
      <c r="N4" s="16">
        <v>296</v>
      </c>
      <c r="O4" s="16">
        <v>296</v>
      </c>
      <c r="P4" s="16">
        <v>351900</v>
      </c>
      <c r="Q4" s="16">
        <v>-36</v>
      </c>
      <c r="R4" s="16">
        <f>Q4/K4*100</f>
        <v>-10.843373493975903</v>
      </c>
      <c r="S4" s="19">
        <f>S3/S2*100</f>
        <v>20</v>
      </c>
      <c r="T4" s="18">
        <v>43864</v>
      </c>
      <c r="U4" s="16">
        <v>320</v>
      </c>
      <c r="V4" s="16">
        <v>636</v>
      </c>
      <c r="W4" s="16">
        <v>253</v>
      </c>
      <c r="X4" s="16">
        <v>253</v>
      </c>
      <c r="Y4" s="16">
        <v>253</v>
      </c>
      <c r="Z4" s="16">
        <v>3185000</v>
      </c>
      <c r="AA4" s="16">
        <v>-67</v>
      </c>
      <c r="AB4" s="16">
        <f>AA4/U4*100</f>
        <v>-20.9375</v>
      </c>
      <c r="AC4" s="19">
        <f>AC3/AC2*100</f>
        <v>20</v>
      </c>
      <c r="AD4" s="18">
        <v>43892</v>
      </c>
      <c r="AE4" s="16">
        <v>316</v>
      </c>
      <c r="AF4" s="16">
        <v>316</v>
      </c>
      <c r="AG4" s="16">
        <v>161</v>
      </c>
      <c r="AH4" s="16">
        <v>299</v>
      </c>
      <c r="AI4" s="16">
        <v>299</v>
      </c>
      <c r="AJ4" s="16">
        <v>774000</v>
      </c>
      <c r="AK4" s="16">
        <v>-17</v>
      </c>
      <c r="AL4" s="16">
        <f>AK4/AE4*100</f>
        <v>-5.3797468354430382</v>
      </c>
      <c r="AM4" s="19">
        <f>AM3/AM2*100</f>
        <v>40</v>
      </c>
      <c r="AN4" s="18">
        <v>43922</v>
      </c>
      <c r="AO4" s="16">
        <v>283</v>
      </c>
      <c r="AP4" s="16">
        <v>305</v>
      </c>
      <c r="AQ4" s="16">
        <v>217</v>
      </c>
      <c r="AR4" s="16">
        <v>259</v>
      </c>
      <c r="AS4" s="16">
        <v>259</v>
      </c>
      <c r="AT4" s="16">
        <v>465800</v>
      </c>
      <c r="AU4" s="16">
        <v>-24</v>
      </c>
      <c r="AV4" s="16">
        <f>AU4/AO4*100</f>
        <v>-8.4805653710247348</v>
      </c>
      <c r="AW4" s="19">
        <f>AW3/AW2*100</f>
        <v>20</v>
      </c>
      <c r="AX4" s="18">
        <v>43952</v>
      </c>
      <c r="AY4" s="16">
        <v>265</v>
      </c>
      <c r="AZ4" s="16">
        <v>300</v>
      </c>
      <c r="BA4" s="16">
        <v>251</v>
      </c>
      <c r="BB4" s="16">
        <v>297</v>
      </c>
      <c r="BC4" s="16">
        <v>297</v>
      </c>
      <c r="BD4" s="16">
        <v>108600</v>
      </c>
      <c r="BE4" s="16">
        <v>32</v>
      </c>
      <c r="BF4" s="16">
        <f>BE4/AY4*100</f>
        <v>12.075471698113208</v>
      </c>
      <c r="BG4" s="19">
        <f>BG3/BG2*100</f>
        <v>80</v>
      </c>
      <c r="BH4" s="18">
        <v>43983</v>
      </c>
      <c r="BI4" s="16">
        <v>299</v>
      </c>
      <c r="BJ4" s="16">
        <v>439</v>
      </c>
      <c r="BK4" s="16">
        <v>287</v>
      </c>
      <c r="BL4" s="16">
        <v>395</v>
      </c>
      <c r="BM4" s="16">
        <v>395</v>
      </c>
      <c r="BN4" s="16">
        <v>553700</v>
      </c>
      <c r="BO4" s="16">
        <v>96</v>
      </c>
      <c r="BP4" s="16">
        <f>BO4/BI4*100</f>
        <v>32.107023411371237</v>
      </c>
      <c r="BQ4" s="19">
        <f>BQ3/BQ2*100</f>
        <v>60</v>
      </c>
      <c r="BR4" s="18">
        <v>44013</v>
      </c>
      <c r="BS4" s="16">
        <v>398</v>
      </c>
      <c r="BT4" s="16">
        <v>573</v>
      </c>
      <c r="BU4" s="16">
        <v>293</v>
      </c>
      <c r="BV4" s="16">
        <v>305</v>
      </c>
      <c r="BW4" s="16">
        <v>305</v>
      </c>
      <c r="BX4" s="16">
        <v>2884900</v>
      </c>
      <c r="BY4" s="16">
        <v>-93</v>
      </c>
      <c r="BZ4" s="16">
        <f>BY4/BS4*100</f>
        <v>-23.366834170854272</v>
      </c>
      <c r="CA4" s="19">
        <f>CA3/CA2*100</f>
        <v>0</v>
      </c>
      <c r="CB4" s="18">
        <v>44046</v>
      </c>
      <c r="CC4" s="16">
        <v>305</v>
      </c>
      <c r="CD4" s="16">
        <v>318</v>
      </c>
      <c r="CE4" s="16">
        <v>289</v>
      </c>
      <c r="CF4" s="16">
        <v>310</v>
      </c>
      <c r="CG4" s="16">
        <v>310</v>
      </c>
      <c r="CH4" s="16">
        <v>149500</v>
      </c>
      <c r="CI4" s="16">
        <v>5</v>
      </c>
      <c r="CJ4" s="16">
        <f>CI4/CC4*100</f>
        <v>1.639344262295082</v>
      </c>
      <c r="CK4" s="19">
        <f>CK3/CK2*100</f>
        <v>40</v>
      </c>
      <c r="CL4" s="18">
        <v>44075</v>
      </c>
      <c r="CM4" s="16">
        <v>310</v>
      </c>
      <c r="CN4" s="16">
        <v>320</v>
      </c>
      <c r="CO4" s="16">
        <v>300</v>
      </c>
      <c r="CP4" s="16">
        <v>313</v>
      </c>
      <c r="CQ4" s="16">
        <v>313</v>
      </c>
      <c r="CR4" s="16">
        <v>126100</v>
      </c>
      <c r="CS4" s="16">
        <v>3</v>
      </c>
      <c r="CT4" s="16">
        <f>CS4/CM4*100</f>
        <v>0.967741935483871</v>
      </c>
      <c r="CU4" s="19">
        <f>CU3/CU2*100</f>
        <v>60</v>
      </c>
      <c r="CV4" s="18">
        <v>44106</v>
      </c>
      <c r="CW4" s="16">
        <v>315</v>
      </c>
      <c r="CX4" s="16">
        <v>395</v>
      </c>
      <c r="CY4" s="16">
        <v>310</v>
      </c>
      <c r="CZ4" s="16">
        <v>316</v>
      </c>
      <c r="DA4" s="16">
        <v>316</v>
      </c>
      <c r="DB4" s="16">
        <v>427000</v>
      </c>
      <c r="DC4" s="16">
        <v>1</v>
      </c>
      <c r="DD4" s="16">
        <f>DC4/CW4*100</f>
        <v>0.31746031746031744</v>
      </c>
      <c r="DE4" s="19">
        <f>DE3/DE2*100</f>
        <v>80</v>
      </c>
      <c r="DF4" s="18">
        <v>44137</v>
      </c>
      <c r="DG4" s="16">
        <v>316</v>
      </c>
      <c r="DH4" s="16">
        <v>375</v>
      </c>
      <c r="DI4" s="16">
        <v>296</v>
      </c>
      <c r="DJ4" s="16">
        <v>303</v>
      </c>
      <c r="DK4" s="16">
        <v>303</v>
      </c>
      <c r="DL4" s="16">
        <v>347500</v>
      </c>
      <c r="DM4" s="16">
        <v>-13</v>
      </c>
      <c r="DN4" s="16">
        <f>DM4/DG4*100</f>
        <v>-4.1139240506329111</v>
      </c>
      <c r="DO4" s="19">
        <f>DO3/DO2*100</f>
        <v>20</v>
      </c>
      <c r="DP4" s="18">
        <v>44166</v>
      </c>
      <c r="DQ4" s="16">
        <v>305</v>
      </c>
      <c r="DR4" s="16">
        <v>385</v>
      </c>
      <c r="DS4" s="16">
        <v>299</v>
      </c>
      <c r="DT4" s="16">
        <v>330</v>
      </c>
      <c r="DU4" s="16">
        <v>330</v>
      </c>
      <c r="DV4" s="16">
        <v>1346200</v>
      </c>
      <c r="DW4" s="16">
        <v>25</v>
      </c>
      <c r="DX4" s="16">
        <f>DW4/DQ4*100</f>
        <v>8.1967213114754092</v>
      </c>
      <c r="DY4" s="19">
        <f>DY3/DY2*100</f>
        <v>40</v>
      </c>
    </row>
    <row r="5" spans="1:129">
      <c r="A5" s="17">
        <v>43192</v>
      </c>
      <c r="B5" s="16">
        <v>511</v>
      </c>
      <c r="C5" s="16">
        <v>535</v>
      </c>
      <c r="D5" s="16">
        <v>490</v>
      </c>
      <c r="E5" s="16">
        <v>497</v>
      </c>
      <c r="F5" s="16">
        <v>497</v>
      </c>
      <c r="G5" s="16">
        <v>30300</v>
      </c>
      <c r="H5" s="16">
        <f t="shared" si="0"/>
        <v>-14</v>
      </c>
      <c r="J5" s="18">
        <v>44200</v>
      </c>
      <c r="K5" s="16">
        <v>344</v>
      </c>
      <c r="L5" s="16">
        <v>375</v>
      </c>
      <c r="M5" s="16">
        <v>310</v>
      </c>
      <c r="N5" s="16">
        <v>315</v>
      </c>
      <c r="O5" s="16">
        <v>315</v>
      </c>
      <c r="P5" s="16">
        <v>674400</v>
      </c>
      <c r="Q5" s="16">
        <v>-29</v>
      </c>
      <c r="R5" s="16">
        <f>Q5/K5*100</f>
        <v>-8.4302325581395348</v>
      </c>
      <c r="S5" s="16">
        <f>AVERAGE(R2:R6)</f>
        <v>-6.4162661375271339</v>
      </c>
      <c r="T5" s="18">
        <v>44228</v>
      </c>
      <c r="U5" s="16">
        <v>315</v>
      </c>
      <c r="V5" s="16">
        <v>318</v>
      </c>
      <c r="W5" s="16">
        <v>300</v>
      </c>
      <c r="X5" s="16">
        <v>309</v>
      </c>
      <c r="Y5" s="16">
        <v>309</v>
      </c>
      <c r="Z5" s="16">
        <v>168700</v>
      </c>
      <c r="AA5" s="16">
        <v>-6</v>
      </c>
      <c r="AB5" s="16">
        <f>AA5/U5*100</f>
        <v>-1.9047619047619049</v>
      </c>
      <c r="AC5" s="16">
        <f>AVERAGE(AB2:AB6)</f>
        <v>-5.4471620087843151</v>
      </c>
      <c r="AD5" s="18">
        <v>44256</v>
      </c>
      <c r="AE5" s="16">
        <v>310</v>
      </c>
      <c r="AF5" s="16">
        <v>319</v>
      </c>
      <c r="AG5" s="16">
        <v>301</v>
      </c>
      <c r="AH5" s="16">
        <v>307</v>
      </c>
      <c r="AI5" s="16">
        <v>307</v>
      </c>
      <c r="AJ5" s="16">
        <v>199900</v>
      </c>
      <c r="AK5" s="16">
        <v>-3</v>
      </c>
      <c r="AL5" s="16">
        <f>AK5/AE5*100</f>
        <v>-0.967741935483871</v>
      </c>
      <c r="AM5" s="16">
        <f>AVERAGE(AL2:AL6)</f>
        <v>-6.084841410747046E-2</v>
      </c>
      <c r="AN5" s="18">
        <v>44287</v>
      </c>
      <c r="AO5" s="16">
        <v>307</v>
      </c>
      <c r="AP5" s="16">
        <v>307</v>
      </c>
      <c r="AQ5" s="16">
        <v>287</v>
      </c>
      <c r="AR5" s="16">
        <v>292</v>
      </c>
      <c r="AS5" s="16">
        <v>292</v>
      </c>
      <c r="AT5" s="16">
        <v>369200</v>
      </c>
      <c r="AU5" s="16">
        <v>-15</v>
      </c>
      <c r="AV5" s="16">
        <f>AU5/AO5*100</f>
        <v>-4.8859934853420199</v>
      </c>
      <c r="AW5" s="16">
        <f>AVERAGE(AV2:AV6)</f>
        <v>-4.3182567511719316</v>
      </c>
      <c r="AX5" s="18">
        <v>44322</v>
      </c>
      <c r="AY5" s="16">
        <v>294</v>
      </c>
      <c r="AZ5" s="16">
        <v>372</v>
      </c>
      <c r="BA5" s="16">
        <v>290</v>
      </c>
      <c r="BB5" s="16">
        <v>298</v>
      </c>
      <c r="BC5" s="16">
        <v>298</v>
      </c>
      <c r="BD5" s="16">
        <v>4042500</v>
      </c>
      <c r="BE5" s="16">
        <v>4</v>
      </c>
      <c r="BF5" s="16">
        <f>BE5/AY5*100</f>
        <v>1.3605442176870748</v>
      </c>
      <c r="BG5" s="16">
        <f>AVERAGE(BF2:BF6)</f>
        <v>6.664791596190506</v>
      </c>
      <c r="BH5" s="18">
        <v>44348</v>
      </c>
      <c r="BI5" s="16">
        <v>300</v>
      </c>
      <c r="BJ5" s="16">
        <v>344</v>
      </c>
      <c r="BK5" s="16">
        <v>294</v>
      </c>
      <c r="BL5" s="16">
        <v>322</v>
      </c>
      <c r="BM5" s="16">
        <v>322</v>
      </c>
      <c r="BN5" s="16">
        <v>3596200</v>
      </c>
      <c r="BO5" s="16">
        <v>22</v>
      </c>
      <c r="BP5" s="16">
        <f>BO5/BI5*100</f>
        <v>7.333333333333333</v>
      </c>
      <c r="BQ5" s="16">
        <f>AVERAGE(BP2:BP6)</f>
        <v>8.6285682446911434</v>
      </c>
      <c r="BR5" s="18">
        <v>44378</v>
      </c>
      <c r="BS5" s="16">
        <v>322</v>
      </c>
      <c r="BT5" s="16">
        <v>335</v>
      </c>
      <c r="BU5" s="16">
        <v>280</v>
      </c>
      <c r="BV5" s="16">
        <v>283</v>
      </c>
      <c r="BW5" s="16">
        <v>283</v>
      </c>
      <c r="BX5" s="16">
        <v>2596800</v>
      </c>
      <c r="BY5" s="16">
        <v>-39</v>
      </c>
      <c r="BZ5" s="16">
        <f>BY5/BS5*100</f>
        <v>-12.111801242236025</v>
      </c>
      <c r="CA5" s="16">
        <f>AVERAGE(BZ2:BZ6)</f>
        <v>-11.094706021405862</v>
      </c>
      <c r="CB5" s="18">
        <v>44410</v>
      </c>
      <c r="CC5" s="16">
        <v>285</v>
      </c>
      <c r="CD5" s="16">
        <v>285</v>
      </c>
      <c r="CE5" s="16">
        <v>250</v>
      </c>
      <c r="CF5" s="16">
        <v>274</v>
      </c>
      <c r="CG5" s="16">
        <v>274</v>
      </c>
      <c r="CH5" s="16">
        <v>521300</v>
      </c>
      <c r="CI5" s="16">
        <v>-11</v>
      </c>
      <c r="CJ5" s="16">
        <f>CI5/CC5*100</f>
        <v>-3.8596491228070176</v>
      </c>
      <c r="CK5" s="16">
        <f>AVERAGE(CJ2:CJ6)</f>
        <v>-0.31536579195175268</v>
      </c>
      <c r="CL5" s="18">
        <v>44440</v>
      </c>
      <c r="CM5" s="16">
        <v>273</v>
      </c>
      <c r="CN5" s="16">
        <v>290</v>
      </c>
      <c r="CO5" s="16">
        <v>272</v>
      </c>
      <c r="CP5" s="16">
        <v>287</v>
      </c>
      <c r="CQ5" s="16">
        <v>287</v>
      </c>
      <c r="CR5" s="16">
        <v>301500</v>
      </c>
      <c r="CS5" s="16">
        <v>14</v>
      </c>
      <c r="CT5" s="16">
        <f>CS5/CM5*100</f>
        <v>5.1282051282051277</v>
      </c>
      <c r="CU5" s="16">
        <f>AVERAGE(CT2:CT6)</f>
        <v>1.7162983432908603</v>
      </c>
      <c r="CV5" s="18">
        <v>44470</v>
      </c>
      <c r="CW5" s="16">
        <v>287</v>
      </c>
      <c r="CX5" s="16">
        <v>295</v>
      </c>
      <c r="CY5" s="16">
        <v>286</v>
      </c>
      <c r="CZ5" s="16">
        <v>291</v>
      </c>
      <c r="DA5" s="16">
        <v>291</v>
      </c>
      <c r="DB5" s="16">
        <v>373100</v>
      </c>
      <c r="DC5" s="16">
        <v>4</v>
      </c>
      <c r="DD5" s="16">
        <f>DC5/CW5*100</f>
        <v>1.3937282229965158</v>
      </c>
      <c r="DE5" s="16">
        <f>AVERAGE(DD2:DD6)</f>
        <v>2.3278534819488734</v>
      </c>
      <c r="DF5" s="18">
        <v>44501</v>
      </c>
      <c r="DG5" s="16">
        <v>293</v>
      </c>
      <c r="DH5" s="16">
        <v>295</v>
      </c>
      <c r="DI5" s="16">
        <v>278</v>
      </c>
      <c r="DJ5" s="16">
        <v>283</v>
      </c>
      <c r="DK5" s="16">
        <v>283</v>
      </c>
      <c r="DL5" s="16">
        <v>379000</v>
      </c>
      <c r="DM5" s="16">
        <v>-10</v>
      </c>
      <c r="DN5" s="16">
        <f>DM5/DG5*100</f>
        <v>-3.4129692832764507</v>
      </c>
      <c r="DO5" s="16">
        <f>AVERAGE(DN2:DN6)</f>
        <v>-3.9638290694362617</v>
      </c>
      <c r="DP5" s="18">
        <v>44531</v>
      </c>
      <c r="DQ5" s="16">
        <v>281</v>
      </c>
      <c r="DR5" s="16">
        <v>302</v>
      </c>
      <c r="DS5" s="16">
        <v>280</v>
      </c>
      <c r="DT5" s="16">
        <v>289</v>
      </c>
      <c r="DU5" s="16">
        <v>289</v>
      </c>
      <c r="DV5" s="16">
        <v>877300</v>
      </c>
      <c r="DW5" s="16">
        <v>8</v>
      </c>
      <c r="DX5" s="16">
        <f>DW5/DQ5*100</f>
        <v>2.8469750889679712</v>
      </c>
      <c r="DY5" s="16">
        <f>AVERAGE(DX2:DX6)</f>
        <v>-5.7107171594312378</v>
      </c>
    </row>
    <row r="6" spans="1:129">
      <c r="A6" s="17">
        <v>43221</v>
      </c>
      <c r="B6" s="16">
        <v>500</v>
      </c>
      <c r="C6" s="16">
        <v>558</v>
      </c>
      <c r="D6" s="16">
        <v>478</v>
      </c>
      <c r="E6" s="16">
        <v>534</v>
      </c>
      <c r="F6" s="16">
        <v>534</v>
      </c>
      <c r="G6" s="16">
        <v>173200</v>
      </c>
      <c r="H6" s="16">
        <f t="shared" si="0"/>
        <v>34</v>
      </c>
      <c r="J6" s="18">
        <v>44565</v>
      </c>
      <c r="K6" s="16">
        <v>291</v>
      </c>
      <c r="L6" s="16">
        <v>302</v>
      </c>
      <c r="M6" s="16">
        <v>249</v>
      </c>
      <c r="N6" s="16">
        <v>264</v>
      </c>
      <c r="O6" s="16">
        <v>264</v>
      </c>
      <c r="P6" s="16">
        <v>1860100</v>
      </c>
      <c r="Q6" s="16">
        <v>-27</v>
      </c>
      <c r="R6" s="16">
        <f>Q6/K6*100</f>
        <v>-9.2783505154639183</v>
      </c>
      <c r="S6" s="16">
        <f>MEDIAN(R2:R6)</f>
        <v>-9.2783505154639183</v>
      </c>
      <c r="T6" s="18">
        <v>44593</v>
      </c>
      <c r="U6" s="16">
        <v>263</v>
      </c>
      <c r="V6" s="16">
        <v>263</v>
      </c>
      <c r="W6" s="16">
        <v>240</v>
      </c>
      <c r="X6" s="16">
        <v>248</v>
      </c>
      <c r="Y6" s="16">
        <v>248</v>
      </c>
      <c r="Z6" s="16">
        <v>480000</v>
      </c>
      <c r="AA6" s="16">
        <v>-15</v>
      </c>
      <c r="AB6" s="16">
        <f>AA6/U6*100</f>
        <v>-5.7034220532319395</v>
      </c>
      <c r="AC6" s="16">
        <f>MEDIAN(AB2:AB6)</f>
        <v>-3.6608863198458574</v>
      </c>
      <c r="AD6" s="18">
        <v>44621</v>
      </c>
      <c r="AE6" s="16">
        <v>245</v>
      </c>
      <c r="AF6" s="16">
        <v>261</v>
      </c>
      <c r="AG6" s="16">
        <v>240</v>
      </c>
      <c r="AH6" s="16">
        <v>260</v>
      </c>
      <c r="AI6" s="16">
        <v>260</v>
      </c>
      <c r="AJ6" s="16">
        <v>201700</v>
      </c>
      <c r="AK6" s="16">
        <v>15</v>
      </c>
      <c r="AL6" s="16">
        <f>AK6/AE6*100</f>
        <v>6.1224489795918364</v>
      </c>
      <c r="AM6" s="16">
        <f>MEDIAN(AL2:AL6)</f>
        <v>-0.967741935483871</v>
      </c>
      <c r="AN6" s="18">
        <v>44652</v>
      </c>
      <c r="AO6" s="16">
        <v>260</v>
      </c>
      <c r="AP6" s="16">
        <v>278</v>
      </c>
      <c r="AQ6" s="16">
        <v>258</v>
      </c>
      <c r="AR6" s="16">
        <v>277</v>
      </c>
      <c r="AS6" s="16">
        <v>277</v>
      </c>
      <c r="AT6" s="16">
        <v>183400</v>
      </c>
      <c r="AU6" s="16">
        <v>17</v>
      </c>
      <c r="AV6" s="16">
        <f>AU6/AO6*100</f>
        <v>6.5384615384615392</v>
      </c>
      <c r="AW6" s="16">
        <f>MEDIAN(AV2:AV6)</f>
        <v>-4.8859934853420199</v>
      </c>
      <c r="AX6" s="18">
        <v>44683</v>
      </c>
      <c r="AY6" s="16">
        <v>279</v>
      </c>
      <c r="AZ6" s="16">
        <v>281</v>
      </c>
      <c r="BA6" s="16">
        <v>261</v>
      </c>
      <c r="BB6" s="16">
        <v>266</v>
      </c>
      <c r="BC6" s="16">
        <v>266</v>
      </c>
      <c r="BD6" s="16">
        <v>226100</v>
      </c>
      <c r="BE6" s="16">
        <v>-13</v>
      </c>
      <c r="BF6" s="16">
        <f>BE6/AY6*100</f>
        <v>-4.6594982078853047</v>
      </c>
      <c r="BG6" s="16">
        <f>MEDIAN(BF2:BF6)</f>
        <v>6.8000000000000007</v>
      </c>
      <c r="BH6" s="18">
        <v>44713</v>
      </c>
      <c r="BI6" s="16">
        <v>290</v>
      </c>
      <c r="BJ6" s="16">
        <v>293</v>
      </c>
      <c r="BK6" s="16">
        <v>260</v>
      </c>
      <c r="BL6" s="16">
        <v>262</v>
      </c>
      <c r="BM6" s="16">
        <v>262</v>
      </c>
      <c r="BN6" s="16">
        <v>1401800</v>
      </c>
      <c r="BO6" s="16">
        <v>-28</v>
      </c>
      <c r="BP6" s="16">
        <f>BO6/BI6*100</f>
        <v>-9.6551724137931032</v>
      </c>
      <c r="BQ6" s="16">
        <f>MEDIAN(BP2:BP6)</f>
        <v>7.333333333333333</v>
      </c>
      <c r="BR6" s="18">
        <v>44743</v>
      </c>
      <c r="BS6" s="16">
        <v>263</v>
      </c>
      <c r="BT6" s="16">
        <v>285</v>
      </c>
      <c r="BU6" s="16">
        <v>238</v>
      </c>
      <c r="BV6" s="16">
        <v>246</v>
      </c>
      <c r="BW6" s="16">
        <v>246</v>
      </c>
      <c r="BX6" s="16">
        <v>2173700</v>
      </c>
      <c r="BY6" s="16">
        <v>-17</v>
      </c>
      <c r="BZ6" s="16">
        <f>BY6/BS6*100</f>
        <v>-6.4638783269961975</v>
      </c>
      <c r="CA6" s="16">
        <f>MEDIAN(BZ2:BZ6)</f>
        <v>-9.653465346534654</v>
      </c>
      <c r="CB6" s="18">
        <v>44774</v>
      </c>
      <c r="CC6" s="16">
        <v>247</v>
      </c>
      <c r="CD6" s="16">
        <v>248</v>
      </c>
      <c r="CE6" s="16">
        <v>240</v>
      </c>
      <c r="CF6" s="16">
        <v>241</v>
      </c>
      <c r="CG6" s="16">
        <v>241</v>
      </c>
      <c r="CH6" s="16">
        <v>369500</v>
      </c>
      <c r="CI6" s="16">
        <v>-6</v>
      </c>
      <c r="CJ6" s="16">
        <f>CI6/CC6*100</f>
        <v>-2.42914979757085</v>
      </c>
      <c r="CK6" s="16">
        <f>MEDIAN(CJ2:CJ6)</f>
        <v>0</v>
      </c>
      <c r="CL6" s="18">
        <v>44805</v>
      </c>
      <c r="CM6" s="16">
        <v>242</v>
      </c>
      <c r="CN6" s="16">
        <v>243</v>
      </c>
      <c r="CO6" s="16">
        <v>240</v>
      </c>
      <c r="CP6" s="16">
        <v>241</v>
      </c>
      <c r="CQ6" s="16">
        <v>241</v>
      </c>
      <c r="CR6" s="16">
        <v>304300</v>
      </c>
      <c r="CS6" s="16">
        <v>-1</v>
      </c>
      <c r="CT6" s="16">
        <f>CS6/CM6*100</f>
        <v>-0.41322314049586778</v>
      </c>
      <c r="CU6" s="16">
        <f>MEDIAN(CT2:CT6)</f>
        <v>0.967741935483871</v>
      </c>
      <c r="CV6" s="18">
        <v>44837</v>
      </c>
      <c r="CW6" s="16">
        <v>241</v>
      </c>
      <c r="CX6" s="16">
        <v>256</v>
      </c>
      <c r="CY6" s="16">
        <v>240</v>
      </c>
      <c r="CZ6" s="16">
        <v>255</v>
      </c>
      <c r="DA6" s="16">
        <v>255</v>
      </c>
      <c r="DB6" s="16">
        <v>242800</v>
      </c>
      <c r="DC6" s="16">
        <v>14</v>
      </c>
      <c r="DD6" s="16">
        <f>DC6/CW6*100</f>
        <v>5.809128630705394</v>
      </c>
      <c r="DE6" s="16">
        <f>MEDIAN(DD2:DD6)</f>
        <v>1.3937282229965158</v>
      </c>
      <c r="DF6" s="18">
        <v>44866</v>
      </c>
      <c r="DG6" s="16">
        <v>255</v>
      </c>
      <c r="DH6" s="16">
        <v>261</v>
      </c>
      <c r="DI6" s="16">
        <v>250</v>
      </c>
      <c r="DJ6" s="16">
        <v>260</v>
      </c>
      <c r="DK6" s="16">
        <v>260</v>
      </c>
      <c r="DL6" s="16">
        <v>321700</v>
      </c>
      <c r="DM6" s="16">
        <v>5</v>
      </c>
      <c r="DN6" s="16">
        <f>DM6/DG6*100</f>
        <v>1.9607843137254901</v>
      </c>
      <c r="DO6" s="16">
        <f>MEDIAN(DN2:DN6)</f>
        <v>-4.1139240506329111</v>
      </c>
      <c r="DP6" s="18">
        <v>44896</v>
      </c>
      <c r="DQ6" s="16">
        <v>261</v>
      </c>
      <c r="DR6" s="16">
        <v>262</v>
      </c>
      <c r="DS6" s="16">
        <v>252</v>
      </c>
      <c r="DT6" s="16">
        <v>258</v>
      </c>
      <c r="DU6" s="16">
        <v>258</v>
      </c>
      <c r="DV6" s="16">
        <v>617000</v>
      </c>
      <c r="DW6" s="16">
        <v>-3</v>
      </c>
      <c r="DX6" s="16">
        <f>DW6/DQ6*100</f>
        <v>-1.1494252873563218</v>
      </c>
      <c r="DY6" s="16">
        <f>MEDIAN(DX2:DX6)</f>
        <v>-1.1494252873563218</v>
      </c>
    </row>
    <row r="7" spans="1:129">
      <c r="A7" s="17">
        <v>43252</v>
      </c>
      <c r="B7" s="16">
        <v>544</v>
      </c>
      <c r="C7" s="16">
        <v>548</v>
      </c>
      <c r="D7" s="16">
        <v>468</v>
      </c>
      <c r="E7" s="16">
        <v>491</v>
      </c>
      <c r="F7" s="16">
        <v>491</v>
      </c>
      <c r="G7" s="16">
        <v>104000</v>
      </c>
      <c r="H7" s="16">
        <f t="shared" si="0"/>
        <v>-53</v>
      </c>
    </row>
    <row r="8" spans="1:129">
      <c r="A8" s="17">
        <v>43283</v>
      </c>
      <c r="B8" s="16">
        <v>490</v>
      </c>
      <c r="C8" s="16">
        <v>490</v>
      </c>
      <c r="D8" s="16">
        <v>465</v>
      </c>
      <c r="E8" s="16">
        <v>471</v>
      </c>
      <c r="F8" s="16">
        <v>471</v>
      </c>
      <c r="G8" s="16">
        <v>29300</v>
      </c>
      <c r="H8" s="16">
        <f t="shared" si="0"/>
        <v>-19</v>
      </c>
    </row>
    <row r="9" spans="1:129">
      <c r="A9" s="17">
        <v>43313</v>
      </c>
      <c r="B9" s="16">
        <v>470</v>
      </c>
      <c r="C9" s="16">
        <v>483</v>
      </c>
      <c r="D9" s="16">
        <v>455</v>
      </c>
      <c r="E9" s="16">
        <v>470</v>
      </c>
      <c r="F9" s="16">
        <v>470</v>
      </c>
      <c r="G9" s="16">
        <v>19700</v>
      </c>
      <c r="H9" s="16">
        <f t="shared" si="0"/>
        <v>0</v>
      </c>
    </row>
    <row r="10" spans="1:129">
      <c r="A10" s="17">
        <v>43346</v>
      </c>
      <c r="B10" s="16">
        <v>473</v>
      </c>
      <c r="C10" s="16">
        <v>559</v>
      </c>
      <c r="D10" s="16">
        <v>459</v>
      </c>
      <c r="E10" s="16">
        <v>488</v>
      </c>
      <c r="F10" s="16">
        <v>488</v>
      </c>
      <c r="G10" s="16">
        <v>413400</v>
      </c>
      <c r="H10" s="16">
        <f t="shared" si="0"/>
        <v>15</v>
      </c>
    </row>
    <row r="11" spans="1:129">
      <c r="A11" s="17">
        <v>43374</v>
      </c>
      <c r="B11" s="16">
        <v>489</v>
      </c>
      <c r="C11" s="16">
        <v>494</v>
      </c>
      <c r="D11" s="16">
        <v>409</v>
      </c>
      <c r="E11" s="16">
        <v>429</v>
      </c>
      <c r="F11" s="16">
        <v>429</v>
      </c>
      <c r="G11" s="16">
        <v>71300</v>
      </c>
      <c r="H11" s="16">
        <f t="shared" si="0"/>
        <v>-60</v>
      </c>
    </row>
    <row r="12" spans="1:129">
      <c r="A12" s="17">
        <v>43405</v>
      </c>
      <c r="B12" s="16">
        <v>430</v>
      </c>
      <c r="C12" s="16">
        <v>442</v>
      </c>
      <c r="D12" s="16">
        <v>402</v>
      </c>
      <c r="E12" s="16">
        <v>410</v>
      </c>
      <c r="F12" s="16">
        <v>410</v>
      </c>
      <c r="G12" s="16">
        <v>29800</v>
      </c>
      <c r="H12" s="16">
        <f t="shared" si="0"/>
        <v>-20</v>
      </c>
    </row>
    <row r="13" spans="1:129">
      <c r="A13" s="17">
        <v>43437</v>
      </c>
      <c r="B13" s="16">
        <v>418</v>
      </c>
      <c r="C13" s="16">
        <v>460</v>
      </c>
      <c r="D13" s="16">
        <v>297</v>
      </c>
      <c r="E13" s="16">
        <v>312</v>
      </c>
      <c r="F13" s="16">
        <v>312</v>
      </c>
      <c r="G13" s="16">
        <v>155200</v>
      </c>
      <c r="H13" s="16">
        <f t="shared" si="0"/>
        <v>-106</v>
      </c>
    </row>
    <row r="14" spans="1:129">
      <c r="A14" s="17">
        <v>43469</v>
      </c>
      <c r="B14" s="16">
        <v>312</v>
      </c>
      <c r="C14" s="16">
        <v>384</v>
      </c>
      <c r="D14" s="16">
        <v>307</v>
      </c>
      <c r="E14" s="16">
        <v>342</v>
      </c>
      <c r="F14" s="16">
        <v>342</v>
      </c>
      <c r="G14" s="16">
        <v>42200</v>
      </c>
      <c r="H14" s="16">
        <f t="shared" si="0"/>
        <v>30</v>
      </c>
    </row>
    <row r="15" spans="1:129">
      <c r="A15" s="17">
        <v>43497</v>
      </c>
      <c r="B15" s="16">
        <v>342</v>
      </c>
      <c r="C15" s="16">
        <v>377</v>
      </c>
      <c r="D15" s="16">
        <v>335</v>
      </c>
      <c r="E15" s="16">
        <v>359</v>
      </c>
      <c r="F15" s="16">
        <v>359</v>
      </c>
      <c r="G15" s="16">
        <v>13200</v>
      </c>
      <c r="H15" s="16">
        <f t="shared" si="0"/>
        <v>17</v>
      </c>
    </row>
    <row r="16" spans="1:129">
      <c r="A16" s="17">
        <v>43525</v>
      </c>
      <c r="B16" s="16">
        <v>351</v>
      </c>
      <c r="C16" s="16">
        <v>385</v>
      </c>
      <c r="D16" s="16">
        <v>330</v>
      </c>
      <c r="E16" s="16">
        <v>343</v>
      </c>
      <c r="F16" s="16">
        <v>343</v>
      </c>
      <c r="G16" s="16">
        <v>39500</v>
      </c>
      <c r="H16" s="16">
        <f t="shared" si="0"/>
        <v>-8</v>
      </c>
    </row>
    <row r="17" spans="1:8">
      <c r="A17" s="17">
        <v>43556</v>
      </c>
      <c r="B17" s="16">
        <v>341</v>
      </c>
      <c r="C17" s="16">
        <v>360</v>
      </c>
      <c r="D17" s="16">
        <v>292</v>
      </c>
      <c r="E17" s="16">
        <v>300</v>
      </c>
      <c r="F17" s="16">
        <v>300</v>
      </c>
      <c r="G17" s="16">
        <v>104000</v>
      </c>
      <c r="H17" s="16">
        <f t="shared" si="0"/>
        <v>-41</v>
      </c>
    </row>
    <row r="18" spans="1:8">
      <c r="A18" s="17">
        <v>43592</v>
      </c>
      <c r="B18" s="16">
        <v>293</v>
      </c>
      <c r="C18" s="16">
        <v>348</v>
      </c>
      <c r="D18" s="16">
        <v>293</v>
      </c>
      <c r="E18" s="16">
        <v>345</v>
      </c>
      <c r="F18" s="16">
        <v>345</v>
      </c>
      <c r="G18" s="16">
        <v>87600</v>
      </c>
      <c r="H18" s="16">
        <f t="shared" si="0"/>
        <v>52</v>
      </c>
    </row>
    <row r="19" spans="1:8">
      <c r="A19" s="17">
        <v>43619</v>
      </c>
      <c r="B19" s="16">
        <v>329</v>
      </c>
      <c r="C19" s="16">
        <v>448</v>
      </c>
      <c r="D19" s="16">
        <v>320</v>
      </c>
      <c r="E19" s="16">
        <v>405</v>
      </c>
      <c r="F19" s="16">
        <v>405</v>
      </c>
      <c r="G19" s="16">
        <v>604700</v>
      </c>
      <c r="H19" s="16">
        <f t="shared" si="0"/>
        <v>76</v>
      </c>
    </row>
    <row r="20" spans="1:8">
      <c r="A20" s="17">
        <v>43647</v>
      </c>
      <c r="B20" s="16">
        <v>404</v>
      </c>
      <c r="C20" s="16">
        <v>430</v>
      </c>
      <c r="D20" s="16">
        <v>358</v>
      </c>
      <c r="E20" s="16">
        <v>365</v>
      </c>
      <c r="F20" s="16">
        <v>365</v>
      </c>
      <c r="G20" s="16">
        <v>126100</v>
      </c>
      <c r="H20" s="16">
        <f t="shared" si="0"/>
        <v>-39</v>
      </c>
    </row>
    <row r="21" spans="1:8">
      <c r="A21" s="17">
        <v>43678</v>
      </c>
      <c r="B21" s="16">
        <v>358</v>
      </c>
      <c r="C21" s="16">
        <v>393</v>
      </c>
      <c r="D21" s="16">
        <v>351</v>
      </c>
      <c r="E21" s="16">
        <v>369</v>
      </c>
      <c r="F21" s="16">
        <v>369</v>
      </c>
      <c r="G21" s="16">
        <v>28900</v>
      </c>
      <c r="H21" s="16">
        <f t="shared" si="0"/>
        <v>11</v>
      </c>
    </row>
    <row r="22" spans="1:8">
      <c r="A22" s="17">
        <v>43710</v>
      </c>
      <c r="B22" s="16">
        <v>367</v>
      </c>
      <c r="C22" s="16">
        <v>391</v>
      </c>
      <c r="D22" s="16">
        <v>357</v>
      </c>
      <c r="E22" s="16">
        <v>366</v>
      </c>
      <c r="F22" s="16">
        <v>366</v>
      </c>
      <c r="G22" s="16">
        <v>43200</v>
      </c>
      <c r="H22" s="16">
        <f t="shared" si="0"/>
        <v>-1</v>
      </c>
    </row>
    <row r="23" spans="1:8">
      <c r="A23" s="17">
        <v>43739</v>
      </c>
      <c r="B23" s="16">
        <v>360</v>
      </c>
      <c r="C23" s="16">
        <v>662</v>
      </c>
      <c r="D23" s="16">
        <v>357</v>
      </c>
      <c r="E23" s="16">
        <v>419</v>
      </c>
      <c r="F23" s="16">
        <v>419</v>
      </c>
      <c r="G23" s="16">
        <v>3521200</v>
      </c>
      <c r="H23" s="16">
        <f t="shared" si="0"/>
        <v>59</v>
      </c>
    </row>
    <row r="24" spans="1:8">
      <c r="A24" s="17">
        <v>43770</v>
      </c>
      <c r="B24" s="16">
        <v>427</v>
      </c>
      <c r="C24" s="16">
        <v>428</v>
      </c>
      <c r="D24" s="16">
        <v>361</v>
      </c>
      <c r="E24" s="16">
        <v>386</v>
      </c>
      <c r="F24" s="16">
        <v>386</v>
      </c>
      <c r="G24" s="16">
        <v>251700</v>
      </c>
      <c r="H24" s="16">
        <f t="shared" si="0"/>
        <v>-41</v>
      </c>
    </row>
    <row r="25" spans="1:8">
      <c r="A25" s="17">
        <v>43801</v>
      </c>
      <c r="B25" s="16">
        <v>382</v>
      </c>
      <c r="C25" s="16">
        <v>408</v>
      </c>
      <c r="D25" s="16">
        <v>326</v>
      </c>
      <c r="E25" s="16">
        <v>332</v>
      </c>
      <c r="F25" s="16">
        <v>332</v>
      </c>
      <c r="G25" s="16">
        <v>348600</v>
      </c>
      <c r="H25" s="16">
        <f t="shared" si="0"/>
        <v>-50</v>
      </c>
    </row>
    <row r="26" spans="1:8">
      <c r="A26" s="17">
        <v>43836</v>
      </c>
      <c r="B26" s="16">
        <v>332</v>
      </c>
      <c r="C26" s="16">
        <v>349</v>
      </c>
      <c r="D26" s="16">
        <v>290</v>
      </c>
      <c r="E26" s="16">
        <v>296</v>
      </c>
      <c r="F26" s="16">
        <v>296</v>
      </c>
      <c r="G26" s="16">
        <v>351900</v>
      </c>
      <c r="H26" s="16">
        <f t="shared" si="0"/>
        <v>-36</v>
      </c>
    </row>
    <row r="27" spans="1:8">
      <c r="A27" s="17">
        <v>43864</v>
      </c>
      <c r="B27" s="16">
        <v>320</v>
      </c>
      <c r="C27" s="16">
        <v>636</v>
      </c>
      <c r="D27" s="16">
        <v>253</v>
      </c>
      <c r="E27" s="16">
        <v>253</v>
      </c>
      <c r="F27" s="16">
        <v>253</v>
      </c>
      <c r="G27" s="16">
        <v>3185000</v>
      </c>
      <c r="H27" s="16">
        <f t="shared" si="0"/>
        <v>-67</v>
      </c>
    </row>
    <row r="28" spans="1:8">
      <c r="A28" s="17">
        <v>43892</v>
      </c>
      <c r="B28" s="16">
        <v>316</v>
      </c>
      <c r="C28" s="16">
        <v>316</v>
      </c>
      <c r="D28" s="16">
        <v>161</v>
      </c>
      <c r="E28" s="16">
        <v>299</v>
      </c>
      <c r="F28" s="16">
        <v>299</v>
      </c>
      <c r="G28" s="16">
        <v>774000</v>
      </c>
      <c r="H28" s="16">
        <f t="shared" si="0"/>
        <v>-17</v>
      </c>
    </row>
    <row r="29" spans="1:8">
      <c r="A29" s="17">
        <v>43922</v>
      </c>
      <c r="B29" s="16">
        <v>283</v>
      </c>
      <c r="C29" s="16">
        <v>305</v>
      </c>
      <c r="D29" s="16">
        <v>217</v>
      </c>
      <c r="E29" s="16">
        <v>259</v>
      </c>
      <c r="F29" s="16">
        <v>259</v>
      </c>
      <c r="G29" s="16">
        <v>465800</v>
      </c>
      <c r="H29" s="16">
        <f t="shared" si="0"/>
        <v>-24</v>
      </c>
    </row>
    <row r="30" spans="1:8">
      <c r="A30" s="17">
        <v>43952</v>
      </c>
      <c r="B30" s="16">
        <v>265</v>
      </c>
      <c r="C30" s="16">
        <v>300</v>
      </c>
      <c r="D30" s="16">
        <v>251</v>
      </c>
      <c r="E30" s="16">
        <v>297</v>
      </c>
      <c r="F30" s="16">
        <v>297</v>
      </c>
      <c r="G30" s="16">
        <v>108600</v>
      </c>
      <c r="H30" s="16">
        <f t="shared" si="0"/>
        <v>32</v>
      </c>
    </row>
    <row r="31" spans="1:8">
      <c r="A31" s="17">
        <v>43983</v>
      </c>
      <c r="B31" s="16">
        <v>299</v>
      </c>
      <c r="C31" s="16">
        <v>439</v>
      </c>
      <c r="D31" s="16">
        <v>287</v>
      </c>
      <c r="E31" s="16">
        <v>395</v>
      </c>
      <c r="F31" s="16">
        <v>395</v>
      </c>
      <c r="G31" s="16">
        <v>553700</v>
      </c>
      <c r="H31" s="16">
        <f t="shared" si="0"/>
        <v>96</v>
      </c>
    </row>
    <row r="32" spans="1:8">
      <c r="A32" s="17">
        <v>44013</v>
      </c>
      <c r="B32" s="16">
        <v>398</v>
      </c>
      <c r="C32" s="16">
        <v>573</v>
      </c>
      <c r="D32" s="16">
        <v>293</v>
      </c>
      <c r="E32" s="16">
        <v>305</v>
      </c>
      <c r="F32" s="16">
        <v>305</v>
      </c>
      <c r="G32" s="16">
        <v>2884900</v>
      </c>
      <c r="H32" s="16">
        <f t="shared" si="0"/>
        <v>-93</v>
      </c>
    </row>
    <row r="33" spans="1:8">
      <c r="A33" s="17">
        <v>44046</v>
      </c>
      <c r="B33" s="16">
        <v>305</v>
      </c>
      <c r="C33" s="16">
        <v>318</v>
      </c>
      <c r="D33" s="16">
        <v>289</v>
      </c>
      <c r="E33" s="16">
        <v>310</v>
      </c>
      <c r="F33" s="16">
        <v>310</v>
      </c>
      <c r="G33" s="16">
        <v>149500</v>
      </c>
      <c r="H33" s="16">
        <f t="shared" si="0"/>
        <v>5</v>
      </c>
    </row>
    <row r="34" spans="1:8">
      <c r="A34" s="17">
        <v>44075</v>
      </c>
      <c r="B34" s="16">
        <v>310</v>
      </c>
      <c r="C34" s="16">
        <v>320</v>
      </c>
      <c r="D34" s="16">
        <v>300</v>
      </c>
      <c r="E34" s="16">
        <v>313</v>
      </c>
      <c r="F34" s="16">
        <v>313</v>
      </c>
      <c r="G34" s="16">
        <v>126100</v>
      </c>
      <c r="H34" s="16">
        <f t="shared" ref="H34:H61" si="1">E34-B34</f>
        <v>3</v>
      </c>
    </row>
    <row r="35" spans="1:8">
      <c r="A35" s="17">
        <v>44106</v>
      </c>
      <c r="B35" s="16">
        <v>315</v>
      </c>
      <c r="C35" s="16">
        <v>395</v>
      </c>
      <c r="D35" s="16">
        <v>310</v>
      </c>
      <c r="E35" s="16">
        <v>316</v>
      </c>
      <c r="F35" s="16">
        <v>316</v>
      </c>
      <c r="G35" s="16">
        <v>427000</v>
      </c>
      <c r="H35" s="16">
        <f t="shared" si="1"/>
        <v>1</v>
      </c>
    </row>
    <row r="36" spans="1:8">
      <c r="A36" s="17">
        <v>44137</v>
      </c>
      <c r="B36" s="16">
        <v>316</v>
      </c>
      <c r="C36" s="16">
        <v>375</v>
      </c>
      <c r="D36" s="16">
        <v>296</v>
      </c>
      <c r="E36" s="16">
        <v>303</v>
      </c>
      <c r="F36" s="16">
        <v>303</v>
      </c>
      <c r="G36" s="16">
        <v>347500</v>
      </c>
      <c r="H36" s="16">
        <f t="shared" si="1"/>
        <v>-13</v>
      </c>
    </row>
    <row r="37" spans="1:8">
      <c r="A37" s="17">
        <v>44166</v>
      </c>
      <c r="B37" s="16">
        <v>305</v>
      </c>
      <c r="C37" s="16">
        <v>385</v>
      </c>
      <c r="D37" s="16">
        <v>299</v>
      </c>
      <c r="E37" s="16">
        <v>330</v>
      </c>
      <c r="F37" s="16">
        <v>330</v>
      </c>
      <c r="G37" s="16">
        <v>1346200</v>
      </c>
      <c r="H37" s="16">
        <f t="shared" si="1"/>
        <v>25</v>
      </c>
    </row>
    <row r="38" spans="1:8">
      <c r="A38" s="17">
        <v>44200</v>
      </c>
      <c r="B38" s="16">
        <v>344</v>
      </c>
      <c r="C38" s="16">
        <v>375</v>
      </c>
      <c r="D38" s="16">
        <v>310</v>
      </c>
      <c r="E38" s="16">
        <v>315</v>
      </c>
      <c r="F38" s="16">
        <v>315</v>
      </c>
      <c r="G38" s="16">
        <v>674400</v>
      </c>
      <c r="H38" s="16">
        <f t="shared" si="1"/>
        <v>-29</v>
      </c>
    </row>
    <row r="39" spans="1:8">
      <c r="A39" s="17">
        <v>44228</v>
      </c>
      <c r="B39" s="16">
        <v>315</v>
      </c>
      <c r="C39" s="16">
        <v>318</v>
      </c>
      <c r="D39" s="16">
        <v>300</v>
      </c>
      <c r="E39" s="16">
        <v>309</v>
      </c>
      <c r="F39" s="16">
        <v>309</v>
      </c>
      <c r="G39" s="16">
        <v>168700</v>
      </c>
      <c r="H39" s="16">
        <f t="shared" si="1"/>
        <v>-6</v>
      </c>
    </row>
    <row r="40" spans="1:8">
      <c r="A40" s="17">
        <v>44256</v>
      </c>
      <c r="B40" s="16">
        <v>310</v>
      </c>
      <c r="C40" s="16">
        <v>319</v>
      </c>
      <c r="D40" s="16">
        <v>301</v>
      </c>
      <c r="E40" s="16">
        <v>307</v>
      </c>
      <c r="F40" s="16">
        <v>307</v>
      </c>
      <c r="G40" s="16">
        <v>199900</v>
      </c>
      <c r="H40" s="16">
        <f t="shared" si="1"/>
        <v>-3</v>
      </c>
    </row>
    <row r="41" spans="1:8">
      <c r="A41" s="17">
        <v>44287</v>
      </c>
      <c r="B41" s="16">
        <v>307</v>
      </c>
      <c r="C41" s="16">
        <v>307</v>
      </c>
      <c r="D41" s="16">
        <v>287</v>
      </c>
      <c r="E41" s="16">
        <v>292</v>
      </c>
      <c r="F41" s="16">
        <v>292</v>
      </c>
      <c r="G41" s="16">
        <v>369200</v>
      </c>
      <c r="H41" s="16">
        <f t="shared" si="1"/>
        <v>-15</v>
      </c>
    </row>
    <row r="42" spans="1:8">
      <c r="A42" s="17">
        <v>44322</v>
      </c>
      <c r="B42" s="16">
        <v>294</v>
      </c>
      <c r="C42" s="16">
        <v>372</v>
      </c>
      <c r="D42" s="16">
        <v>290</v>
      </c>
      <c r="E42" s="16">
        <v>298</v>
      </c>
      <c r="F42" s="16">
        <v>298</v>
      </c>
      <c r="G42" s="16">
        <v>4042500</v>
      </c>
      <c r="H42" s="16">
        <f t="shared" si="1"/>
        <v>4</v>
      </c>
    </row>
    <row r="43" spans="1:8">
      <c r="A43" s="17">
        <v>44348</v>
      </c>
      <c r="B43" s="16">
        <v>300</v>
      </c>
      <c r="C43" s="16">
        <v>344</v>
      </c>
      <c r="D43" s="16">
        <v>294</v>
      </c>
      <c r="E43" s="16">
        <v>322</v>
      </c>
      <c r="F43" s="16">
        <v>322</v>
      </c>
      <c r="G43" s="16">
        <v>3596200</v>
      </c>
      <c r="H43" s="16">
        <f t="shared" si="1"/>
        <v>22</v>
      </c>
    </row>
    <row r="44" spans="1:8">
      <c r="A44" s="17">
        <v>44378</v>
      </c>
      <c r="B44" s="16">
        <v>322</v>
      </c>
      <c r="C44" s="16">
        <v>335</v>
      </c>
      <c r="D44" s="16">
        <v>280</v>
      </c>
      <c r="E44" s="16">
        <v>283</v>
      </c>
      <c r="F44" s="16">
        <v>283</v>
      </c>
      <c r="G44" s="16">
        <v>2596800</v>
      </c>
      <c r="H44" s="16">
        <f t="shared" si="1"/>
        <v>-39</v>
      </c>
    </row>
    <row r="45" spans="1:8">
      <c r="A45" s="17">
        <v>44410</v>
      </c>
      <c r="B45" s="16">
        <v>285</v>
      </c>
      <c r="C45" s="16">
        <v>285</v>
      </c>
      <c r="D45" s="16">
        <v>250</v>
      </c>
      <c r="E45" s="16">
        <v>274</v>
      </c>
      <c r="F45" s="16">
        <v>274</v>
      </c>
      <c r="G45" s="16">
        <v>521300</v>
      </c>
      <c r="H45" s="16">
        <f t="shared" si="1"/>
        <v>-11</v>
      </c>
    </row>
    <row r="46" spans="1:8">
      <c r="A46" s="17">
        <v>44440</v>
      </c>
      <c r="B46" s="16">
        <v>273</v>
      </c>
      <c r="C46" s="16">
        <v>290</v>
      </c>
      <c r="D46" s="16">
        <v>272</v>
      </c>
      <c r="E46" s="16">
        <v>287</v>
      </c>
      <c r="F46" s="16">
        <v>287</v>
      </c>
      <c r="G46" s="16">
        <v>301500</v>
      </c>
      <c r="H46" s="16">
        <f t="shared" si="1"/>
        <v>14</v>
      </c>
    </row>
    <row r="47" spans="1:8">
      <c r="A47" s="17">
        <v>44470</v>
      </c>
      <c r="B47" s="16">
        <v>287</v>
      </c>
      <c r="C47" s="16">
        <v>295</v>
      </c>
      <c r="D47" s="16">
        <v>286</v>
      </c>
      <c r="E47" s="16">
        <v>291</v>
      </c>
      <c r="F47" s="16">
        <v>291</v>
      </c>
      <c r="G47" s="16">
        <v>373100</v>
      </c>
      <c r="H47" s="16">
        <f t="shared" si="1"/>
        <v>4</v>
      </c>
    </row>
    <row r="48" spans="1:8">
      <c r="A48" s="17">
        <v>44501</v>
      </c>
      <c r="B48" s="16">
        <v>293</v>
      </c>
      <c r="C48" s="16">
        <v>295</v>
      </c>
      <c r="D48" s="16">
        <v>278</v>
      </c>
      <c r="E48" s="16">
        <v>283</v>
      </c>
      <c r="F48" s="16">
        <v>283</v>
      </c>
      <c r="G48" s="16">
        <v>379000</v>
      </c>
      <c r="H48" s="16">
        <f t="shared" si="1"/>
        <v>-10</v>
      </c>
    </row>
    <row r="49" spans="1:8">
      <c r="A49" s="17">
        <v>44531</v>
      </c>
      <c r="B49" s="16">
        <v>281</v>
      </c>
      <c r="C49" s="16">
        <v>302</v>
      </c>
      <c r="D49" s="16">
        <v>280</v>
      </c>
      <c r="E49" s="16">
        <v>289</v>
      </c>
      <c r="F49" s="16">
        <v>289</v>
      </c>
      <c r="G49" s="16">
        <v>877300</v>
      </c>
      <c r="H49" s="16">
        <f t="shared" si="1"/>
        <v>8</v>
      </c>
    </row>
    <row r="50" spans="1:8">
      <c r="A50" s="17">
        <v>44565</v>
      </c>
      <c r="B50" s="16">
        <v>291</v>
      </c>
      <c r="C50" s="16">
        <v>302</v>
      </c>
      <c r="D50" s="16">
        <v>249</v>
      </c>
      <c r="E50" s="16">
        <v>264</v>
      </c>
      <c r="F50" s="16">
        <v>264</v>
      </c>
      <c r="G50" s="16">
        <v>1860100</v>
      </c>
      <c r="H50" s="16">
        <f t="shared" si="1"/>
        <v>-27</v>
      </c>
    </row>
    <row r="51" spans="1:8">
      <c r="A51" s="17">
        <v>44593</v>
      </c>
      <c r="B51" s="16">
        <v>263</v>
      </c>
      <c r="C51" s="16">
        <v>263</v>
      </c>
      <c r="D51" s="16">
        <v>240</v>
      </c>
      <c r="E51" s="16">
        <v>248</v>
      </c>
      <c r="F51" s="16">
        <v>248</v>
      </c>
      <c r="G51" s="16">
        <v>480000</v>
      </c>
      <c r="H51" s="16">
        <f t="shared" si="1"/>
        <v>-15</v>
      </c>
    </row>
    <row r="52" spans="1:8">
      <c r="A52" s="17">
        <v>44621</v>
      </c>
      <c r="B52" s="16">
        <v>245</v>
      </c>
      <c r="C52" s="16">
        <v>261</v>
      </c>
      <c r="D52" s="16">
        <v>240</v>
      </c>
      <c r="E52" s="16">
        <v>260</v>
      </c>
      <c r="F52" s="16">
        <v>260</v>
      </c>
      <c r="G52" s="16">
        <v>201700</v>
      </c>
      <c r="H52" s="16">
        <f t="shared" si="1"/>
        <v>15</v>
      </c>
    </row>
    <row r="53" spans="1:8">
      <c r="A53" s="17">
        <v>44652</v>
      </c>
      <c r="B53" s="16">
        <v>260</v>
      </c>
      <c r="C53" s="16">
        <v>278</v>
      </c>
      <c r="D53" s="16">
        <v>258</v>
      </c>
      <c r="E53" s="16">
        <v>277</v>
      </c>
      <c r="F53" s="16">
        <v>277</v>
      </c>
      <c r="G53" s="16">
        <v>183400</v>
      </c>
      <c r="H53" s="16">
        <f t="shared" si="1"/>
        <v>17</v>
      </c>
    </row>
    <row r="54" spans="1:8">
      <c r="A54" s="17">
        <v>44683</v>
      </c>
      <c r="B54" s="16">
        <v>279</v>
      </c>
      <c r="C54" s="16">
        <v>281</v>
      </c>
      <c r="D54" s="16">
        <v>261</v>
      </c>
      <c r="E54" s="16">
        <v>266</v>
      </c>
      <c r="F54" s="16">
        <v>266</v>
      </c>
      <c r="G54" s="16">
        <v>226100</v>
      </c>
      <c r="H54" s="16">
        <f t="shared" si="1"/>
        <v>-13</v>
      </c>
    </row>
    <row r="55" spans="1:8">
      <c r="A55" s="17">
        <v>44713</v>
      </c>
      <c r="B55" s="16">
        <v>290</v>
      </c>
      <c r="C55" s="16">
        <v>293</v>
      </c>
      <c r="D55" s="16">
        <v>260</v>
      </c>
      <c r="E55" s="16">
        <v>262</v>
      </c>
      <c r="F55" s="16">
        <v>262</v>
      </c>
      <c r="G55" s="16">
        <v>1401800</v>
      </c>
      <c r="H55" s="16">
        <f t="shared" si="1"/>
        <v>-28</v>
      </c>
    </row>
    <row r="56" spans="1:8">
      <c r="A56" s="17">
        <v>44743</v>
      </c>
      <c r="B56" s="16">
        <v>263</v>
      </c>
      <c r="C56" s="16">
        <v>285</v>
      </c>
      <c r="D56" s="16">
        <v>238</v>
      </c>
      <c r="E56" s="16">
        <v>246</v>
      </c>
      <c r="F56" s="16">
        <v>246</v>
      </c>
      <c r="G56" s="16">
        <v>2173700</v>
      </c>
      <c r="H56" s="16">
        <f t="shared" si="1"/>
        <v>-17</v>
      </c>
    </row>
    <row r="57" spans="1:8">
      <c r="A57" s="17">
        <v>44774</v>
      </c>
      <c r="B57" s="16">
        <v>247</v>
      </c>
      <c r="C57" s="16">
        <v>248</v>
      </c>
      <c r="D57" s="16">
        <v>240</v>
      </c>
      <c r="E57" s="16">
        <v>241</v>
      </c>
      <c r="F57" s="16">
        <v>241</v>
      </c>
      <c r="G57" s="16">
        <v>369500</v>
      </c>
      <c r="H57" s="16">
        <f t="shared" si="1"/>
        <v>-6</v>
      </c>
    </row>
    <row r="58" spans="1:8">
      <c r="A58" s="17">
        <v>44805</v>
      </c>
      <c r="B58" s="16">
        <v>242</v>
      </c>
      <c r="C58" s="16">
        <v>243</v>
      </c>
      <c r="D58" s="16">
        <v>240</v>
      </c>
      <c r="E58" s="16">
        <v>241</v>
      </c>
      <c r="F58" s="16">
        <v>241</v>
      </c>
      <c r="G58" s="16">
        <v>304300</v>
      </c>
      <c r="H58" s="16">
        <f t="shared" si="1"/>
        <v>-1</v>
      </c>
    </row>
    <row r="59" spans="1:8">
      <c r="A59" s="17">
        <v>44837</v>
      </c>
      <c r="B59" s="16">
        <v>241</v>
      </c>
      <c r="C59" s="16">
        <v>256</v>
      </c>
      <c r="D59" s="16">
        <v>240</v>
      </c>
      <c r="E59" s="16">
        <v>255</v>
      </c>
      <c r="F59" s="16">
        <v>255</v>
      </c>
      <c r="G59" s="16">
        <v>242800</v>
      </c>
      <c r="H59" s="16">
        <f t="shared" si="1"/>
        <v>14</v>
      </c>
    </row>
    <row r="60" spans="1:8">
      <c r="A60" s="17">
        <v>44866</v>
      </c>
      <c r="B60" s="16">
        <v>255</v>
      </c>
      <c r="C60" s="16">
        <v>261</v>
      </c>
      <c r="D60" s="16">
        <v>250</v>
      </c>
      <c r="E60" s="16">
        <v>260</v>
      </c>
      <c r="F60" s="16">
        <v>260</v>
      </c>
      <c r="G60" s="16">
        <v>321700</v>
      </c>
      <c r="H60" s="16">
        <f t="shared" si="1"/>
        <v>5</v>
      </c>
    </row>
    <row r="61" spans="1:8">
      <c r="A61" s="17">
        <v>44896</v>
      </c>
      <c r="B61" s="16">
        <v>261</v>
      </c>
      <c r="C61" s="16">
        <v>262</v>
      </c>
      <c r="D61" s="16">
        <v>252</v>
      </c>
      <c r="E61" s="16">
        <v>258</v>
      </c>
      <c r="F61" s="16">
        <v>258</v>
      </c>
      <c r="G61" s="16">
        <v>617000</v>
      </c>
      <c r="H61" s="16">
        <f t="shared" si="1"/>
        <v>-3</v>
      </c>
    </row>
  </sheetData>
  <phoneticPr fontId="32"/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B83A-10DE-4B82-8279-0233DD823B28}">
  <sheetPr codeName="Sheet9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1064</v>
      </c>
      <c r="C2" s="16">
        <v>1120</v>
      </c>
      <c r="D2" s="16">
        <v>1063</v>
      </c>
      <c r="E2" s="16">
        <v>1102</v>
      </c>
      <c r="F2" s="16">
        <v>1102</v>
      </c>
      <c r="G2" s="16">
        <v>88600</v>
      </c>
      <c r="H2" s="16">
        <f t="shared" ref="H2:H33" si="0">E2-B2</f>
        <v>38</v>
      </c>
      <c r="J2" s="18" cm="1">
        <f t="array" ref="J2:Q6">_xlfn._xlws.FILTER(A2:H61,MONTH(A2:A61)=1,"")</f>
        <v>43104</v>
      </c>
      <c r="K2" s="16">
        <v>1064</v>
      </c>
      <c r="L2" s="16">
        <v>1120</v>
      </c>
      <c r="M2" s="16">
        <v>1063</v>
      </c>
      <c r="N2" s="16">
        <v>1102</v>
      </c>
      <c r="O2" s="16">
        <v>1102</v>
      </c>
      <c r="P2" s="16">
        <v>88600</v>
      </c>
      <c r="Q2" s="16">
        <v>38</v>
      </c>
      <c r="R2" s="16">
        <f>Q2/K2*100</f>
        <v>3.5714285714285712</v>
      </c>
      <c r="S2" s="16">
        <f>COUNT(Q2:Q6)</f>
        <v>5</v>
      </c>
      <c r="T2" s="18" cm="1">
        <f t="array" ref="T2:AA6">_xlfn._xlws.FILTER(A2:H61,MONTH(A2:A61)=2,"")</f>
        <v>43132</v>
      </c>
      <c r="U2" s="16">
        <v>1103</v>
      </c>
      <c r="V2" s="16">
        <v>1117</v>
      </c>
      <c r="W2" s="16">
        <v>990</v>
      </c>
      <c r="X2" s="16">
        <v>992</v>
      </c>
      <c r="Y2" s="16">
        <v>992</v>
      </c>
      <c r="Z2" s="16">
        <v>145300</v>
      </c>
      <c r="AA2" s="16">
        <v>-111</v>
      </c>
      <c r="AB2" s="16">
        <f>AA2/U2*100</f>
        <v>-10.063463281958295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977</v>
      </c>
      <c r="AF2" s="16">
        <v>999</v>
      </c>
      <c r="AG2" s="16">
        <v>930</v>
      </c>
      <c r="AH2" s="16">
        <v>970</v>
      </c>
      <c r="AI2" s="16">
        <v>970</v>
      </c>
      <c r="AJ2" s="16">
        <v>44500</v>
      </c>
      <c r="AK2" s="16">
        <v>-7</v>
      </c>
      <c r="AL2" s="16">
        <f>AK2/AE2*100</f>
        <v>-0.7164790174002047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969</v>
      </c>
      <c r="AP2" s="16">
        <v>985</v>
      </c>
      <c r="AQ2" s="16">
        <v>941</v>
      </c>
      <c r="AR2" s="16">
        <v>965</v>
      </c>
      <c r="AS2" s="16">
        <v>965</v>
      </c>
      <c r="AT2" s="16">
        <v>27500</v>
      </c>
      <c r="AU2" s="16">
        <v>-4</v>
      </c>
      <c r="AV2" s="16">
        <f>AU2/AO2*100</f>
        <v>-0.41279669762641896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960</v>
      </c>
      <c r="AZ2" s="16">
        <v>996</v>
      </c>
      <c r="BA2" s="16">
        <v>960</v>
      </c>
      <c r="BB2" s="16">
        <v>989</v>
      </c>
      <c r="BC2" s="16">
        <v>989</v>
      </c>
      <c r="BD2" s="16">
        <v>19200</v>
      </c>
      <c r="BE2" s="16">
        <v>29</v>
      </c>
      <c r="BF2" s="16">
        <f>BE2/AY2*100</f>
        <v>3.0208333333333335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989</v>
      </c>
      <c r="BJ2" s="16">
        <v>1004</v>
      </c>
      <c r="BK2" s="16">
        <v>985</v>
      </c>
      <c r="BL2" s="16">
        <v>999</v>
      </c>
      <c r="BM2" s="16">
        <v>999</v>
      </c>
      <c r="BN2" s="16">
        <v>27500</v>
      </c>
      <c r="BO2" s="16">
        <v>10</v>
      </c>
      <c r="BP2" s="16">
        <f>BO2/BI2*100</f>
        <v>1.0111223458038423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998</v>
      </c>
      <c r="BT2" s="16">
        <v>999</v>
      </c>
      <c r="BU2" s="16">
        <v>970</v>
      </c>
      <c r="BV2" s="16">
        <v>992</v>
      </c>
      <c r="BW2" s="16">
        <v>992</v>
      </c>
      <c r="BX2" s="16">
        <v>25000</v>
      </c>
      <c r="BY2" s="16">
        <v>-6</v>
      </c>
      <c r="BZ2" s="16">
        <f>BY2/BS2*100</f>
        <v>-0.60120240480961928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987</v>
      </c>
      <c r="CD2" s="16">
        <v>1029</v>
      </c>
      <c r="CE2" s="16">
        <v>980</v>
      </c>
      <c r="CF2" s="16">
        <v>998</v>
      </c>
      <c r="CG2" s="16">
        <v>998</v>
      </c>
      <c r="CH2" s="16">
        <v>31700</v>
      </c>
      <c r="CI2" s="16">
        <v>11</v>
      </c>
      <c r="CJ2" s="16">
        <f>CI2/CC2*100</f>
        <v>1.1144883485309016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999</v>
      </c>
      <c r="CN2" s="16">
        <v>1044</v>
      </c>
      <c r="CO2" s="16">
        <v>994</v>
      </c>
      <c r="CP2" s="16">
        <v>1038</v>
      </c>
      <c r="CQ2" s="16">
        <v>1038</v>
      </c>
      <c r="CR2" s="16">
        <v>49900</v>
      </c>
      <c r="CS2" s="16">
        <v>39</v>
      </c>
      <c r="CT2" s="16">
        <f>CS2/CM2*100</f>
        <v>3.9039039039039038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1050</v>
      </c>
      <c r="CX2" s="16">
        <v>1061</v>
      </c>
      <c r="CY2" s="16">
        <v>992</v>
      </c>
      <c r="CZ2" s="16">
        <v>1000</v>
      </c>
      <c r="DA2" s="16">
        <v>1000</v>
      </c>
      <c r="DB2" s="16">
        <v>69300</v>
      </c>
      <c r="DC2" s="16">
        <v>-50</v>
      </c>
      <c r="DD2" s="16">
        <f>DC2/CW2*100</f>
        <v>-4.7619047619047619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998</v>
      </c>
      <c r="DH2" s="16">
        <v>1023</v>
      </c>
      <c r="DI2" s="16">
        <v>998</v>
      </c>
      <c r="DJ2" s="16">
        <v>1015</v>
      </c>
      <c r="DK2" s="16">
        <v>1015</v>
      </c>
      <c r="DL2" s="16">
        <v>34800</v>
      </c>
      <c r="DM2" s="16">
        <v>17</v>
      </c>
      <c r="DN2" s="16">
        <f>DM2/DG2*100</f>
        <v>1.7034068136272544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1011</v>
      </c>
      <c r="DR2" s="16">
        <v>1020</v>
      </c>
      <c r="DS2" s="16">
        <v>807</v>
      </c>
      <c r="DT2" s="16">
        <v>881</v>
      </c>
      <c r="DU2" s="16">
        <v>881</v>
      </c>
      <c r="DV2" s="16">
        <v>78900</v>
      </c>
      <c r="DW2" s="16">
        <v>-130</v>
      </c>
      <c r="DX2" s="16">
        <f>DW2/DQ2*100</f>
        <v>-12.858555885262115</v>
      </c>
      <c r="DY2" s="16">
        <f>COUNT(DW2:DW6)</f>
        <v>5</v>
      </c>
    </row>
    <row r="3" spans="1:129">
      <c r="A3" s="17">
        <v>43132</v>
      </c>
      <c r="B3" s="16">
        <v>1103</v>
      </c>
      <c r="C3" s="16">
        <v>1117</v>
      </c>
      <c r="D3" s="16">
        <v>990</v>
      </c>
      <c r="E3" s="16">
        <v>992</v>
      </c>
      <c r="F3" s="16">
        <v>992</v>
      </c>
      <c r="G3" s="16">
        <v>145300</v>
      </c>
      <c r="H3" s="16">
        <f t="shared" si="0"/>
        <v>-111</v>
      </c>
      <c r="J3" s="18">
        <v>43469</v>
      </c>
      <c r="K3" s="16">
        <v>881</v>
      </c>
      <c r="L3" s="16">
        <v>963</v>
      </c>
      <c r="M3" s="16">
        <v>881</v>
      </c>
      <c r="N3" s="16">
        <v>958</v>
      </c>
      <c r="O3" s="16">
        <v>958</v>
      </c>
      <c r="P3" s="16">
        <v>35800</v>
      </c>
      <c r="Q3" s="16">
        <v>77</v>
      </c>
      <c r="R3" s="16">
        <f>Q3/K3*100</f>
        <v>8.7400681044267881</v>
      </c>
      <c r="S3" s="16">
        <f>COUNTIF(Q2:Q6,"&gt;0")</f>
        <v>3</v>
      </c>
      <c r="T3" s="18">
        <v>43497</v>
      </c>
      <c r="U3" s="16">
        <v>957</v>
      </c>
      <c r="V3" s="16">
        <v>1000</v>
      </c>
      <c r="W3" s="16">
        <v>907</v>
      </c>
      <c r="X3" s="16">
        <v>924</v>
      </c>
      <c r="Y3" s="16">
        <v>924</v>
      </c>
      <c r="Z3" s="16">
        <v>184900</v>
      </c>
      <c r="AA3" s="16">
        <v>-33</v>
      </c>
      <c r="AB3" s="16">
        <f>AA3/U3*100</f>
        <v>-3.4482758620689653</v>
      </c>
      <c r="AC3" s="16">
        <f>COUNTIF(AA2:AA6,"&gt;0")</f>
        <v>0</v>
      </c>
      <c r="AD3" s="18">
        <v>43525</v>
      </c>
      <c r="AE3" s="16">
        <v>924</v>
      </c>
      <c r="AF3" s="16">
        <v>926</v>
      </c>
      <c r="AG3" s="16">
        <v>863</v>
      </c>
      <c r="AH3" s="16">
        <v>876</v>
      </c>
      <c r="AI3" s="16">
        <v>876</v>
      </c>
      <c r="AJ3" s="16">
        <v>51700</v>
      </c>
      <c r="AK3" s="16">
        <v>-48</v>
      </c>
      <c r="AL3" s="16">
        <f>AK3/AE3*100</f>
        <v>-5.1948051948051948</v>
      </c>
      <c r="AM3" s="16">
        <f>COUNTIF(AK2:AK6,"&gt;0")</f>
        <v>0</v>
      </c>
      <c r="AN3" s="18">
        <v>43556</v>
      </c>
      <c r="AO3" s="16">
        <v>876</v>
      </c>
      <c r="AP3" s="16">
        <v>900</v>
      </c>
      <c r="AQ3" s="16">
        <v>876</v>
      </c>
      <c r="AR3" s="16">
        <v>895</v>
      </c>
      <c r="AS3" s="16">
        <v>895</v>
      </c>
      <c r="AT3" s="16">
        <v>21700</v>
      </c>
      <c r="AU3" s="16">
        <v>19</v>
      </c>
      <c r="AV3" s="16">
        <f>AU3/AO3*100</f>
        <v>2.1689497716894977</v>
      </c>
      <c r="AW3" s="16">
        <f>COUNTIF(AU2:AU6,"&gt;0")</f>
        <v>2</v>
      </c>
      <c r="AX3" s="18">
        <v>43592</v>
      </c>
      <c r="AY3" s="16">
        <v>895</v>
      </c>
      <c r="AZ3" s="16">
        <v>908</v>
      </c>
      <c r="BA3" s="16">
        <v>892</v>
      </c>
      <c r="BB3" s="16">
        <v>905</v>
      </c>
      <c r="BC3" s="16">
        <v>905</v>
      </c>
      <c r="BD3" s="16">
        <v>17800</v>
      </c>
      <c r="BE3" s="16">
        <v>10</v>
      </c>
      <c r="BF3" s="16">
        <f>BE3/AY3*100</f>
        <v>1.1173184357541899</v>
      </c>
      <c r="BG3" s="16">
        <f>COUNTIF(BE2:BE6,"&gt;0")</f>
        <v>4</v>
      </c>
      <c r="BH3" s="18">
        <v>43619</v>
      </c>
      <c r="BI3" s="16">
        <v>900</v>
      </c>
      <c r="BJ3" s="16">
        <v>920</v>
      </c>
      <c r="BK3" s="16">
        <v>898</v>
      </c>
      <c r="BL3" s="16">
        <v>910</v>
      </c>
      <c r="BM3" s="16">
        <v>910</v>
      </c>
      <c r="BN3" s="16">
        <v>21200</v>
      </c>
      <c r="BO3" s="16">
        <v>10</v>
      </c>
      <c r="BP3" s="16">
        <f>BO3/BI3*100</f>
        <v>1.1111111111111112</v>
      </c>
      <c r="BQ3" s="16">
        <f>COUNTIF(BO2:BO6,"&gt;0")</f>
        <v>3</v>
      </c>
      <c r="BR3" s="18">
        <v>43647</v>
      </c>
      <c r="BS3" s="16">
        <v>907</v>
      </c>
      <c r="BT3" s="16">
        <v>940</v>
      </c>
      <c r="BU3" s="16">
        <v>907</v>
      </c>
      <c r="BV3" s="16">
        <v>934</v>
      </c>
      <c r="BW3" s="16">
        <v>934</v>
      </c>
      <c r="BX3" s="16">
        <v>23200</v>
      </c>
      <c r="BY3" s="16">
        <v>27</v>
      </c>
      <c r="BZ3" s="16">
        <f>BY3/BS3*100</f>
        <v>2.9768467475192946</v>
      </c>
      <c r="CA3" s="16">
        <f>COUNTIF(BY2:BY6,"&gt;0")</f>
        <v>3</v>
      </c>
      <c r="CB3" s="18">
        <v>43678</v>
      </c>
      <c r="CC3" s="16">
        <v>934</v>
      </c>
      <c r="CD3" s="16">
        <v>938</v>
      </c>
      <c r="CE3" s="16">
        <v>917</v>
      </c>
      <c r="CF3" s="16">
        <v>930</v>
      </c>
      <c r="CG3" s="16">
        <v>930</v>
      </c>
      <c r="CH3" s="16">
        <v>22000</v>
      </c>
      <c r="CI3" s="16">
        <v>-4</v>
      </c>
      <c r="CJ3" s="16">
        <f>CI3/CC3*100</f>
        <v>-0.42826552462526768</v>
      </c>
      <c r="CK3" s="16">
        <f>COUNTIF(CI2:CI6,"&gt;0")</f>
        <v>3</v>
      </c>
      <c r="CL3" s="18">
        <v>43710</v>
      </c>
      <c r="CM3" s="16">
        <v>933</v>
      </c>
      <c r="CN3" s="16">
        <v>980</v>
      </c>
      <c r="CO3" s="16">
        <v>930</v>
      </c>
      <c r="CP3" s="16">
        <v>965</v>
      </c>
      <c r="CQ3" s="16">
        <v>965</v>
      </c>
      <c r="CR3" s="16">
        <v>34400</v>
      </c>
      <c r="CS3" s="16">
        <v>32</v>
      </c>
      <c r="CT3" s="16">
        <f>CS3/CM3*100</f>
        <v>3.429796355841372</v>
      </c>
      <c r="CU3" s="16">
        <f>COUNTIF(CS2:CS6,"&gt;0")</f>
        <v>4</v>
      </c>
      <c r="CV3" s="18">
        <v>43739</v>
      </c>
      <c r="CW3" s="16">
        <v>973</v>
      </c>
      <c r="CX3" s="16">
        <v>1048</v>
      </c>
      <c r="CY3" s="16">
        <v>962</v>
      </c>
      <c r="CZ3" s="16">
        <v>1036</v>
      </c>
      <c r="DA3" s="16">
        <v>1036</v>
      </c>
      <c r="DB3" s="16">
        <v>67100</v>
      </c>
      <c r="DC3" s="16">
        <v>63</v>
      </c>
      <c r="DD3" s="16">
        <f>DC3/CW3*100</f>
        <v>6.4748201438848918</v>
      </c>
      <c r="DE3" s="16">
        <f>COUNTIF(DC2:DC6,"&gt;0")</f>
        <v>2</v>
      </c>
      <c r="DF3" s="18">
        <v>43770</v>
      </c>
      <c r="DG3" s="16">
        <v>1036</v>
      </c>
      <c r="DH3" s="16">
        <v>1048</v>
      </c>
      <c r="DI3" s="16">
        <v>1001</v>
      </c>
      <c r="DJ3" s="16">
        <v>1021</v>
      </c>
      <c r="DK3" s="16">
        <v>1021</v>
      </c>
      <c r="DL3" s="16">
        <v>38900</v>
      </c>
      <c r="DM3" s="16">
        <v>-15</v>
      </c>
      <c r="DN3" s="16">
        <f>DM3/DG3*100</f>
        <v>-1.4478764478764479</v>
      </c>
      <c r="DO3" s="16">
        <f>COUNTIF(DM2:DM6,"&gt;0")</f>
        <v>4</v>
      </c>
      <c r="DP3" s="18">
        <v>43801</v>
      </c>
      <c r="DQ3" s="16">
        <v>1037</v>
      </c>
      <c r="DR3" s="16">
        <v>1040</v>
      </c>
      <c r="DS3" s="16">
        <v>1012</v>
      </c>
      <c r="DT3" s="16">
        <v>1040</v>
      </c>
      <c r="DU3" s="16">
        <v>1040</v>
      </c>
      <c r="DV3" s="16">
        <v>61400</v>
      </c>
      <c r="DW3" s="16">
        <v>3</v>
      </c>
      <c r="DX3" s="16">
        <f>DW3/DQ3*100</f>
        <v>0.28929604628736744</v>
      </c>
      <c r="DY3" s="16">
        <f>COUNTIF(DW2:DW6,"&gt;0")</f>
        <v>4</v>
      </c>
    </row>
    <row r="4" spans="1:129">
      <c r="A4" s="17">
        <v>43160</v>
      </c>
      <c r="B4" s="16">
        <v>977</v>
      </c>
      <c r="C4" s="16">
        <v>999</v>
      </c>
      <c r="D4" s="16">
        <v>930</v>
      </c>
      <c r="E4" s="16">
        <v>970</v>
      </c>
      <c r="F4" s="16">
        <v>970</v>
      </c>
      <c r="G4" s="16">
        <v>44500</v>
      </c>
      <c r="H4" s="16">
        <f t="shared" si="0"/>
        <v>-7</v>
      </c>
      <c r="J4" s="18">
        <v>43836</v>
      </c>
      <c r="K4" s="16">
        <v>1044</v>
      </c>
      <c r="L4" s="16">
        <v>1110</v>
      </c>
      <c r="M4" s="16">
        <v>1007</v>
      </c>
      <c r="N4" s="16">
        <v>1036</v>
      </c>
      <c r="O4" s="16">
        <v>1036</v>
      </c>
      <c r="P4" s="16">
        <v>107600</v>
      </c>
      <c r="Q4" s="16">
        <v>-8</v>
      </c>
      <c r="R4" s="16">
        <f>Q4/K4*100</f>
        <v>-0.76628352490421447</v>
      </c>
      <c r="S4" s="19">
        <f>S3/S2*100</f>
        <v>60</v>
      </c>
      <c r="T4" s="18">
        <v>43864</v>
      </c>
      <c r="U4" s="16">
        <v>1021</v>
      </c>
      <c r="V4" s="16">
        <v>1078</v>
      </c>
      <c r="W4" s="16">
        <v>754</v>
      </c>
      <c r="X4" s="16">
        <v>758</v>
      </c>
      <c r="Y4" s="16">
        <v>758</v>
      </c>
      <c r="Z4" s="16">
        <v>191200</v>
      </c>
      <c r="AA4" s="16">
        <v>-263</v>
      </c>
      <c r="AB4" s="16">
        <f>AA4/U4*100</f>
        <v>-25.759059745347702</v>
      </c>
      <c r="AC4" s="19">
        <f>AC3/AC2*100</f>
        <v>0</v>
      </c>
      <c r="AD4" s="18">
        <v>43892</v>
      </c>
      <c r="AE4" s="16">
        <v>758</v>
      </c>
      <c r="AF4" s="16">
        <v>868</v>
      </c>
      <c r="AG4" s="16">
        <v>598</v>
      </c>
      <c r="AH4" s="16">
        <v>681</v>
      </c>
      <c r="AI4" s="16">
        <v>681</v>
      </c>
      <c r="AJ4" s="16">
        <v>118400</v>
      </c>
      <c r="AK4" s="16">
        <v>-77</v>
      </c>
      <c r="AL4" s="16">
        <f>AK4/AE4*100</f>
        <v>-10.158311345646439</v>
      </c>
      <c r="AM4" s="19">
        <f>AM3/AM2*100</f>
        <v>0</v>
      </c>
      <c r="AN4" s="18">
        <v>43922</v>
      </c>
      <c r="AO4" s="16">
        <v>681</v>
      </c>
      <c r="AP4" s="16">
        <v>686</v>
      </c>
      <c r="AQ4" s="16">
        <v>606</v>
      </c>
      <c r="AR4" s="16">
        <v>665</v>
      </c>
      <c r="AS4" s="16">
        <v>665</v>
      </c>
      <c r="AT4" s="16">
        <v>53500</v>
      </c>
      <c r="AU4" s="16">
        <v>-16</v>
      </c>
      <c r="AV4" s="16">
        <f>AU4/AO4*100</f>
        <v>-2.3494860499265786</v>
      </c>
      <c r="AW4" s="19">
        <f>AW3/AW2*100</f>
        <v>40</v>
      </c>
      <c r="AX4" s="18">
        <v>43952</v>
      </c>
      <c r="AY4" s="16">
        <v>665</v>
      </c>
      <c r="AZ4" s="16">
        <v>816</v>
      </c>
      <c r="BA4" s="16">
        <v>665</v>
      </c>
      <c r="BB4" s="16">
        <v>808</v>
      </c>
      <c r="BC4" s="16">
        <v>808</v>
      </c>
      <c r="BD4" s="16">
        <v>50800</v>
      </c>
      <c r="BE4" s="16">
        <v>143</v>
      </c>
      <c r="BF4" s="16">
        <f>BE4/AY4*100</f>
        <v>21.503759398496243</v>
      </c>
      <c r="BG4" s="19">
        <f>BG3/BG2*100</f>
        <v>80</v>
      </c>
      <c r="BH4" s="18">
        <v>43983</v>
      </c>
      <c r="BI4" s="16">
        <v>812</v>
      </c>
      <c r="BJ4" s="16">
        <v>829</v>
      </c>
      <c r="BK4" s="16">
        <v>781</v>
      </c>
      <c r="BL4" s="16">
        <v>790</v>
      </c>
      <c r="BM4" s="16">
        <v>790</v>
      </c>
      <c r="BN4" s="16">
        <v>40400</v>
      </c>
      <c r="BO4" s="16">
        <v>-22</v>
      </c>
      <c r="BP4" s="16">
        <f>BO4/BI4*100</f>
        <v>-2.7093596059113301</v>
      </c>
      <c r="BQ4" s="19">
        <f>BQ3/BQ2*100</f>
        <v>60</v>
      </c>
      <c r="BR4" s="18">
        <v>44013</v>
      </c>
      <c r="BS4" s="16">
        <v>794</v>
      </c>
      <c r="BT4" s="16">
        <v>794</v>
      </c>
      <c r="BU4" s="16">
        <v>689</v>
      </c>
      <c r="BV4" s="16">
        <v>689</v>
      </c>
      <c r="BW4" s="16">
        <v>689</v>
      </c>
      <c r="BX4" s="16">
        <v>32100</v>
      </c>
      <c r="BY4" s="16">
        <v>-105</v>
      </c>
      <c r="BZ4" s="16">
        <f>BY4/BS4*100</f>
        <v>-13.224181360201511</v>
      </c>
      <c r="CA4" s="19">
        <f>CA3/CA2*100</f>
        <v>60</v>
      </c>
      <c r="CB4" s="18">
        <v>44046</v>
      </c>
      <c r="CC4" s="16">
        <v>689</v>
      </c>
      <c r="CD4" s="16">
        <v>773</v>
      </c>
      <c r="CE4" s="16">
        <v>668</v>
      </c>
      <c r="CF4" s="16">
        <v>745</v>
      </c>
      <c r="CG4" s="16">
        <v>745</v>
      </c>
      <c r="CH4" s="16">
        <v>30800</v>
      </c>
      <c r="CI4" s="16">
        <v>56</v>
      </c>
      <c r="CJ4" s="16">
        <f>CI4/CC4*100</f>
        <v>8.1277213352685056</v>
      </c>
      <c r="CK4" s="19">
        <f>CK3/CK2*100</f>
        <v>60</v>
      </c>
      <c r="CL4" s="18">
        <v>44075</v>
      </c>
      <c r="CM4" s="16">
        <v>745</v>
      </c>
      <c r="CN4" s="16">
        <v>808</v>
      </c>
      <c r="CO4" s="16">
        <v>735</v>
      </c>
      <c r="CP4" s="16">
        <v>808</v>
      </c>
      <c r="CQ4" s="16">
        <v>808</v>
      </c>
      <c r="CR4" s="16">
        <v>27800</v>
      </c>
      <c r="CS4" s="16">
        <v>63</v>
      </c>
      <c r="CT4" s="16">
        <f>CS4/CM4*100</f>
        <v>8.4563758389261743</v>
      </c>
      <c r="CU4" s="19">
        <f>CU3/CU2*100</f>
        <v>80</v>
      </c>
      <c r="CV4" s="18">
        <v>44106</v>
      </c>
      <c r="CW4" s="16">
        <v>810</v>
      </c>
      <c r="CX4" s="16">
        <v>817</v>
      </c>
      <c r="CY4" s="16">
        <v>768</v>
      </c>
      <c r="CZ4" s="16">
        <v>780</v>
      </c>
      <c r="DA4" s="16">
        <v>780</v>
      </c>
      <c r="DB4" s="16">
        <v>17800</v>
      </c>
      <c r="DC4" s="16">
        <v>-30</v>
      </c>
      <c r="DD4" s="16">
        <f>DC4/CW4*100</f>
        <v>-3.7037037037037033</v>
      </c>
      <c r="DE4" s="19">
        <f>DE3/DE2*100</f>
        <v>40</v>
      </c>
      <c r="DF4" s="18">
        <v>44137</v>
      </c>
      <c r="DG4" s="16">
        <v>792</v>
      </c>
      <c r="DH4" s="16">
        <v>880</v>
      </c>
      <c r="DI4" s="16">
        <v>781</v>
      </c>
      <c r="DJ4" s="16">
        <v>799</v>
      </c>
      <c r="DK4" s="16">
        <v>799</v>
      </c>
      <c r="DL4" s="16">
        <v>32200</v>
      </c>
      <c r="DM4" s="16">
        <v>7</v>
      </c>
      <c r="DN4" s="16">
        <f>DM4/DG4*100</f>
        <v>0.88383838383838376</v>
      </c>
      <c r="DO4" s="19">
        <f>DO3/DO2*100</f>
        <v>80</v>
      </c>
      <c r="DP4" s="18">
        <v>44166</v>
      </c>
      <c r="DQ4" s="16">
        <v>799</v>
      </c>
      <c r="DR4" s="16">
        <v>820</v>
      </c>
      <c r="DS4" s="16">
        <v>790</v>
      </c>
      <c r="DT4" s="16">
        <v>812</v>
      </c>
      <c r="DU4" s="16">
        <v>812</v>
      </c>
      <c r="DV4" s="16">
        <v>37800</v>
      </c>
      <c r="DW4" s="16">
        <v>13</v>
      </c>
      <c r="DX4" s="16">
        <f>DW4/DQ4*100</f>
        <v>1.6270337922403004</v>
      </c>
      <c r="DY4" s="19">
        <f>DY3/DY2*100</f>
        <v>80</v>
      </c>
    </row>
    <row r="5" spans="1:129">
      <c r="A5" s="17">
        <v>43192</v>
      </c>
      <c r="B5" s="16">
        <v>969</v>
      </c>
      <c r="C5" s="16">
        <v>985</v>
      </c>
      <c r="D5" s="16">
        <v>941</v>
      </c>
      <c r="E5" s="16">
        <v>965</v>
      </c>
      <c r="F5" s="16">
        <v>965</v>
      </c>
      <c r="G5" s="16">
        <v>27500</v>
      </c>
      <c r="H5" s="16">
        <f t="shared" si="0"/>
        <v>-4</v>
      </c>
      <c r="J5" s="18">
        <v>44200</v>
      </c>
      <c r="K5" s="16">
        <v>827</v>
      </c>
      <c r="L5" s="16">
        <v>827</v>
      </c>
      <c r="M5" s="16">
        <v>795</v>
      </c>
      <c r="N5" s="16">
        <v>808</v>
      </c>
      <c r="O5" s="16">
        <v>808</v>
      </c>
      <c r="P5" s="16">
        <v>41300</v>
      </c>
      <c r="Q5" s="16">
        <v>-19</v>
      </c>
      <c r="R5" s="16">
        <f>Q5/K5*100</f>
        <v>-2.2974607013301087</v>
      </c>
      <c r="S5" s="16">
        <f>AVERAGE(R2:R6)</f>
        <v>1.871336982298935</v>
      </c>
      <c r="T5" s="18">
        <v>44228</v>
      </c>
      <c r="U5" s="16">
        <v>804</v>
      </c>
      <c r="V5" s="16">
        <v>832</v>
      </c>
      <c r="W5" s="16">
        <v>754</v>
      </c>
      <c r="X5" s="16">
        <v>759</v>
      </c>
      <c r="Y5" s="16">
        <v>759</v>
      </c>
      <c r="Z5" s="16">
        <v>119600</v>
      </c>
      <c r="AA5" s="16">
        <v>-45</v>
      </c>
      <c r="AB5" s="16">
        <f>AA5/U5*100</f>
        <v>-5.5970149253731343</v>
      </c>
      <c r="AC5" s="16">
        <f>AVERAGE(AB2:AB6)</f>
        <v>-11.980098710662038</v>
      </c>
      <c r="AD5" s="18">
        <v>44256</v>
      </c>
      <c r="AE5" s="16">
        <v>755</v>
      </c>
      <c r="AF5" s="16">
        <v>780</v>
      </c>
      <c r="AG5" s="16">
        <v>720</v>
      </c>
      <c r="AH5" s="16">
        <v>744</v>
      </c>
      <c r="AI5" s="16">
        <v>744</v>
      </c>
      <c r="AJ5" s="16">
        <v>56600</v>
      </c>
      <c r="AK5" s="16">
        <v>-11</v>
      </c>
      <c r="AL5" s="16">
        <f>AK5/AE5*100</f>
        <v>-1.4569536423841061</v>
      </c>
      <c r="AM5" s="16">
        <f>AVERAGE(AL2:AL6)</f>
        <v>-5.2887493304930491</v>
      </c>
      <c r="AN5" s="18">
        <v>44287</v>
      </c>
      <c r="AO5" s="16">
        <v>749</v>
      </c>
      <c r="AP5" s="16">
        <v>766</v>
      </c>
      <c r="AQ5" s="16">
        <v>702</v>
      </c>
      <c r="AR5" s="16">
        <v>726</v>
      </c>
      <c r="AS5" s="16">
        <v>726</v>
      </c>
      <c r="AT5" s="16">
        <v>60500</v>
      </c>
      <c r="AU5" s="16">
        <v>-23</v>
      </c>
      <c r="AV5" s="16">
        <f>AU5/AO5*100</f>
        <v>-3.0707610146862483</v>
      </c>
      <c r="AW5" s="16">
        <f>AVERAGE(AV2:AV6)</f>
        <v>0.85051453522338361</v>
      </c>
      <c r="AX5" s="18">
        <v>44322</v>
      </c>
      <c r="AY5" s="16">
        <v>730</v>
      </c>
      <c r="AZ5" s="16">
        <v>741</v>
      </c>
      <c r="BA5" s="16">
        <v>709</v>
      </c>
      <c r="BB5" s="16">
        <v>715</v>
      </c>
      <c r="BC5" s="16">
        <v>715</v>
      </c>
      <c r="BD5" s="16">
        <v>39200</v>
      </c>
      <c r="BE5" s="16">
        <v>-15</v>
      </c>
      <c r="BF5" s="16">
        <f>BE5/AY5*100</f>
        <v>-2.054794520547945</v>
      </c>
      <c r="BG5" s="16">
        <f>AVERAGE(BF2:BF6)</f>
        <v>5.8566638357362777</v>
      </c>
      <c r="BH5" s="18">
        <v>44348</v>
      </c>
      <c r="BI5" s="16">
        <v>715</v>
      </c>
      <c r="BJ5" s="16">
        <v>755</v>
      </c>
      <c r="BK5" s="16">
        <v>709</v>
      </c>
      <c r="BL5" s="16">
        <v>743</v>
      </c>
      <c r="BM5" s="16">
        <v>743</v>
      </c>
      <c r="BN5" s="16">
        <v>77500</v>
      </c>
      <c r="BO5" s="16">
        <v>28</v>
      </c>
      <c r="BP5" s="16">
        <f>BO5/BI5*100</f>
        <v>3.9160839160839163</v>
      </c>
      <c r="BQ5" s="16">
        <f>AVERAGE(BP2:BP6)</f>
        <v>0.59436298198893645</v>
      </c>
      <c r="BR5" s="18">
        <v>44378</v>
      </c>
      <c r="BS5" s="16">
        <v>745</v>
      </c>
      <c r="BT5" s="16">
        <v>780</v>
      </c>
      <c r="BU5" s="16">
        <v>724</v>
      </c>
      <c r="BV5" s="16">
        <v>780</v>
      </c>
      <c r="BW5" s="16">
        <v>780</v>
      </c>
      <c r="BX5" s="16">
        <v>38100</v>
      </c>
      <c r="BY5" s="16">
        <v>35</v>
      </c>
      <c r="BZ5" s="16">
        <f>BY5/BS5*100</f>
        <v>4.6979865771812079</v>
      </c>
      <c r="CA5" s="16">
        <f>AVERAGE(BZ2:BZ6)</f>
        <v>-0.32210530908960455</v>
      </c>
      <c r="CB5" s="18">
        <v>44410</v>
      </c>
      <c r="CC5" s="16">
        <v>780</v>
      </c>
      <c r="CD5" s="16">
        <v>824</v>
      </c>
      <c r="CE5" s="16">
        <v>757</v>
      </c>
      <c r="CF5" s="16">
        <v>823</v>
      </c>
      <c r="CG5" s="16">
        <v>823</v>
      </c>
      <c r="CH5" s="16">
        <v>89100</v>
      </c>
      <c r="CI5" s="16">
        <v>43</v>
      </c>
      <c r="CJ5" s="16">
        <f>CI5/CC5*100</f>
        <v>5.5128205128205128</v>
      </c>
      <c r="CK5" s="16">
        <f>AVERAGE(CJ2:CJ6)</f>
        <v>2.3853529343989304</v>
      </c>
      <c r="CL5" s="18">
        <v>44440</v>
      </c>
      <c r="CM5" s="16">
        <v>824</v>
      </c>
      <c r="CN5" s="16">
        <v>830</v>
      </c>
      <c r="CO5" s="16">
        <v>795</v>
      </c>
      <c r="CP5" s="16">
        <v>810</v>
      </c>
      <c r="CQ5" s="16">
        <v>810</v>
      </c>
      <c r="CR5" s="16">
        <v>40500</v>
      </c>
      <c r="CS5" s="16">
        <v>-14</v>
      </c>
      <c r="CT5" s="16">
        <f>CS5/CM5*100</f>
        <v>-1.6990291262135921</v>
      </c>
      <c r="CU5" s="16">
        <f>AVERAGE(CT2:CT6)</f>
        <v>2.9351684588190574</v>
      </c>
      <c r="CV5" s="18">
        <v>44470</v>
      </c>
      <c r="CW5" s="16">
        <v>825</v>
      </c>
      <c r="CX5" s="16">
        <v>825</v>
      </c>
      <c r="CY5" s="16">
        <v>802</v>
      </c>
      <c r="CZ5" s="16">
        <v>820</v>
      </c>
      <c r="DA5" s="16">
        <v>820</v>
      </c>
      <c r="DB5" s="16">
        <v>38800</v>
      </c>
      <c r="DC5" s="16">
        <v>-5</v>
      </c>
      <c r="DD5" s="16">
        <f>DC5/CW5*100</f>
        <v>-0.60606060606060608</v>
      </c>
      <c r="DE5" s="16">
        <f>AVERAGE(DD2:DD6)</f>
        <v>0.94404484858950544</v>
      </c>
      <c r="DF5" s="18">
        <v>44501</v>
      </c>
      <c r="DG5" s="16">
        <v>822</v>
      </c>
      <c r="DH5" s="16">
        <v>885</v>
      </c>
      <c r="DI5" s="16">
        <v>816</v>
      </c>
      <c r="DJ5" s="16">
        <v>851</v>
      </c>
      <c r="DK5" s="16">
        <v>851</v>
      </c>
      <c r="DL5" s="16">
        <v>86900</v>
      </c>
      <c r="DM5" s="16">
        <v>29</v>
      </c>
      <c r="DN5" s="16">
        <f>DM5/DG5*100</f>
        <v>3.5279805352798053</v>
      </c>
      <c r="DO5" s="16">
        <f>AVERAGE(DN2:DN6)</f>
        <v>1.86420578770973</v>
      </c>
      <c r="DP5" s="18">
        <v>44531</v>
      </c>
      <c r="DQ5" s="16">
        <v>838</v>
      </c>
      <c r="DR5" s="16">
        <v>935</v>
      </c>
      <c r="DS5" s="16">
        <v>836</v>
      </c>
      <c r="DT5" s="16">
        <v>910</v>
      </c>
      <c r="DU5" s="16">
        <v>910</v>
      </c>
      <c r="DV5" s="16">
        <v>194300</v>
      </c>
      <c r="DW5" s="16">
        <v>72</v>
      </c>
      <c r="DX5" s="16">
        <f>DW5/DQ5*100</f>
        <v>8.5918854415274453</v>
      </c>
      <c r="DY5" s="16">
        <f>AVERAGE(DX2:DX6)</f>
        <v>0.27219992019571304</v>
      </c>
    </row>
    <row r="6" spans="1:129">
      <c r="A6" s="17">
        <v>43221</v>
      </c>
      <c r="B6" s="16">
        <v>960</v>
      </c>
      <c r="C6" s="16">
        <v>996</v>
      </c>
      <c r="D6" s="16">
        <v>960</v>
      </c>
      <c r="E6" s="16">
        <v>989</v>
      </c>
      <c r="F6" s="16">
        <v>989</v>
      </c>
      <c r="G6" s="16">
        <v>19200</v>
      </c>
      <c r="H6" s="16">
        <f t="shared" si="0"/>
        <v>29</v>
      </c>
      <c r="J6" s="18">
        <v>44565</v>
      </c>
      <c r="K6" s="16">
        <v>918</v>
      </c>
      <c r="L6" s="16">
        <v>925</v>
      </c>
      <c r="M6" s="16">
        <v>908</v>
      </c>
      <c r="N6" s="16">
        <v>919</v>
      </c>
      <c r="O6" s="16">
        <v>919</v>
      </c>
      <c r="P6" s="16">
        <v>154600</v>
      </c>
      <c r="Q6" s="16">
        <v>1</v>
      </c>
      <c r="R6" s="16">
        <f>Q6/K6*100</f>
        <v>0.10893246187363835</v>
      </c>
      <c r="S6" s="16">
        <f>MEDIAN(R2:R6)</f>
        <v>0.10893246187363835</v>
      </c>
      <c r="T6" s="18">
        <v>44593</v>
      </c>
      <c r="U6" s="16">
        <v>918</v>
      </c>
      <c r="V6" s="16">
        <v>922</v>
      </c>
      <c r="W6" s="16">
        <v>777</v>
      </c>
      <c r="X6" s="16">
        <v>780</v>
      </c>
      <c r="Y6" s="16">
        <v>780</v>
      </c>
      <c r="Z6" s="16">
        <v>278400</v>
      </c>
      <c r="AA6" s="16">
        <v>-138</v>
      </c>
      <c r="AB6" s="16">
        <f>AA6/U6*100</f>
        <v>-15.032679738562091</v>
      </c>
      <c r="AC6" s="16">
        <f>MEDIAN(AB2:AB6)</f>
        <v>-10.063463281958295</v>
      </c>
      <c r="AD6" s="18">
        <v>44621</v>
      </c>
      <c r="AE6" s="16">
        <v>785</v>
      </c>
      <c r="AF6" s="16">
        <v>797</v>
      </c>
      <c r="AG6" s="16">
        <v>691</v>
      </c>
      <c r="AH6" s="16">
        <v>715</v>
      </c>
      <c r="AI6" s="16">
        <v>715</v>
      </c>
      <c r="AJ6" s="16">
        <v>101500</v>
      </c>
      <c r="AK6" s="16">
        <v>-70</v>
      </c>
      <c r="AL6" s="16">
        <f>AK6/AE6*100</f>
        <v>-8.9171974522292992</v>
      </c>
      <c r="AM6" s="16">
        <f>MEDIAN(AL2:AL6)</f>
        <v>-5.1948051948051948</v>
      </c>
      <c r="AN6" s="18">
        <v>44652</v>
      </c>
      <c r="AO6" s="16">
        <v>720</v>
      </c>
      <c r="AP6" s="16">
        <v>795</v>
      </c>
      <c r="AQ6" s="16">
        <v>715</v>
      </c>
      <c r="AR6" s="16">
        <v>777</v>
      </c>
      <c r="AS6" s="16">
        <v>777</v>
      </c>
      <c r="AT6" s="16">
        <v>31900</v>
      </c>
      <c r="AU6" s="16">
        <v>57</v>
      </c>
      <c r="AV6" s="16">
        <f>AU6/AO6*100</f>
        <v>7.9166666666666661</v>
      </c>
      <c r="AW6" s="16">
        <f>MEDIAN(AV2:AV6)</f>
        <v>-0.41279669762641896</v>
      </c>
      <c r="AX6" s="18">
        <v>44683</v>
      </c>
      <c r="AY6" s="16">
        <v>790</v>
      </c>
      <c r="AZ6" s="16">
        <v>835</v>
      </c>
      <c r="BA6" s="16">
        <v>770</v>
      </c>
      <c r="BB6" s="16">
        <v>835</v>
      </c>
      <c r="BC6" s="16">
        <v>835</v>
      </c>
      <c r="BD6" s="16">
        <v>20500</v>
      </c>
      <c r="BE6" s="16">
        <v>45</v>
      </c>
      <c r="BF6" s="16">
        <f>BE6/AY6*100</f>
        <v>5.6962025316455698</v>
      </c>
      <c r="BG6" s="16">
        <f>MEDIAN(BF2:BF6)</f>
        <v>3.0208333333333335</v>
      </c>
      <c r="BH6" s="18">
        <v>44713</v>
      </c>
      <c r="BI6" s="16">
        <v>840</v>
      </c>
      <c r="BJ6" s="16">
        <v>840</v>
      </c>
      <c r="BK6" s="16">
        <v>810</v>
      </c>
      <c r="BL6" s="16">
        <v>837</v>
      </c>
      <c r="BM6" s="16">
        <v>837</v>
      </c>
      <c r="BN6" s="16">
        <v>21800</v>
      </c>
      <c r="BO6" s="16">
        <v>-3</v>
      </c>
      <c r="BP6" s="16">
        <f>BO6/BI6*100</f>
        <v>-0.35714285714285715</v>
      </c>
      <c r="BQ6" s="16">
        <f>MEDIAN(BP2:BP6)</f>
        <v>1.0111223458038423</v>
      </c>
      <c r="BR6" s="18">
        <v>44743</v>
      </c>
      <c r="BS6" s="16">
        <v>837</v>
      </c>
      <c r="BT6" s="16">
        <v>875</v>
      </c>
      <c r="BU6" s="16">
        <v>822</v>
      </c>
      <c r="BV6" s="16">
        <v>875</v>
      </c>
      <c r="BW6" s="16">
        <v>875</v>
      </c>
      <c r="BX6" s="16">
        <v>23900</v>
      </c>
      <c r="BY6" s="16">
        <v>38</v>
      </c>
      <c r="BZ6" s="16">
        <f>BY6/BS6*100</f>
        <v>4.540023894862605</v>
      </c>
      <c r="CA6" s="16">
        <f>MEDIAN(BZ2:BZ6)</f>
        <v>2.9768467475192946</v>
      </c>
      <c r="CB6" s="18">
        <v>44774</v>
      </c>
      <c r="CC6" s="16">
        <v>875</v>
      </c>
      <c r="CD6" s="16">
        <v>875</v>
      </c>
      <c r="CE6" s="16">
        <v>829</v>
      </c>
      <c r="CF6" s="16">
        <v>854</v>
      </c>
      <c r="CG6" s="16">
        <v>854</v>
      </c>
      <c r="CH6" s="16">
        <v>42000</v>
      </c>
      <c r="CI6" s="16">
        <v>-21</v>
      </c>
      <c r="CJ6" s="16">
        <f>CI6/CC6*100</f>
        <v>-2.4</v>
      </c>
      <c r="CK6" s="16">
        <f>MEDIAN(CJ2:CJ6)</f>
        <v>1.1144883485309016</v>
      </c>
      <c r="CL6" s="18">
        <v>44805</v>
      </c>
      <c r="CM6" s="16">
        <v>855</v>
      </c>
      <c r="CN6" s="16">
        <v>876</v>
      </c>
      <c r="CO6" s="16">
        <v>851</v>
      </c>
      <c r="CP6" s="16">
        <v>860</v>
      </c>
      <c r="CQ6" s="16">
        <v>860</v>
      </c>
      <c r="CR6" s="16">
        <v>40400</v>
      </c>
      <c r="CS6" s="16">
        <v>5</v>
      </c>
      <c r="CT6" s="16">
        <f>CS6/CM6*100</f>
        <v>0.58479532163742687</v>
      </c>
      <c r="CU6" s="16">
        <f>MEDIAN(CT2:CT6)</f>
        <v>3.429796355841372</v>
      </c>
      <c r="CV6" s="18">
        <v>44837</v>
      </c>
      <c r="CW6" s="16">
        <v>861</v>
      </c>
      <c r="CX6" s="16">
        <v>945</v>
      </c>
      <c r="CY6" s="16">
        <v>860</v>
      </c>
      <c r="CZ6" s="16">
        <v>924</v>
      </c>
      <c r="DA6" s="16">
        <v>924</v>
      </c>
      <c r="DB6" s="16">
        <v>43100</v>
      </c>
      <c r="DC6" s="16">
        <v>63</v>
      </c>
      <c r="DD6" s="16">
        <f>DC6/CW6*100</f>
        <v>7.3170731707317067</v>
      </c>
      <c r="DE6" s="16">
        <f>MEDIAN(DD2:DD6)</f>
        <v>-0.60606060606060608</v>
      </c>
      <c r="DF6" s="18">
        <v>44866</v>
      </c>
      <c r="DG6" s="16">
        <v>924</v>
      </c>
      <c r="DH6" s="16">
        <v>968</v>
      </c>
      <c r="DI6" s="16">
        <v>915</v>
      </c>
      <c r="DJ6" s="16">
        <v>967</v>
      </c>
      <c r="DK6" s="16">
        <v>967</v>
      </c>
      <c r="DL6" s="16">
        <v>37500</v>
      </c>
      <c r="DM6" s="16">
        <v>43</v>
      </c>
      <c r="DN6" s="16">
        <f>DM6/DG6*100</f>
        <v>4.6536796536796539</v>
      </c>
      <c r="DO6" s="16">
        <f>MEDIAN(DN2:DN6)</f>
        <v>1.7034068136272544</v>
      </c>
      <c r="DP6" s="18">
        <v>44896</v>
      </c>
      <c r="DQ6" s="16">
        <v>970</v>
      </c>
      <c r="DR6" s="16">
        <v>1014</v>
      </c>
      <c r="DS6" s="16">
        <v>968</v>
      </c>
      <c r="DT6" s="16">
        <v>1006</v>
      </c>
      <c r="DU6" s="16">
        <v>1006</v>
      </c>
      <c r="DV6" s="16">
        <v>59900</v>
      </c>
      <c r="DW6" s="16">
        <v>36</v>
      </c>
      <c r="DX6" s="16">
        <f>DW6/DQ6*100</f>
        <v>3.7113402061855671</v>
      </c>
      <c r="DY6" s="16">
        <f>MEDIAN(DX2:DX6)</f>
        <v>1.6270337922403004</v>
      </c>
    </row>
    <row r="7" spans="1:129">
      <c r="A7" s="17">
        <v>43252</v>
      </c>
      <c r="B7" s="16">
        <v>989</v>
      </c>
      <c r="C7" s="16">
        <v>1004</v>
      </c>
      <c r="D7" s="16">
        <v>985</v>
      </c>
      <c r="E7" s="16">
        <v>999</v>
      </c>
      <c r="F7" s="16">
        <v>999</v>
      </c>
      <c r="G7" s="16">
        <v>27500</v>
      </c>
      <c r="H7" s="16">
        <f t="shared" si="0"/>
        <v>10</v>
      </c>
    </row>
    <row r="8" spans="1:129">
      <c r="A8" s="17">
        <v>43283</v>
      </c>
      <c r="B8" s="16">
        <v>998</v>
      </c>
      <c r="C8" s="16">
        <v>999</v>
      </c>
      <c r="D8" s="16">
        <v>970</v>
      </c>
      <c r="E8" s="16">
        <v>992</v>
      </c>
      <c r="F8" s="16">
        <v>992</v>
      </c>
      <c r="G8" s="16">
        <v>25000</v>
      </c>
      <c r="H8" s="16">
        <f t="shared" si="0"/>
        <v>-6</v>
      </c>
    </row>
    <row r="9" spans="1:129">
      <c r="A9" s="17">
        <v>43313</v>
      </c>
      <c r="B9" s="16">
        <v>987</v>
      </c>
      <c r="C9" s="16">
        <v>1029</v>
      </c>
      <c r="D9" s="16">
        <v>980</v>
      </c>
      <c r="E9" s="16">
        <v>998</v>
      </c>
      <c r="F9" s="16">
        <v>998</v>
      </c>
      <c r="G9" s="16">
        <v>31700</v>
      </c>
      <c r="H9" s="16">
        <f t="shared" si="0"/>
        <v>11</v>
      </c>
    </row>
    <row r="10" spans="1:129">
      <c r="A10" s="17">
        <v>43346</v>
      </c>
      <c r="B10" s="16">
        <v>999</v>
      </c>
      <c r="C10" s="16">
        <v>1044</v>
      </c>
      <c r="D10" s="16">
        <v>994</v>
      </c>
      <c r="E10" s="16">
        <v>1038</v>
      </c>
      <c r="F10" s="16">
        <v>1038</v>
      </c>
      <c r="G10" s="16">
        <v>49900</v>
      </c>
      <c r="H10" s="16">
        <f t="shared" si="0"/>
        <v>39</v>
      </c>
    </row>
    <row r="11" spans="1:129">
      <c r="A11" s="17">
        <v>43374</v>
      </c>
      <c r="B11" s="16">
        <v>1050</v>
      </c>
      <c r="C11" s="16">
        <v>1061</v>
      </c>
      <c r="D11" s="16">
        <v>992</v>
      </c>
      <c r="E11" s="16">
        <v>1000</v>
      </c>
      <c r="F11" s="16">
        <v>1000</v>
      </c>
      <c r="G11" s="16">
        <v>69300</v>
      </c>
      <c r="H11" s="16">
        <f t="shared" si="0"/>
        <v>-50</v>
      </c>
    </row>
    <row r="12" spans="1:129">
      <c r="A12" s="17">
        <v>43405</v>
      </c>
      <c r="B12" s="16">
        <v>998</v>
      </c>
      <c r="C12" s="16">
        <v>1023</v>
      </c>
      <c r="D12" s="16">
        <v>998</v>
      </c>
      <c r="E12" s="16">
        <v>1015</v>
      </c>
      <c r="F12" s="16">
        <v>1015</v>
      </c>
      <c r="G12" s="16">
        <v>34800</v>
      </c>
      <c r="H12" s="16">
        <f t="shared" si="0"/>
        <v>17</v>
      </c>
    </row>
    <row r="13" spans="1:129">
      <c r="A13" s="17">
        <v>43437</v>
      </c>
      <c r="B13" s="16">
        <v>1011</v>
      </c>
      <c r="C13" s="16">
        <v>1020</v>
      </c>
      <c r="D13" s="16">
        <v>807</v>
      </c>
      <c r="E13" s="16">
        <v>881</v>
      </c>
      <c r="F13" s="16">
        <v>881</v>
      </c>
      <c r="G13" s="16">
        <v>78900</v>
      </c>
      <c r="H13" s="16">
        <f t="shared" si="0"/>
        <v>-130</v>
      </c>
    </row>
    <row r="14" spans="1:129">
      <c r="A14" s="17">
        <v>43469</v>
      </c>
      <c r="B14" s="16">
        <v>881</v>
      </c>
      <c r="C14" s="16">
        <v>963</v>
      </c>
      <c r="D14" s="16">
        <v>881</v>
      </c>
      <c r="E14" s="16">
        <v>958</v>
      </c>
      <c r="F14" s="16">
        <v>958</v>
      </c>
      <c r="G14" s="16">
        <v>35800</v>
      </c>
      <c r="H14" s="16">
        <f t="shared" si="0"/>
        <v>77</v>
      </c>
    </row>
    <row r="15" spans="1:129">
      <c r="A15" s="17">
        <v>43497</v>
      </c>
      <c r="B15" s="16">
        <v>957</v>
      </c>
      <c r="C15" s="16">
        <v>1000</v>
      </c>
      <c r="D15" s="16">
        <v>907</v>
      </c>
      <c r="E15" s="16">
        <v>924</v>
      </c>
      <c r="F15" s="16">
        <v>924</v>
      </c>
      <c r="G15" s="16">
        <v>184900</v>
      </c>
      <c r="H15" s="16">
        <f t="shared" si="0"/>
        <v>-33</v>
      </c>
    </row>
    <row r="16" spans="1:129">
      <c r="A16" s="17">
        <v>43525</v>
      </c>
      <c r="B16" s="16">
        <v>924</v>
      </c>
      <c r="C16" s="16">
        <v>926</v>
      </c>
      <c r="D16" s="16">
        <v>863</v>
      </c>
      <c r="E16" s="16">
        <v>876</v>
      </c>
      <c r="F16" s="16">
        <v>876</v>
      </c>
      <c r="G16" s="16">
        <v>51700</v>
      </c>
      <c r="H16" s="16">
        <f t="shared" si="0"/>
        <v>-48</v>
      </c>
    </row>
    <row r="17" spans="1:8">
      <c r="A17" s="17">
        <v>43556</v>
      </c>
      <c r="B17" s="16">
        <v>876</v>
      </c>
      <c r="C17" s="16">
        <v>900</v>
      </c>
      <c r="D17" s="16">
        <v>876</v>
      </c>
      <c r="E17" s="16">
        <v>895</v>
      </c>
      <c r="F17" s="16">
        <v>895</v>
      </c>
      <c r="G17" s="16">
        <v>21700</v>
      </c>
      <c r="H17" s="16">
        <f t="shared" si="0"/>
        <v>19</v>
      </c>
    </row>
    <row r="18" spans="1:8">
      <c r="A18" s="17">
        <v>43592</v>
      </c>
      <c r="B18" s="16">
        <v>895</v>
      </c>
      <c r="C18" s="16">
        <v>908</v>
      </c>
      <c r="D18" s="16">
        <v>892</v>
      </c>
      <c r="E18" s="16">
        <v>905</v>
      </c>
      <c r="F18" s="16">
        <v>905</v>
      </c>
      <c r="G18" s="16">
        <v>17800</v>
      </c>
      <c r="H18" s="16">
        <f t="shared" si="0"/>
        <v>10</v>
      </c>
    </row>
    <row r="19" spans="1:8">
      <c r="A19" s="17">
        <v>43619</v>
      </c>
      <c r="B19" s="16">
        <v>900</v>
      </c>
      <c r="C19" s="16">
        <v>920</v>
      </c>
      <c r="D19" s="16">
        <v>898</v>
      </c>
      <c r="E19" s="16">
        <v>910</v>
      </c>
      <c r="F19" s="16">
        <v>910</v>
      </c>
      <c r="G19" s="16">
        <v>21200</v>
      </c>
      <c r="H19" s="16">
        <f t="shared" si="0"/>
        <v>10</v>
      </c>
    </row>
    <row r="20" spans="1:8">
      <c r="A20" s="17">
        <v>43647</v>
      </c>
      <c r="B20" s="16">
        <v>907</v>
      </c>
      <c r="C20" s="16">
        <v>940</v>
      </c>
      <c r="D20" s="16">
        <v>907</v>
      </c>
      <c r="E20" s="16">
        <v>934</v>
      </c>
      <c r="F20" s="16">
        <v>934</v>
      </c>
      <c r="G20" s="16">
        <v>23200</v>
      </c>
      <c r="H20" s="16">
        <f t="shared" si="0"/>
        <v>27</v>
      </c>
    </row>
    <row r="21" spans="1:8">
      <c r="A21" s="17">
        <v>43678</v>
      </c>
      <c r="B21" s="16">
        <v>934</v>
      </c>
      <c r="C21" s="16">
        <v>938</v>
      </c>
      <c r="D21" s="16">
        <v>917</v>
      </c>
      <c r="E21" s="16">
        <v>930</v>
      </c>
      <c r="F21" s="16">
        <v>930</v>
      </c>
      <c r="G21" s="16">
        <v>22000</v>
      </c>
      <c r="H21" s="16">
        <f t="shared" si="0"/>
        <v>-4</v>
      </c>
    </row>
    <row r="22" spans="1:8">
      <c r="A22" s="17">
        <v>43710</v>
      </c>
      <c r="B22" s="16">
        <v>933</v>
      </c>
      <c r="C22" s="16">
        <v>980</v>
      </c>
      <c r="D22" s="16">
        <v>930</v>
      </c>
      <c r="E22" s="16">
        <v>965</v>
      </c>
      <c r="F22" s="16">
        <v>965</v>
      </c>
      <c r="G22" s="16">
        <v>34400</v>
      </c>
      <c r="H22" s="16">
        <f t="shared" si="0"/>
        <v>32</v>
      </c>
    </row>
    <row r="23" spans="1:8">
      <c r="A23" s="17">
        <v>43739</v>
      </c>
      <c r="B23" s="16">
        <v>973</v>
      </c>
      <c r="C23" s="16">
        <v>1048</v>
      </c>
      <c r="D23" s="16">
        <v>962</v>
      </c>
      <c r="E23" s="16">
        <v>1036</v>
      </c>
      <c r="F23" s="16">
        <v>1036</v>
      </c>
      <c r="G23" s="16">
        <v>67100</v>
      </c>
      <c r="H23" s="16">
        <f t="shared" si="0"/>
        <v>63</v>
      </c>
    </row>
    <row r="24" spans="1:8">
      <c r="A24" s="17">
        <v>43770</v>
      </c>
      <c r="B24" s="16">
        <v>1036</v>
      </c>
      <c r="C24" s="16">
        <v>1048</v>
      </c>
      <c r="D24" s="16">
        <v>1001</v>
      </c>
      <c r="E24" s="16">
        <v>1021</v>
      </c>
      <c r="F24" s="16">
        <v>1021</v>
      </c>
      <c r="G24" s="16">
        <v>38900</v>
      </c>
      <c r="H24" s="16">
        <f t="shared" si="0"/>
        <v>-15</v>
      </c>
    </row>
    <row r="25" spans="1:8">
      <c r="A25" s="17">
        <v>43801</v>
      </c>
      <c r="B25" s="16">
        <v>1037</v>
      </c>
      <c r="C25" s="16">
        <v>1040</v>
      </c>
      <c r="D25" s="16">
        <v>1012</v>
      </c>
      <c r="E25" s="16">
        <v>1040</v>
      </c>
      <c r="F25" s="16">
        <v>1040</v>
      </c>
      <c r="G25" s="16">
        <v>61400</v>
      </c>
      <c r="H25" s="16">
        <f t="shared" si="0"/>
        <v>3</v>
      </c>
    </row>
    <row r="26" spans="1:8">
      <c r="A26" s="17">
        <v>43836</v>
      </c>
      <c r="B26" s="16">
        <v>1044</v>
      </c>
      <c r="C26" s="16">
        <v>1110</v>
      </c>
      <c r="D26" s="16">
        <v>1007</v>
      </c>
      <c r="E26" s="16">
        <v>1036</v>
      </c>
      <c r="F26" s="16">
        <v>1036</v>
      </c>
      <c r="G26" s="16">
        <v>107600</v>
      </c>
      <c r="H26" s="16">
        <f t="shared" si="0"/>
        <v>-8</v>
      </c>
    </row>
    <row r="27" spans="1:8">
      <c r="A27" s="17">
        <v>43864</v>
      </c>
      <c r="B27" s="16">
        <v>1021</v>
      </c>
      <c r="C27" s="16">
        <v>1078</v>
      </c>
      <c r="D27" s="16">
        <v>754</v>
      </c>
      <c r="E27" s="16">
        <v>758</v>
      </c>
      <c r="F27" s="16">
        <v>758</v>
      </c>
      <c r="G27" s="16">
        <v>191200</v>
      </c>
      <c r="H27" s="16">
        <f t="shared" si="0"/>
        <v>-263</v>
      </c>
    </row>
    <row r="28" spans="1:8">
      <c r="A28" s="17">
        <v>43892</v>
      </c>
      <c r="B28" s="16">
        <v>758</v>
      </c>
      <c r="C28" s="16">
        <v>868</v>
      </c>
      <c r="D28" s="16">
        <v>598</v>
      </c>
      <c r="E28" s="16">
        <v>681</v>
      </c>
      <c r="F28" s="16">
        <v>681</v>
      </c>
      <c r="G28" s="16">
        <v>118400</v>
      </c>
      <c r="H28" s="16">
        <f t="shared" si="0"/>
        <v>-77</v>
      </c>
    </row>
    <row r="29" spans="1:8">
      <c r="A29" s="17">
        <v>43922</v>
      </c>
      <c r="B29" s="16">
        <v>681</v>
      </c>
      <c r="C29" s="16">
        <v>686</v>
      </c>
      <c r="D29" s="16">
        <v>606</v>
      </c>
      <c r="E29" s="16">
        <v>665</v>
      </c>
      <c r="F29" s="16">
        <v>665</v>
      </c>
      <c r="G29" s="16">
        <v>53500</v>
      </c>
      <c r="H29" s="16">
        <f t="shared" si="0"/>
        <v>-16</v>
      </c>
    </row>
    <row r="30" spans="1:8">
      <c r="A30" s="17">
        <v>43952</v>
      </c>
      <c r="B30" s="16">
        <v>665</v>
      </c>
      <c r="C30" s="16">
        <v>816</v>
      </c>
      <c r="D30" s="16">
        <v>665</v>
      </c>
      <c r="E30" s="16">
        <v>808</v>
      </c>
      <c r="F30" s="16">
        <v>808</v>
      </c>
      <c r="G30" s="16">
        <v>50800</v>
      </c>
      <c r="H30" s="16">
        <f t="shared" si="0"/>
        <v>143</v>
      </c>
    </row>
    <row r="31" spans="1:8">
      <c r="A31" s="17">
        <v>43983</v>
      </c>
      <c r="B31" s="16">
        <v>812</v>
      </c>
      <c r="C31" s="16">
        <v>829</v>
      </c>
      <c r="D31" s="16">
        <v>781</v>
      </c>
      <c r="E31" s="16">
        <v>790</v>
      </c>
      <c r="F31" s="16">
        <v>790</v>
      </c>
      <c r="G31" s="16">
        <v>40400</v>
      </c>
      <c r="H31" s="16">
        <f t="shared" si="0"/>
        <v>-22</v>
      </c>
    </row>
    <row r="32" spans="1:8">
      <c r="A32" s="17">
        <v>44013</v>
      </c>
      <c r="B32" s="16">
        <v>794</v>
      </c>
      <c r="C32" s="16">
        <v>794</v>
      </c>
      <c r="D32" s="16">
        <v>689</v>
      </c>
      <c r="E32" s="16">
        <v>689</v>
      </c>
      <c r="F32" s="16">
        <v>689</v>
      </c>
      <c r="G32" s="16">
        <v>32100</v>
      </c>
      <c r="H32" s="16">
        <f t="shared" si="0"/>
        <v>-105</v>
      </c>
    </row>
    <row r="33" spans="1:8">
      <c r="A33" s="17">
        <v>44046</v>
      </c>
      <c r="B33" s="16">
        <v>689</v>
      </c>
      <c r="C33" s="16">
        <v>773</v>
      </c>
      <c r="D33" s="16">
        <v>668</v>
      </c>
      <c r="E33" s="16">
        <v>745</v>
      </c>
      <c r="F33" s="16">
        <v>745</v>
      </c>
      <c r="G33" s="16">
        <v>30800</v>
      </c>
      <c r="H33" s="16">
        <f t="shared" si="0"/>
        <v>56</v>
      </c>
    </row>
    <row r="34" spans="1:8">
      <c r="A34" s="17">
        <v>44075</v>
      </c>
      <c r="B34" s="16">
        <v>745</v>
      </c>
      <c r="C34" s="16">
        <v>808</v>
      </c>
      <c r="D34" s="16">
        <v>735</v>
      </c>
      <c r="E34" s="16">
        <v>808</v>
      </c>
      <c r="F34" s="16">
        <v>808</v>
      </c>
      <c r="G34" s="16">
        <v>27800</v>
      </c>
      <c r="H34" s="16">
        <f t="shared" ref="H34:H61" si="1">E34-B34</f>
        <v>63</v>
      </c>
    </row>
    <row r="35" spans="1:8">
      <c r="A35" s="17">
        <v>44106</v>
      </c>
      <c r="B35" s="16">
        <v>810</v>
      </c>
      <c r="C35" s="16">
        <v>817</v>
      </c>
      <c r="D35" s="16">
        <v>768</v>
      </c>
      <c r="E35" s="16">
        <v>780</v>
      </c>
      <c r="F35" s="16">
        <v>780</v>
      </c>
      <c r="G35" s="16">
        <v>17800</v>
      </c>
      <c r="H35" s="16">
        <f t="shared" si="1"/>
        <v>-30</v>
      </c>
    </row>
    <row r="36" spans="1:8">
      <c r="A36" s="17">
        <v>44137</v>
      </c>
      <c r="B36" s="16">
        <v>792</v>
      </c>
      <c r="C36" s="16">
        <v>880</v>
      </c>
      <c r="D36" s="16">
        <v>781</v>
      </c>
      <c r="E36" s="16">
        <v>799</v>
      </c>
      <c r="F36" s="16">
        <v>799</v>
      </c>
      <c r="G36" s="16">
        <v>32200</v>
      </c>
      <c r="H36" s="16">
        <f t="shared" si="1"/>
        <v>7</v>
      </c>
    </row>
    <row r="37" spans="1:8">
      <c r="A37" s="17">
        <v>44166</v>
      </c>
      <c r="B37" s="16">
        <v>799</v>
      </c>
      <c r="C37" s="16">
        <v>820</v>
      </c>
      <c r="D37" s="16">
        <v>790</v>
      </c>
      <c r="E37" s="16">
        <v>812</v>
      </c>
      <c r="F37" s="16">
        <v>812</v>
      </c>
      <c r="G37" s="16">
        <v>37800</v>
      </c>
      <c r="H37" s="16">
        <f t="shared" si="1"/>
        <v>13</v>
      </c>
    </row>
    <row r="38" spans="1:8">
      <c r="A38" s="17">
        <v>44200</v>
      </c>
      <c r="B38" s="16">
        <v>827</v>
      </c>
      <c r="C38" s="16">
        <v>827</v>
      </c>
      <c r="D38" s="16">
        <v>795</v>
      </c>
      <c r="E38" s="16">
        <v>808</v>
      </c>
      <c r="F38" s="16">
        <v>808</v>
      </c>
      <c r="G38" s="16">
        <v>41300</v>
      </c>
      <c r="H38" s="16">
        <f t="shared" si="1"/>
        <v>-19</v>
      </c>
    </row>
    <row r="39" spans="1:8">
      <c r="A39" s="17">
        <v>44228</v>
      </c>
      <c r="B39" s="16">
        <v>804</v>
      </c>
      <c r="C39" s="16">
        <v>832</v>
      </c>
      <c r="D39" s="16">
        <v>754</v>
      </c>
      <c r="E39" s="16">
        <v>759</v>
      </c>
      <c r="F39" s="16">
        <v>759</v>
      </c>
      <c r="G39" s="16">
        <v>119600</v>
      </c>
      <c r="H39" s="16">
        <f t="shared" si="1"/>
        <v>-45</v>
      </c>
    </row>
    <row r="40" spans="1:8">
      <c r="A40" s="17">
        <v>44256</v>
      </c>
      <c r="B40" s="16">
        <v>755</v>
      </c>
      <c r="C40" s="16">
        <v>780</v>
      </c>
      <c r="D40" s="16">
        <v>720</v>
      </c>
      <c r="E40" s="16">
        <v>744</v>
      </c>
      <c r="F40" s="16">
        <v>744</v>
      </c>
      <c r="G40" s="16">
        <v>56600</v>
      </c>
      <c r="H40" s="16">
        <f t="shared" si="1"/>
        <v>-11</v>
      </c>
    </row>
    <row r="41" spans="1:8">
      <c r="A41" s="17">
        <v>44287</v>
      </c>
      <c r="B41" s="16">
        <v>749</v>
      </c>
      <c r="C41" s="16">
        <v>766</v>
      </c>
      <c r="D41" s="16">
        <v>702</v>
      </c>
      <c r="E41" s="16">
        <v>726</v>
      </c>
      <c r="F41" s="16">
        <v>726</v>
      </c>
      <c r="G41" s="16">
        <v>60500</v>
      </c>
      <c r="H41" s="16">
        <f t="shared" si="1"/>
        <v>-23</v>
      </c>
    </row>
    <row r="42" spans="1:8">
      <c r="A42" s="17">
        <v>44322</v>
      </c>
      <c r="B42" s="16">
        <v>730</v>
      </c>
      <c r="C42" s="16">
        <v>741</v>
      </c>
      <c r="D42" s="16">
        <v>709</v>
      </c>
      <c r="E42" s="16">
        <v>715</v>
      </c>
      <c r="F42" s="16">
        <v>715</v>
      </c>
      <c r="G42" s="16">
        <v>39200</v>
      </c>
      <c r="H42" s="16">
        <f t="shared" si="1"/>
        <v>-15</v>
      </c>
    </row>
    <row r="43" spans="1:8">
      <c r="A43" s="17">
        <v>44348</v>
      </c>
      <c r="B43" s="16">
        <v>715</v>
      </c>
      <c r="C43" s="16">
        <v>755</v>
      </c>
      <c r="D43" s="16">
        <v>709</v>
      </c>
      <c r="E43" s="16">
        <v>743</v>
      </c>
      <c r="F43" s="16">
        <v>743</v>
      </c>
      <c r="G43" s="16">
        <v>77500</v>
      </c>
      <c r="H43" s="16">
        <f t="shared" si="1"/>
        <v>28</v>
      </c>
    </row>
    <row r="44" spans="1:8">
      <c r="A44" s="17">
        <v>44378</v>
      </c>
      <c r="B44" s="16">
        <v>745</v>
      </c>
      <c r="C44" s="16">
        <v>780</v>
      </c>
      <c r="D44" s="16">
        <v>724</v>
      </c>
      <c r="E44" s="16">
        <v>780</v>
      </c>
      <c r="F44" s="16">
        <v>780</v>
      </c>
      <c r="G44" s="16">
        <v>38100</v>
      </c>
      <c r="H44" s="16">
        <f t="shared" si="1"/>
        <v>35</v>
      </c>
    </row>
    <row r="45" spans="1:8">
      <c r="A45" s="17">
        <v>44410</v>
      </c>
      <c r="B45" s="16">
        <v>780</v>
      </c>
      <c r="C45" s="16">
        <v>824</v>
      </c>
      <c r="D45" s="16">
        <v>757</v>
      </c>
      <c r="E45" s="16">
        <v>823</v>
      </c>
      <c r="F45" s="16">
        <v>823</v>
      </c>
      <c r="G45" s="16">
        <v>89100</v>
      </c>
      <c r="H45" s="16">
        <f t="shared" si="1"/>
        <v>43</v>
      </c>
    </row>
    <row r="46" spans="1:8">
      <c r="A46" s="17">
        <v>44440</v>
      </c>
      <c r="B46" s="16">
        <v>824</v>
      </c>
      <c r="C46" s="16">
        <v>830</v>
      </c>
      <c r="D46" s="16">
        <v>795</v>
      </c>
      <c r="E46" s="16">
        <v>810</v>
      </c>
      <c r="F46" s="16">
        <v>810</v>
      </c>
      <c r="G46" s="16">
        <v>40500</v>
      </c>
      <c r="H46" s="16">
        <f t="shared" si="1"/>
        <v>-14</v>
      </c>
    </row>
    <row r="47" spans="1:8">
      <c r="A47" s="17">
        <v>44470</v>
      </c>
      <c r="B47" s="16">
        <v>825</v>
      </c>
      <c r="C47" s="16">
        <v>825</v>
      </c>
      <c r="D47" s="16">
        <v>802</v>
      </c>
      <c r="E47" s="16">
        <v>820</v>
      </c>
      <c r="F47" s="16">
        <v>820</v>
      </c>
      <c r="G47" s="16">
        <v>38800</v>
      </c>
      <c r="H47" s="16">
        <f t="shared" si="1"/>
        <v>-5</v>
      </c>
    </row>
    <row r="48" spans="1:8">
      <c r="A48" s="17">
        <v>44501</v>
      </c>
      <c r="B48" s="16">
        <v>822</v>
      </c>
      <c r="C48" s="16">
        <v>885</v>
      </c>
      <c r="D48" s="16">
        <v>816</v>
      </c>
      <c r="E48" s="16">
        <v>851</v>
      </c>
      <c r="F48" s="16">
        <v>851</v>
      </c>
      <c r="G48" s="16">
        <v>86900</v>
      </c>
      <c r="H48" s="16">
        <f t="shared" si="1"/>
        <v>29</v>
      </c>
    </row>
    <row r="49" spans="1:8">
      <c r="A49" s="17">
        <v>44531</v>
      </c>
      <c r="B49" s="16">
        <v>838</v>
      </c>
      <c r="C49" s="16">
        <v>935</v>
      </c>
      <c r="D49" s="16">
        <v>836</v>
      </c>
      <c r="E49" s="16">
        <v>910</v>
      </c>
      <c r="F49" s="16">
        <v>910</v>
      </c>
      <c r="G49" s="16">
        <v>194300</v>
      </c>
      <c r="H49" s="16">
        <f t="shared" si="1"/>
        <v>72</v>
      </c>
    </row>
    <row r="50" spans="1:8">
      <c r="A50" s="17">
        <v>44565</v>
      </c>
      <c r="B50" s="16">
        <v>918</v>
      </c>
      <c r="C50" s="16">
        <v>925</v>
      </c>
      <c r="D50" s="16">
        <v>908</v>
      </c>
      <c r="E50" s="16">
        <v>919</v>
      </c>
      <c r="F50" s="16">
        <v>919</v>
      </c>
      <c r="G50" s="16">
        <v>154600</v>
      </c>
      <c r="H50" s="16">
        <f t="shared" si="1"/>
        <v>1</v>
      </c>
    </row>
    <row r="51" spans="1:8">
      <c r="A51" s="17">
        <v>44593</v>
      </c>
      <c r="B51" s="16">
        <v>918</v>
      </c>
      <c r="C51" s="16">
        <v>922</v>
      </c>
      <c r="D51" s="16">
        <v>777</v>
      </c>
      <c r="E51" s="16">
        <v>780</v>
      </c>
      <c r="F51" s="16">
        <v>780</v>
      </c>
      <c r="G51" s="16">
        <v>278400</v>
      </c>
      <c r="H51" s="16">
        <f t="shared" si="1"/>
        <v>-138</v>
      </c>
    </row>
    <row r="52" spans="1:8">
      <c r="A52" s="17">
        <v>44621</v>
      </c>
      <c r="B52" s="16">
        <v>785</v>
      </c>
      <c r="C52" s="16">
        <v>797</v>
      </c>
      <c r="D52" s="16">
        <v>691</v>
      </c>
      <c r="E52" s="16">
        <v>715</v>
      </c>
      <c r="F52" s="16">
        <v>715</v>
      </c>
      <c r="G52" s="16">
        <v>101500</v>
      </c>
      <c r="H52" s="16">
        <f t="shared" si="1"/>
        <v>-70</v>
      </c>
    </row>
    <row r="53" spans="1:8">
      <c r="A53" s="17">
        <v>44652</v>
      </c>
      <c r="B53" s="16">
        <v>720</v>
      </c>
      <c r="C53" s="16">
        <v>795</v>
      </c>
      <c r="D53" s="16">
        <v>715</v>
      </c>
      <c r="E53" s="16">
        <v>777</v>
      </c>
      <c r="F53" s="16">
        <v>777</v>
      </c>
      <c r="G53" s="16">
        <v>31900</v>
      </c>
      <c r="H53" s="16">
        <f t="shared" si="1"/>
        <v>57</v>
      </c>
    </row>
    <row r="54" spans="1:8">
      <c r="A54" s="17">
        <v>44683</v>
      </c>
      <c r="B54" s="16">
        <v>790</v>
      </c>
      <c r="C54" s="16">
        <v>835</v>
      </c>
      <c r="D54" s="16">
        <v>770</v>
      </c>
      <c r="E54" s="16">
        <v>835</v>
      </c>
      <c r="F54" s="16">
        <v>835</v>
      </c>
      <c r="G54" s="16">
        <v>20500</v>
      </c>
      <c r="H54" s="16">
        <f t="shared" si="1"/>
        <v>45</v>
      </c>
    </row>
    <row r="55" spans="1:8">
      <c r="A55" s="17">
        <v>44713</v>
      </c>
      <c r="B55" s="16">
        <v>840</v>
      </c>
      <c r="C55" s="16">
        <v>840</v>
      </c>
      <c r="D55" s="16">
        <v>810</v>
      </c>
      <c r="E55" s="16">
        <v>837</v>
      </c>
      <c r="F55" s="16">
        <v>837</v>
      </c>
      <c r="G55" s="16">
        <v>21800</v>
      </c>
      <c r="H55" s="16">
        <f t="shared" si="1"/>
        <v>-3</v>
      </c>
    </row>
    <row r="56" spans="1:8">
      <c r="A56" s="17">
        <v>44743</v>
      </c>
      <c r="B56" s="16">
        <v>837</v>
      </c>
      <c r="C56" s="16">
        <v>875</v>
      </c>
      <c r="D56" s="16">
        <v>822</v>
      </c>
      <c r="E56" s="16">
        <v>875</v>
      </c>
      <c r="F56" s="16">
        <v>875</v>
      </c>
      <c r="G56" s="16">
        <v>23900</v>
      </c>
      <c r="H56" s="16">
        <f t="shared" si="1"/>
        <v>38</v>
      </c>
    </row>
    <row r="57" spans="1:8">
      <c r="A57" s="17">
        <v>44774</v>
      </c>
      <c r="B57" s="16">
        <v>875</v>
      </c>
      <c r="C57" s="16">
        <v>875</v>
      </c>
      <c r="D57" s="16">
        <v>829</v>
      </c>
      <c r="E57" s="16">
        <v>854</v>
      </c>
      <c r="F57" s="16">
        <v>854</v>
      </c>
      <c r="G57" s="16">
        <v>42000</v>
      </c>
      <c r="H57" s="16">
        <f t="shared" si="1"/>
        <v>-21</v>
      </c>
    </row>
    <row r="58" spans="1:8">
      <c r="A58" s="17">
        <v>44805</v>
      </c>
      <c r="B58" s="16">
        <v>855</v>
      </c>
      <c r="C58" s="16">
        <v>876</v>
      </c>
      <c r="D58" s="16">
        <v>851</v>
      </c>
      <c r="E58" s="16">
        <v>860</v>
      </c>
      <c r="F58" s="16">
        <v>860</v>
      </c>
      <c r="G58" s="16">
        <v>40400</v>
      </c>
      <c r="H58" s="16">
        <f t="shared" si="1"/>
        <v>5</v>
      </c>
    </row>
    <row r="59" spans="1:8">
      <c r="A59" s="17">
        <v>44837</v>
      </c>
      <c r="B59" s="16">
        <v>861</v>
      </c>
      <c r="C59" s="16">
        <v>945</v>
      </c>
      <c r="D59" s="16">
        <v>860</v>
      </c>
      <c r="E59" s="16">
        <v>924</v>
      </c>
      <c r="F59" s="16">
        <v>924</v>
      </c>
      <c r="G59" s="16">
        <v>43100</v>
      </c>
      <c r="H59" s="16">
        <f t="shared" si="1"/>
        <v>63</v>
      </c>
    </row>
    <row r="60" spans="1:8">
      <c r="A60" s="17">
        <v>44866</v>
      </c>
      <c r="B60" s="16">
        <v>924</v>
      </c>
      <c r="C60" s="16">
        <v>968</v>
      </c>
      <c r="D60" s="16">
        <v>915</v>
      </c>
      <c r="E60" s="16">
        <v>967</v>
      </c>
      <c r="F60" s="16">
        <v>967</v>
      </c>
      <c r="G60" s="16">
        <v>37500</v>
      </c>
      <c r="H60" s="16">
        <f t="shared" si="1"/>
        <v>43</v>
      </c>
    </row>
    <row r="61" spans="1:8">
      <c r="A61" s="17">
        <v>44896</v>
      </c>
      <c r="B61" s="16">
        <v>970</v>
      </c>
      <c r="C61" s="16">
        <v>1014</v>
      </c>
      <c r="D61" s="16">
        <v>968</v>
      </c>
      <c r="E61" s="16">
        <v>1006</v>
      </c>
      <c r="F61" s="16">
        <v>1006</v>
      </c>
      <c r="G61" s="16">
        <v>59900</v>
      </c>
      <c r="H61" s="16">
        <f t="shared" si="1"/>
        <v>36</v>
      </c>
    </row>
  </sheetData>
  <phoneticPr fontId="32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6369-3724-4A56-ADCA-6D84941DD79E}">
  <sheetPr codeName="Sheet8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5950</v>
      </c>
      <c r="C2" s="16">
        <v>6360</v>
      </c>
      <c r="D2" s="16">
        <v>5770</v>
      </c>
      <c r="E2" s="16">
        <v>6240</v>
      </c>
      <c r="F2" s="16">
        <v>6240</v>
      </c>
      <c r="G2" s="16">
        <v>2199900</v>
      </c>
      <c r="H2" s="16">
        <f t="shared" ref="H2:H33" si="0">E2-B2</f>
        <v>290</v>
      </c>
      <c r="J2" s="18" cm="1">
        <f t="array" ref="J2:Q6">_xlfn._xlws.FILTER(A2:H61,MONTH(A2:A61)=1,"")</f>
        <v>43104</v>
      </c>
      <c r="K2" s="16">
        <v>5950</v>
      </c>
      <c r="L2" s="16">
        <v>6360</v>
      </c>
      <c r="M2" s="16">
        <v>5770</v>
      </c>
      <c r="N2" s="16">
        <v>6240</v>
      </c>
      <c r="O2" s="16">
        <v>6240</v>
      </c>
      <c r="P2" s="16">
        <v>2199900</v>
      </c>
      <c r="Q2" s="16">
        <v>290</v>
      </c>
      <c r="R2" s="16">
        <f>Q2/K2*100</f>
        <v>4.8739495798319332</v>
      </c>
      <c r="S2" s="16">
        <f>COUNT(Q2:Q6)</f>
        <v>5</v>
      </c>
      <c r="T2" s="18" cm="1">
        <f t="array" ref="T2:AA6">_xlfn._xlws.FILTER(A2:H61,MONTH(A2:A61)=2,"")</f>
        <v>43132</v>
      </c>
      <c r="U2" s="16">
        <v>6270</v>
      </c>
      <c r="V2" s="16">
        <v>6750</v>
      </c>
      <c r="W2" s="16">
        <v>6160</v>
      </c>
      <c r="X2" s="16">
        <v>6660</v>
      </c>
      <c r="Y2" s="16">
        <v>6660</v>
      </c>
      <c r="Z2" s="16">
        <v>1144800</v>
      </c>
      <c r="AA2" s="16">
        <v>390</v>
      </c>
      <c r="AB2" s="16">
        <f>AA2/U2*100</f>
        <v>6.2200956937799043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6660</v>
      </c>
      <c r="AF2" s="16">
        <v>7120</v>
      </c>
      <c r="AG2" s="16">
        <v>6320</v>
      </c>
      <c r="AH2" s="16">
        <v>6670</v>
      </c>
      <c r="AI2" s="16">
        <v>6670</v>
      </c>
      <c r="AJ2" s="16">
        <v>1380300</v>
      </c>
      <c r="AK2" s="16">
        <v>10</v>
      </c>
      <c r="AL2" s="16">
        <f>AK2/AE2*100</f>
        <v>0.15015015015015015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6700</v>
      </c>
      <c r="AP2" s="16">
        <v>6840</v>
      </c>
      <c r="AQ2" s="16">
        <v>6490</v>
      </c>
      <c r="AR2" s="16">
        <v>6810</v>
      </c>
      <c r="AS2" s="16">
        <v>6810</v>
      </c>
      <c r="AT2" s="16">
        <v>511100</v>
      </c>
      <c r="AU2" s="16">
        <v>110</v>
      </c>
      <c r="AV2" s="16">
        <f>AU2/AO2*100</f>
        <v>1.6417910447761193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6800</v>
      </c>
      <c r="AZ2" s="16">
        <v>6800</v>
      </c>
      <c r="BA2" s="16">
        <v>6060</v>
      </c>
      <c r="BB2" s="16">
        <v>6230</v>
      </c>
      <c r="BC2" s="16">
        <v>6230</v>
      </c>
      <c r="BD2" s="16">
        <v>1220400</v>
      </c>
      <c r="BE2" s="16">
        <v>-570</v>
      </c>
      <c r="BF2" s="16">
        <f>BE2/AY2*100</f>
        <v>-8.3823529411764692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6160</v>
      </c>
      <c r="BJ2" s="16">
        <v>6670</v>
      </c>
      <c r="BK2" s="16">
        <v>6110</v>
      </c>
      <c r="BL2" s="16">
        <v>6580</v>
      </c>
      <c r="BM2" s="16">
        <v>6580</v>
      </c>
      <c r="BN2" s="16">
        <v>978400</v>
      </c>
      <c r="BO2" s="16">
        <v>420</v>
      </c>
      <c r="BP2" s="16">
        <f>BO2/BI2*100</f>
        <v>6.8181818181818175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6590</v>
      </c>
      <c r="BT2" s="16">
        <v>6610</v>
      </c>
      <c r="BU2" s="16">
        <v>6010</v>
      </c>
      <c r="BV2" s="16">
        <v>6140</v>
      </c>
      <c r="BW2" s="16">
        <v>6140</v>
      </c>
      <c r="BX2" s="16">
        <v>2000200</v>
      </c>
      <c r="BY2" s="16">
        <v>-450</v>
      </c>
      <c r="BZ2" s="16">
        <f>BY2/BS2*100</f>
        <v>-6.8285280728376323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6200</v>
      </c>
      <c r="CD2" s="16">
        <v>6210</v>
      </c>
      <c r="CE2" s="16">
        <v>5230</v>
      </c>
      <c r="CF2" s="16">
        <v>5380</v>
      </c>
      <c r="CG2" s="16">
        <v>5380</v>
      </c>
      <c r="CH2" s="16">
        <v>1795200</v>
      </c>
      <c r="CI2" s="16">
        <v>-820</v>
      </c>
      <c r="CJ2" s="16">
        <f>CI2/CC2*100</f>
        <v>-13.225806451612904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5450</v>
      </c>
      <c r="CN2" s="16">
        <v>5750</v>
      </c>
      <c r="CO2" s="16">
        <v>5110</v>
      </c>
      <c r="CP2" s="16">
        <v>5690</v>
      </c>
      <c r="CQ2" s="16">
        <v>5690</v>
      </c>
      <c r="CR2" s="16">
        <v>1059700</v>
      </c>
      <c r="CS2" s="16">
        <v>240</v>
      </c>
      <c r="CT2" s="16">
        <f>CS2/CM2*100</f>
        <v>4.4036697247706424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5700</v>
      </c>
      <c r="CX2" s="16">
        <v>5940</v>
      </c>
      <c r="CY2" s="16">
        <v>5420</v>
      </c>
      <c r="CZ2" s="16">
        <v>5730</v>
      </c>
      <c r="DA2" s="16">
        <v>5730</v>
      </c>
      <c r="DB2" s="16">
        <v>1175600</v>
      </c>
      <c r="DC2" s="16">
        <v>30</v>
      </c>
      <c r="DD2" s="16">
        <f>DC2/CW2*100</f>
        <v>0.52631578947368418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5730</v>
      </c>
      <c r="DH2" s="16">
        <v>6270</v>
      </c>
      <c r="DI2" s="16">
        <v>5590</v>
      </c>
      <c r="DJ2" s="16">
        <v>6180</v>
      </c>
      <c r="DK2" s="16">
        <v>6180</v>
      </c>
      <c r="DL2" s="16">
        <v>958400</v>
      </c>
      <c r="DM2" s="16">
        <v>450</v>
      </c>
      <c r="DN2" s="16">
        <f>DM2/DG2*100</f>
        <v>7.8534031413612562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6190</v>
      </c>
      <c r="DR2" s="16">
        <v>6250</v>
      </c>
      <c r="DS2" s="16">
        <v>5310</v>
      </c>
      <c r="DT2" s="16">
        <v>5750</v>
      </c>
      <c r="DU2" s="16">
        <v>5750</v>
      </c>
      <c r="DV2" s="16">
        <v>1062500</v>
      </c>
      <c r="DW2" s="16">
        <v>-440</v>
      </c>
      <c r="DX2" s="16">
        <f>DW2/DQ2*100</f>
        <v>-7.1082390953150245</v>
      </c>
      <c r="DY2" s="16">
        <f>COUNT(DW2:DW6)</f>
        <v>5</v>
      </c>
    </row>
    <row r="3" spans="1:129">
      <c r="A3" s="17">
        <v>43132</v>
      </c>
      <c r="B3" s="16">
        <v>6270</v>
      </c>
      <c r="C3" s="16">
        <v>6750</v>
      </c>
      <c r="D3" s="16">
        <v>6160</v>
      </c>
      <c r="E3" s="16">
        <v>6660</v>
      </c>
      <c r="F3" s="16">
        <v>6660</v>
      </c>
      <c r="G3" s="16">
        <v>1144800</v>
      </c>
      <c r="H3" s="16">
        <f t="shared" si="0"/>
        <v>390</v>
      </c>
      <c r="J3" s="18">
        <v>43469</v>
      </c>
      <c r="K3" s="16">
        <v>5720</v>
      </c>
      <c r="L3" s="16">
        <v>5920</v>
      </c>
      <c r="M3" s="16">
        <v>5060</v>
      </c>
      <c r="N3" s="16">
        <v>5230</v>
      </c>
      <c r="O3" s="16">
        <v>5230</v>
      </c>
      <c r="P3" s="16">
        <v>1958600</v>
      </c>
      <c r="Q3" s="16">
        <v>-490</v>
      </c>
      <c r="R3" s="16">
        <f>Q3/K3*100</f>
        <v>-8.5664335664335667</v>
      </c>
      <c r="S3" s="16">
        <f>COUNTIF(Q2:Q6,"&gt;0")</f>
        <v>1</v>
      </c>
      <c r="T3" s="18">
        <v>43497</v>
      </c>
      <c r="U3" s="16">
        <v>5200</v>
      </c>
      <c r="V3" s="16">
        <v>5570</v>
      </c>
      <c r="W3" s="16">
        <v>5190</v>
      </c>
      <c r="X3" s="16">
        <v>5510</v>
      </c>
      <c r="Y3" s="16">
        <v>5510</v>
      </c>
      <c r="Z3" s="16">
        <v>533800</v>
      </c>
      <c r="AA3" s="16">
        <v>310</v>
      </c>
      <c r="AB3" s="16">
        <f>AA3/U3*100</f>
        <v>5.9615384615384617</v>
      </c>
      <c r="AC3" s="16">
        <f>COUNTIF(AA2:AA6,"&gt;0")</f>
        <v>3</v>
      </c>
      <c r="AD3" s="18">
        <v>43525</v>
      </c>
      <c r="AE3" s="16">
        <v>5550</v>
      </c>
      <c r="AF3" s="16">
        <v>5550</v>
      </c>
      <c r="AG3" s="16">
        <v>4930</v>
      </c>
      <c r="AH3" s="16">
        <v>4990</v>
      </c>
      <c r="AI3" s="16">
        <v>4990</v>
      </c>
      <c r="AJ3" s="16">
        <v>1041000</v>
      </c>
      <c r="AK3" s="16">
        <v>-560</v>
      </c>
      <c r="AL3" s="16">
        <f>AK3/AE3*100</f>
        <v>-10.09009009009009</v>
      </c>
      <c r="AM3" s="16">
        <f>COUNTIF(AK2:AK6,"&gt;0")</f>
        <v>3</v>
      </c>
      <c r="AN3" s="18">
        <v>43556</v>
      </c>
      <c r="AO3" s="16">
        <v>5050</v>
      </c>
      <c r="AP3" s="16">
        <v>5180</v>
      </c>
      <c r="AQ3" s="16">
        <v>4950</v>
      </c>
      <c r="AR3" s="16">
        <v>4960</v>
      </c>
      <c r="AS3" s="16">
        <v>4960</v>
      </c>
      <c r="AT3" s="16">
        <v>552400</v>
      </c>
      <c r="AU3" s="16">
        <v>-90</v>
      </c>
      <c r="AV3" s="16">
        <f>AU3/AO3*100</f>
        <v>-1.782178217821782</v>
      </c>
      <c r="AW3" s="16">
        <f>COUNTIF(AU2:AU6,"&gt;0")</f>
        <v>3</v>
      </c>
      <c r="AX3" s="18">
        <v>43592</v>
      </c>
      <c r="AY3" s="16">
        <v>4970</v>
      </c>
      <c r="AZ3" s="16">
        <v>4975</v>
      </c>
      <c r="BA3" s="16">
        <v>4475</v>
      </c>
      <c r="BB3" s="16">
        <v>4500</v>
      </c>
      <c r="BC3" s="16">
        <v>4500</v>
      </c>
      <c r="BD3" s="16">
        <v>770700</v>
      </c>
      <c r="BE3" s="16">
        <v>-470</v>
      </c>
      <c r="BF3" s="16">
        <f>BE3/AY3*100</f>
        <v>-9.4567404426559349</v>
      </c>
      <c r="BG3" s="16">
        <f>COUNTIF(BE2:BE6,"&gt;0")</f>
        <v>1</v>
      </c>
      <c r="BH3" s="18">
        <v>43619</v>
      </c>
      <c r="BI3" s="16">
        <v>4450</v>
      </c>
      <c r="BJ3" s="16">
        <v>4700</v>
      </c>
      <c r="BK3" s="16">
        <v>4440</v>
      </c>
      <c r="BL3" s="16">
        <v>4630</v>
      </c>
      <c r="BM3" s="16">
        <v>4630</v>
      </c>
      <c r="BN3" s="16">
        <v>684300</v>
      </c>
      <c r="BO3" s="16">
        <v>180</v>
      </c>
      <c r="BP3" s="16">
        <f>BO3/BI3*100</f>
        <v>4.0449438202247192</v>
      </c>
      <c r="BQ3" s="16">
        <f>COUNTIF(BO2:BO6,"&gt;0")</f>
        <v>4</v>
      </c>
      <c r="BR3" s="18">
        <v>43647</v>
      </c>
      <c r="BS3" s="16">
        <v>4650</v>
      </c>
      <c r="BT3" s="16">
        <v>4910</v>
      </c>
      <c r="BU3" s="16">
        <v>4250</v>
      </c>
      <c r="BV3" s="16">
        <v>4290</v>
      </c>
      <c r="BW3" s="16">
        <v>4290</v>
      </c>
      <c r="BX3" s="16">
        <v>2676600</v>
      </c>
      <c r="BY3" s="16">
        <v>-360</v>
      </c>
      <c r="BZ3" s="16">
        <f>BY3/BS3*100</f>
        <v>-7.741935483870968</v>
      </c>
      <c r="CA3" s="16">
        <f>COUNTIF(BY2:BY6,"&gt;0")</f>
        <v>2</v>
      </c>
      <c r="CB3" s="18">
        <v>43678</v>
      </c>
      <c r="CC3" s="16">
        <v>4250</v>
      </c>
      <c r="CD3" s="16">
        <v>4470</v>
      </c>
      <c r="CE3" s="16">
        <v>4000</v>
      </c>
      <c r="CF3" s="16">
        <v>4340</v>
      </c>
      <c r="CG3" s="16">
        <v>4340</v>
      </c>
      <c r="CH3" s="16">
        <v>1206800</v>
      </c>
      <c r="CI3" s="16">
        <v>90</v>
      </c>
      <c r="CJ3" s="16">
        <f>CI3/CC3*100</f>
        <v>2.1176470588235294</v>
      </c>
      <c r="CK3" s="16">
        <f>COUNTIF(CI2:CI6,"&gt;0")</f>
        <v>3</v>
      </c>
      <c r="CL3" s="18">
        <v>43710</v>
      </c>
      <c r="CM3" s="16">
        <v>4325</v>
      </c>
      <c r="CN3" s="16">
        <v>4530</v>
      </c>
      <c r="CO3" s="16">
        <v>4240</v>
      </c>
      <c r="CP3" s="16">
        <v>4405</v>
      </c>
      <c r="CQ3" s="16">
        <v>4405</v>
      </c>
      <c r="CR3" s="16">
        <v>775600</v>
      </c>
      <c r="CS3" s="16">
        <v>80</v>
      </c>
      <c r="CT3" s="16">
        <f>CS3/CM3*100</f>
        <v>1.8497109826589597</v>
      </c>
      <c r="CU3" s="16">
        <f>COUNTIF(CS2:CS6,"&gt;0")</f>
        <v>5</v>
      </c>
      <c r="CV3" s="18">
        <v>43739</v>
      </c>
      <c r="CW3" s="16">
        <v>4405</v>
      </c>
      <c r="CX3" s="16">
        <v>4575</v>
      </c>
      <c r="CY3" s="16">
        <v>4350</v>
      </c>
      <c r="CZ3" s="16">
        <v>4520</v>
      </c>
      <c r="DA3" s="16">
        <v>4520</v>
      </c>
      <c r="DB3" s="16">
        <v>693400</v>
      </c>
      <c r="DC3" s="16">
        <v>115</v>
      </c>
      <c r="DD3" s="16">
        <f>DC3/CW3*100</f>
        <v>2.6106696935300793</v>
      </c>
      <c r="DE3" s="16">
        <f>COUNTIF(DC2:DC6,"&gt;0")</f>
        <v>2</v>
      </c>
      <c r="DF3" s="18">
        <v>43770</v>
      </c>
      <c r="DG3" s="16">
        <v>4495</v>
      </c>
      <c r="DH3" s="16">
        <v>4710</v>
      </c>
      <c r="DI3" s="16">
        <v>4350</v>
      </c>
      <c r="DJ3" s="16">
        <v>4605</v>
      </c>
      <c r="DK3" s="16">
        <v>4605</v>
      </c>
      <c r="DL3" s="16">
        <v>899700</v>
      </c>
      <c r="DM3" s="16">
        <v>110</v>
      </c>
      <c r="DN3" s="16">
        <f>DM3/DG3*100</f>
        <v>2.4471635150166855</v>
      </c>
      <c r="DO3" s="16">
        <f>COUNTIF(DM2:DM6,"&gt;0")</f>
        <v>4</v>
      </c>
      <c r="DP3" s="18">
        <v>43801</v>
      </c>
      <c r="DQ3" s="16">
        <v>4615</v>
      </c>
      <c r="DR3" s="16">
        <v>4710</v>
      </c>
      <c r="DS3" s="16">
        <v>4515</v>
      </c>
      <c r="DT3" s="16">
        <v>4605</v>
      </c>
      <c r="DU3" s="16">
        <v>4605</v>
      </c>
      <c r="DV3" s="16">
        <v>881000</v>
      </c>
      <c r="DW3" s="16">
        <v>-10</v>
      </c>
      <c r="DX3" s="16">
        <f>DW3/DQ3*100</f>
        <v>-0.21668472372697722</v>
      </c>
      <c r="DY3" s="16">
        <f>COUNTIF(DW2:DW6,"&gt;0")</f>
        <v>0</v>
      </c>
    </row>
    <row r="4" spans="1:129">
      <c r="A4" s="17">
        <v>43160</v>
      </c>
      <c r="B4" s="16">
        <v>6660</v>
      </c>
      <c r="C4" s="16">
        <v>7120</v>
      </c>
      <c r="D4" s="16">
        <v>6320</v>
      </c>
      <c r="E4" s="16">
        <v>6670</v>
      </c>
      <c r="F4" s="16">
        <v>6670</v>
      </c>
      <c r="G4" s="16">
        <v>1380300</v>
      </c>
      <c r="H4" s="16">
        <f t="shared" si="0"/>
        <v>10</v>
      </c>
      <c r="J4" s="18">
        <v>43836</v>
      </c>
      <c r="K4" s="16">
        <v>4590</v>
      </c>
      <c r="L4" s="16">
        <v>4600</v>
      </c>
      <c r="M4" s="16">
        <v>4035</v>
      </c>
      <c r="N4" s="16">
        <v>4120</v>
      </c>
      <c r="O4" s="16">
        <v>4120</v>
      </c>
      <c r="P4" s="16">
        <v>2467600</v>
      </c>
      <c r="Q4" s="16">
        <v>-470</v>
      </c>
      <c r="R4" s="16">
        <f>Q4/K4*100</f>
        <v>-10.239651416122005</v>
      </c>
      <c r="S4" s="19">
        <f>S3/S2*100</f>
        <v>20</v>
      </c>
      <c r="T4" s="18">
        <v>43864</v>
      </c>
      <c r="U4" s="16">
        <v>4085</v>
      </c>
      <c r="V4" s="16">
        <v>4270</v>
      </c>
      <c r="W4" s="16">
        <v>3490</v>
      </c>
      <c r="X4" s="16">
        <v>3515</v>
      </c>
      <c r="Y4" s="16">
        <v>3515</v>
      </c>
      <c r="Z4" s="16">
        <v>946200</v>
      </c>
      <c r="AA4" s="16">
        <v>-570</v>
      </c>
      <c r="AB4" s="16">
        <f>AA4/U4*100</f>
        <v>-13.953488372093023</v>
      </c>
      <c r="AC4" s="19">
        <f>AC3/AC2*100</f>
        <v>60</v>
      </c>
      <c r="AD4" s="18">
        <v>43892</v>
      </c>
      <c r="AE4" s="16">
        <v>3485</v>
      </c>
      <c r="AF4" s="16">
        <v>3800</v>
      </c>
      <c r="AG4" s="16">
        <v>2761</v>
      </c>
      <c r="AH4" s="16">
        <v>3655</v>
      </c>
      <c r="AI4" s="16">
        <v>3655</v>
      </c>
      <c r="AJ4" s="16">
        <v>1797600</v>
      </c>
      <c r="AK4" s="16">
        <v>170</v>
      </c>
      <c r="AL4" s="16">
        <f>AK4/AE4*100</f>
        <v>4.8780487804878048</v>
      </c>
      <c r="AM4" s="19">
        <f>AM3/AM2*100</f>
        <v>60</v>
      </c>
      <c r="AN4" s="18">
        <v>43922</v>
      </c>
      <c r="AO4" s="16">
        <v>3890</v>
      </c>
      <c r="AP4" s="16">
        <v>4265</v>
      </c>
      <c r="AQ4" s="16">
        <v>3735</v>
      </c>
      <c r="AR4" s="16">
        <v>4245</v>
      </c>
      <c r="AS4" s="16">
        <v>4245</v>
      </c>
      <c r="AT4" s="16">
        <v>1396200</v>
      </c>
      <c r="AU4" s="16">
        <v>355</v>
      </c>
      <c r="AV4" s="16">
        <f>AU4/AO4*100</f>
        <v>9.125964010282777</v>
      </c>
      <c r="AW4" s="19">
        <f>AW3/AW2*100</f>
        <v>60</v>
      </c>
      <c r="AX4" s="18">
        <v>43952</v>
      </c>
      <c r="AY4" s="16">
        <v>4240</v>
      </c>
      <c r="AZ4" s="16">
        <v>5350</v>
      </c>
      <c r="BA4" s="16">
        <v>4210</v>
      </c>
      <c r="BB4" s="16">
        <v>5280</v>
      </c>
      <c r="BC4" s="16">
        <v>5280</v>
      </c>
      <c r="BD4" s="16">
        <v>1639000</v>
      </c>
      <c r="BE4" s="16">
        <v>1040</v>
      </c>
      <c r="BF4" s="16">
        <f>BE4/AY4*100</f>
        <v>24.528301886792452</v>
      </c>
      <c r="BG4" s="19">
        <f>BG3/BG2*100</f>
        <v>20</v>
      </c>
      <c r="BH4" s="18">
        <v>43983</v>
      </c>
      <c r="BI4" s="16">
        <v>5240</v>
      </c>
      <c r="BJ4" s="16">
        <v>5240</v>
      </c>
      <c r="BK4" s="16">
        <v>4600</v>
      </c>
      <c r="BL4" s="16">
        <v>4875</v>
      </c>
      <c r="BM4" s="16">
        <v>4875</v>
      </c>
      <c r="BN4" s="16">
        <v>1762000</v>
      </c>
      <c r="BO4" s="16">
        <v>-365</v>
      </c>
      <c r="BP4" s="16">
        <f>BO4/BI4*100</f>
        <v>-6.9656488549618327</v>
      </c>
      <c r="BQ4" s="19">
        <f>BQ3/BQ2*100</f>
        <v>80</v>
      </c>
      <c r="BR4" s="18">
        <v>44013</v>
      </c>
      <c r="BS4" s="16">
        <v>4915</v>
      </c>
      <c r="BT4" s="16">
        <v>4990</v>
      </c>
      <c r="BU4" s="16">
        <v>4390</v>
      </c>
      <c r="BV4" s="16">
        <v>4425</v>
      </c>
      <c r="BW4" s="16">
        <v>4425</v>
      </c>
      <c r="BX4" s="16">
        <v>1696900</v>
      </c>
      <c r="BY4" s="16">
        <v>-490</v>
      </c>
      <c r="BZ4" s="16">
        <f>BY4/BS4*100</f>
        <v>-9.9694811800610381</v>
      </c>
      <c r="CA4" s="19">
        <f>CA3/CA2*100</f>
        <v>40</v>
      </c>
      <c r="CB4" s="18">
        <v>44046</v>
      </c>
      <c r="CC4" s="16">
        <v>4430</v>
      </c>
      <c r="CD4" s="16">
        <v>5100</v>
      </c>
      <c r="CE4" s="16">
        <v>4430</v>
      </c>
      <c r="CF4" s="16">
        <v>4965</v>
      </c>
      <c r="CG4" s="16">
        <v>4965</v>
      </c>
      <c r="CH4" s="16">
        <v>900100</v>
      </c>
      <c r="CI4" s="16">
        <v>535</v>
      </c>
      <c r="CJ4" s="16">
        <f>CI4/CC4*100</f>
        <v>12.076749435665914</v>
      </c>
      <c r="CK4" s="19">
        <f>CK3/CK2*100</f>
        <v>60</v>
      </c>
      <c r="CL4" s="18">
        <v>44075</v>
      </c>
      <c r="CM4" s="16">
        <v>5000</v>
      </c>
      <c r="CN4" s="16">
        <v>5630</v>
      </c>
      <c r="CO4" s="16">
        <v>4880</v>
      </c>
      <c r="CP4" s="16">
        <v>5340</v>
      </c>
      <c r="CQ4" s="16">
        <v>5340</v>
      </c>
      <c r="CR4" s="16">
        <v>890700</v>
      </c>
      <c r="CS4" s="16">
        <v>340</v>
      </c>
      <c r="CT4" s="16">
        <f>CS4/CM4*100</f>
        <v>6.8000000000000007</v>
      </c>
      <c r="CU4" s="19">
        <f>CU3/CU2*100</f>
        <v>100</v>
      </c>
      <c r="CV4" s="18">
        <v>44106</v>
      </c>
      <c r="CW4" s="16">
        <v>5420</v>
      </c>
      <c r="CX4" s="16">
        <v>5550</v>
      </c>
      <c r="CY4" s="16">
        <v>5130</v>
      </c>
      <c r="CZ4" s="16">
        <v>5400</v>
      </c>
      <c r="DA4" s="16">
        <v>5400</v>
      </c>
      <c r="DB4" s="16">
        <v>686600</v>
      </c>
      <c r="DC4" s="16">
        <v>-20</v>
      </c>
      <c r="DD4" s="16">
        <f>DC4/CW4*100</f>
        <v>-0.36900369003690037</v>
      </c>
      <c r="DE4" s="19">
        <f>DE3/DE2*100</f>
        <v>40</v>
      </c>
      <c r="DF4" s="18">
        <v>44137</v>
      </c>
      <c r="DG4" s="16">
        <v>5400</v>
      </c>
      <c r="DH4" s="16">
        <v>6040</v>
      </c>
      <c r="DI4" s="16">
        <v>5390</v>
      </c>
      <c r="DJ4" s="16">
        <v>5580</v>
      </c>
      <c r="DK4" s="16">
        <v>5580</v>
      </c>
      <c r="DL4" s="16">
        <v>1388200</v>
      </c>
      <c r="DM4" s="16">
        <v>180</v>
      </c>
      <c r="DN4" s="16">
        <f>DM4/DG4*100</f>
        <v>3.3333333333333335</v>
      </c>
      <c r="DO4" s="19">
        <f>DO3/DO2*100</f>
        <v>80</v>
      </c>
      <c r="DP4" s="18">
        <v>44166</v>
      </c>
      <c r="DQ4" s="16">
        <v>5600</v>
      </c>
      <c r="DR4" s="16">
        <v>5910</v>
      </c>
      <c r="DS4" s="16">
        <v>5300</v>
      </c>
      <c r="DT4" s="16">
        <v>5360</v>
      </c>
      <c r="DU4" s="16">
        <v>5360</v>
      </c>
      <c r="DV4" s="16">
        <v>1245900</v>
      </c>
      <c r="DW4" s="16">
        <v>-240</v>
      </c>
      <c r="DX4" s="16">
        <f>DW4/DQ4*100</f>
        <v>-4.2857142857142856</v>
      </c>
      <c r="DY4" s="19">
        <f>DY3/DY2*100</f>
        <v>0</v>
      </c>
    </row>
    <row r="5" spans="1:129">
      <c r="A5" s="17">
        <v>43192</v>
      </c>
      <c r="B5" s="16">
        <v>6700</v>
      </c>
      <c r="C5" s="16">
        <v>6840</v>
      </c>
      <c r="D5" s="16">
        <v>6490</v>
      </c>
      <c r="E5" s="16">
        <v>6810</v>
      </c>
      <c r="F5" s="16">
        <v>6810</v>
      </c>
      <c r="G5" s="16">
        <v>511100</v>
      </c>
      <c r="H5" s="16">
        <f t="shared" si="0"/>
        <v>110</v>
      </c>
      <c r="J5" s="18">
        <v>44200</v>
      </c>
      <c r="K5" s="16">
        <v>5360</v>
      </c>
      <c r="L5" s="16">
        <v>5460</v>
      </c>
      <c r="M5" s="16">
        <v>5050</v>
      </c>
      <c r="N5" s="16">
        <v>5270</v>
      </c>
      <c r="O5" s="16">
        <v>5270</v>
      </c>
      <c r="P5" s="16">
        <v>1679600</v>
      </c>
      <c r="Q5" s="16">
        <v>-90</v>
      </c>
      <c r="R5" s="16">
        <f>Q5/K5*100</f>
        <v>-1.6791044776119404</v>
      </c>
      <c r="S5" s="16">
        <f>AVERAGE(R2:R6)</f>
        <v>-3.248298396235183</v>
      </c>
      <c r="T5" s="18">
        <v>44228</v>
      </c>
      <c r="U5" s="16">
        <v>5250</v>
      </c>
      <c r="V5" s="16">
        <v>5510</v>
      </c>
      <c r="W5" s="16">
        <v>5060</v>
      </c>
      <c r="X5" s="16">
        <v>5060</v>
      </c>
      <c r="Y5" s="16">
        <v>5060</v>
      </c>
      <c r="Z5" s="16">
        <v>764700</v>
      </c>
      <c r="AA5" s="16">
        <v>-190</v>
      </c>
      <c r="AB5" s="16">
        <f>AA5/U5*100</f>
        <v>-3.6190476190476191</v>
      </c>
      <c r="AC5" s="16">
        <f>AVERAGE(AB2:AB6)</f>
        <v>0.69771815292011186</v>
      </c>
      <c r="AD5" s="18">
        <v>44256</v>
      </c>
      <c r="AE5" s="16">
        <v>5120</v>
      </c>
      <c r="AF5" s="16">
        <v>5770</v>
      </c>
      <c r="AG5" s="16">
        <v>4960</v>
      </c>
      <c r="AH5" s="16">
        <v>5320</v>
      </c>
      <c r="AI5" s="16">
        <v>5320</v>
      </c>
      <c r="AJ5" s="16">
        <v>1293000</v>
      </c>
      <c r="AK5" s="16">
        <v>200</v>
      </c>
      <c r="AL5" s="16">
        <f>AK5/AE5*100</f>
        <v>3.90625</v>
      </c>
      <c r="AM5" s="16">
        <f>AVERAGE(AL2:AL6)</f>
        <v>-1.9042799828631893</v>
      </c>
      <c r="AN5" s="18">
        <v>44287</v>
      </c>
      <c r="AO5" s="16">
        <v>5340</v>
      </c>
      <c r="AP5" s="16">
        <v>5370</v>
      </c>
      <c r="AQ5" s="16">
        <v>5030</v>
      </c>
      <c r="AR5" s="16">
        <v>5070</v>
      </c>
      <c r="AS5" s="16">
        <v>5070</v>
      </c>
      <c r="AT5" s="16">
        <v>636900</v>
      </c>
      <c r="AU5" s="16">
        <v>-270</v>
      </c>
      <c r="AV5" s="16">
        <f>AU5/AO5*100</f>
        <v>-5.0561797752808983</v>
      </c>
      <c r="AW5" s="16">
        <f>AVERAGE(AV2:AV6)</f>
        <v>2.2586648979835595</v>
      </c>
      <c r="AX5" s="18">
        <v>44322</v>
      </c>
      <c r="AY5" s="16">
        <v>5120</v>
      </c>
      <c r="AZ5" s="16">
        <v>5270</v>
      </c>
      <c r="BA5" s="16">
        <v>4840</v>
      </c>
      <c r="BB5" s="16">
        <v>4940</v>
      </c>
      <c r="BC5" s="16">
        <v>4940</v>
      </c>
      <c r="BD5" s="16">
        <v>569700</v>
      </c>
      <c r="BE5" s="16">
        <v>-180</v>
      </c>
      <c r="BF5" s="16">
        <f>BE5/AY5*100</f>
        <v>-3.515625</v>
      </c>
      <c r="BG5" s="16">
        <f>AVERAGE(BF2:BF6)</f>
        <v>-0.22015407475590329</v>
      </c>
      <c r="BH5" s="18">
        <v>44348</v>
      </c>
      <c r="BI5" s="16">
        <v>4960</v>
      </c>
      <c r="BJ5" s="16">
        <v>5130</v>
      </c>
      <c r="BK5" s="16">
        <v>4825</v>
      </c>
      <c r="BL5" s="16">
        <v>4990</v>
      </c>
      <c r="BM5" s="16">
        <v>4990</v>
      </c>
      <c r="BN5" s="16">
        <v>584300</v>
      </c>
      <c r="BO5" s="16">
        <v>30</v>
      </c>
      <c r="BP5" s="16">
        <f>BO5/BI5*100</f>
        <v>0.60483870967741937</v>
      </c>
      <c r="BQ5" s="16">
        <f>AVERAGE(BP2:BP6)</f>
        <v>1.7286204485209047</v>
      </c>
      <c r="BR5" s="18">
        <v>44378</v>
      </c>
      <c r="BS5" s="16">
        <v>5010</v>
      </c>
      <c r="BT5" s="16">
        <v>5470</v>
      </c>
      <c r="BU5" s="16">
        <v>4865</v>
      </c>
      <c r="BV5" s="16">
        <v>5310</v>
      </c>
      <c r="BW5" s="16">
        <v>5310</v>
      </c>
      <c r="BX5" s="16">
        <v>1409200</v>
      </c>
      <c r="BY5" s="16">
        <v>300</v>
      </c>
      <c r="BZ5" s="16">
        <f>BY5/BS5*100</f>
        <v>5.9880239520958085</v>
      </c>
      <c r="CA5" s="16">
        <f>AVERAGE(BZ2:BZ6)</f>
        <v>-3.6709364251793417</v>
      </c>
      <c r="CB5" s="18">
        <v>44410</v>
      </c>
      <c r="CC5" s="16">
        <v>5300</v>
      </c>
      <c r="CD5" s="16">
        <v>5720</v>
      </c>
      <c r="CE5" s="16">
        <v>5190</v>
      </c>
      <c r="CF5" s="16">
        <v>5620</v>
      </c>
      <c r="CG5" s="16">
        <v>5620</v>
      </c>
      <c r="CH5" s="16">
        <v>708800</v>
      </c>
      <c r="CI5" s="16">
        <v>320</v>
      </c>
      <c r="CJ5" s="16">
        <f>CI5/CC5*100</f>
        <v>6.0377358490566042</v>
      </c>
      <c r="CK5" s="16">
        <f>AVERAGE(CJ2:CJ6)</f>
        <v>-0.32761497878429469</v>
      </c>
      <c r="CL5" s="18">
        <v>44440</v>
      </c>
      <c r="CM5" s="16">
        <v>5580</v>
      </c>
      <c r="CN5" s="16">
        <v>6090</v>
      </c>
      <c r="CO5" s="16">
        <v>5570</v>
      </c>
      <c r="CP5" s="16">
        <v>5700</v>
      </c>
      <c r="CQ5" s="16">
        <v>5700</v>
      </c>
      <c r="CR5" s="16">
        <v>789500</v>
      </c>
      <c r="CS5" s="16">
        <v>120</v>
      </c>
      <c r="CT5" s="16">
        <f>CS5/CM5*100</f>
        <v>2.1505376344086025</v>
      </c>
      <c r="CU5" s="16">
        <f>AVERAGE(CT2:CT6)</f>
        <v>3.8399197374821119</v>
      </c>
      <c r="CV5" s="18">
        <v>44470</v>
      </c>
      <c r="CW5" s="16">
        <v>5700</v>
      </c>
      <c r="CX5" s="16">
        <v>5810</v>
      </c>
      <c r="CY5" s="16">
        <v>5320</v>
      </c>
      <c r="CZ5" s="16">
        <v>5420</v>
      </c>
      <c r="DA5" s="16">
        <v>5420</v>
      </c>
      <c r="DB5" s="16">
        <v>579300</v>
      </c>
      <c r="DC5" s="16">
        <v>-280</v>
      </c>
      <c r="DD5" s="16">
        <f>DC5/CW5*100</f>
        <v>-4.9122807017543861</v>
      </c>
      <c r="DE5" s="16">
        <f>AVERAGE(DD2:DD6)</f>
        <v>-1.4330438821759146</v>
      </c>
      <c r="DF5" s="18">
        <v>44501</v>
      </c>
      <c r="DG5" s="16">
        <v>5450</v>
      </c>
      <c r="DH5" s="16">
        <v>5570</v>
      </c>
      <c r="DI5" s="16">
        <v>4880</v>
      </c>
      <c r="DJ5" s="16">
        <v>4910</v>
      </c>
      <c r="DK5" s="16">
        <v>4910</v>
      </c>
      <c r="DL5" s="16">
        <v>471600</v>
      </c>
      <c r="DM5" s="16">
        <v>-540</v>
      </c>
      <c r="DN5" s="16">
        <f>DM5/DG5*100</f>
        <v>-9.9082568807339459</v>
      </c>
      <c r="DO5" s="16">
        <f>AVERAGE(DN2:DN6)</f>
        <v>1.9473144141451926</v>
      </c>
      <c r="DP5" s="18">
        <v>44531</v>
      </c>
      <c r="DQ5" s="16">
        <v>4905</v>
      </c>
      <c r="DR5" s="16">
        <v>5140</v>
      </c>
      <c r="DS5" s="16">
        <v>4700</v>
      </c>
      <c r="DT5" s="16">
        <v>4740</v>
      </c>
      <c r="DU5" s="16">
        <v>4740</v>
      </c>
      <c r="DV5" s="16">
        <v>680200</v>
      </c>
      <c r="DW5" s="16">
        <v>-165</v>
      </c>
      <c r="DX5" s="16">
        <f>DW5/DQ5*100</f>
        <v>-3.3639143730886847</v>
      </c>
      <c r="DY5" s="16">
        <f>AVERAGE(DX2:DX6)</f>
        <v>-3.4867137742575189</v>
      </c>
    </row>
    <row r="6" spans="1:129">
      <c r="A6" s="17">
        <v>43221</v>
      </c>
      <c r="B6" s="16">
        <v>6800</v>
      </c>
      <c r="C6" s="16">
        <v>6800</v>
      </c>
      <c r="D6" s="16">
        <v>6060</v>
      </c>
      <c r="E6" s="16">
        <v>6230</v>
      </c>
      <c r="F6" s="16">
        <v>6230</v>
      </c>
      <c r="G6" s="16">
        <v>1220400</v>
      </c>
      <c r="H6" s="16">
        <f t="shared" si="0"/>
        <v>-570</v>
      </c>
      <c r="J6" s="18">
        <v>44565</v>
      </c>
      <c r="K6" s="16">
        <v>4760</v>
      </c>
      <c r="L6" s="16">
        <v>4950</v>
      </c>
      <c r="M6" s="16">
        <v>4500</v>
      </c>
      <c r="N6" s="16">
        <v>4730</v>
      </c>
      <c r="O6" s="16">
        <v>4730</v>
      </c>
      <c r="P6" s="16">
        <v>1484000</v>
      </c>
      <c r="Q6" s="16">
        <v>-30</v>
      </c>
      <c r="R6" s="16">
        <f>Q6/K6*100</f>
        <v>-0.63025210084033612</v>
      </c>
      <c r="S6" s="16">
        <f>MEDIAN(R2:R6)</f>
        <v>-1.6791044776119404</v>
      </c>
      <c r="T6" s="18">
        <v>44593</v>
      </c>
      <c r="U6" s="16">
        <v>4730</v>
      </c>
      <c r="V6" s="16">
        <v>5250</v>
      </c>
      <c r="W6" s="16">
        <v>4705</v>
      </c>
      <c r="X6" s="16">
        <v>5150</v>
      </c>
      <c r="Y6" s="16">
        <v>5150</v>
      </c>
      <c r="Z6" s="16">
        <v>564000</v>
      </c>
      <c r="AA6" s="16">
        <v>420</v>
      </c>
      <c r="AB6" s="16">
        <f>AA6/U6*100</f>
        <v>8.8794926004228341</v>
      </c>
      <c r="AC6" s="16">
        <f>MEDIAN(AB2:AB6)</f>
        <v>5.9615384615384617</v>
      </c>
      <c r="AD6" s="18">
        <v>44621</v>
      </c>
      <c r="AE6" s="16">
        <v>5140</v>
      </c>
      <c r="AF6" s="16">
        <v>5140</v>
      </c>
      <c r="AG6" s="16">
        <v>4400</v>
      </c>
      <c r="AH6" s="16">
        <v>4710</v>
      </c>
      <c r="AI6" s="16">
        <v>4710</v>
      </c>
      <c r="AJ6" s="16">
        <v>838400</v>
      </c>
      <c r="AK6" s="16">
        <v>-430</v>
      </c>
      <c r="AL6" s="16">
        <f>AK6/AE6*100</f>
        <v>-8.3657587548638119</v>
      </c>
      <c r="AM6" s="16">
        <f>MEDIAN(AL2:AL6)</f>
        <v>0.15015015015015015</v>
      </c>
      <c r="AN6" s="18">
        <v>44652</v>
      </c>
      <c r="AO6" s="16">
        <v>4685</v>
      </c>
      <c r="AP6" s="16">
        <v>5030</v>
      </c>
      <c r="AQ6" s="16">
        <v>4660</v>
      </c>
      <c r="AR6" s="16">
        <v>5030</v>
      </c>
      <c r="AS6" s="16">
        <v>5030</v>
      </c>
      <c r="AT6" s="16">
        <v>406600</v>
      </c>
      <c r="AU6" s="16">
        <v>345</v>
      </c>
      <c r="AV6" s="16">
        <f>AU6/AO6*100</f>
        <v>7.3639274279615794</v>
      </c>
      <c r="AW6" s="16">
        <f>MEDIAN(AV2:AV6)</f>
        <v>1.6417910447761193</v>
      </c>
      <c r="AX6" s="18">
        <v>44683</v>
      </c>
      <c r="AY6" s="16">
        <v>5030</v>
      </c>
      <c r="AZ6" s="16">
        <v>5140</v>
      </c>
      <c r="BA6" s="16">
        <v>4720</v>
      </c>
      <c r="BB6" s="16">
        <v>4815</v>
      </c>
      <c r="BC6" s="16">
        <v>4815</v>
      </c>
      <c r="BD6" s="16">
        <v>565800</v>
      </c>
      <c r="BE6" s="16">
        <v>-215</v>
      </c>
      <c r="BF6" s="16">
        <f>BE6/AY6*100</f>
        <v>-4.2743538767395624</v>
      </c>
      <c r="BG6" s="16">
        <f>MEDIAN(BF2:BF6)</f>
        <v>-4.2743538767395624</v>
      </c>
      <c r="BH6" s="18">
        <v>44713</v>
      </c>
      <c r="BI6" s="16">
        <v>4830</v>
      </c>
      <c r="BJ6" s="16">
        <v>5130</v>
      </c>
      <c r="BK6" s="16">
        <v>4785</v>
      </c>
      <c r="BL6" s="16">
        <v>5030</v>
      </c>
      <c r="BM6" s="16">
        <v>5030</v>
      </c>
      <c r="BN6" s="16">
        <v>533400</v>
      </c>
      <c r="BO6" s="16">
        <v>200</v>
      </c>
      <c r="BP6" s="16">
        <f>BO6/BI6*100</f>
        <v>4.1407867494824018</v>
      </c>
      <c r="BQ6" s="16">
        <f>MEDIAN(BP2:BP6)</f>
        <v>4.0449438202247192</v>
      </c>
      <c r="BR6" s="18">
        <v>44743</v>
      </c>
      <c r="BS6" s="16">
        <v>5070</v>
      </c>
      <c r="BT6" s="16">
        <v>5260</v>
      </c>
      <c r="BU6" s="16">
        <v>5000</v>
      </c>
      <c r="BV6" s="16">
        <v>5080</v>
      </c>
      <c r="BW6" s="16">
        <v>5080</v>
      </c>
      <c r="BX6" s="16">
        <v>1390200</v>
      </c>
      <c r="BY6" s="16">
        <v>10</v>
      </c>
      <c r="BZ6" s="16">
        <f>BY6/BS6*100</f>
        <v>0.19723865877712032</v>
      </c>
      <c r="CA6" s="16">
        <f>MEDIAN(BZ2:BZ6)</f>
        <v>-6.8285280728376323</v>
      </c>
      <c r="CB6" s="18">
        <v>44774</v>
      </c>
      <c r="CC6" s="16">
        <v>5090</v>
      </c>
      <c r="CD6" s="16">
        <v>5230</v>
      </c>
      <c r="CE6" s="16">
        <v>4650</v>
      </c>
      <c r="CF6" s="16">
        <v>4650</v>
      </c>
      <c r="CG6" s="16">
        <v>4650</v>
      </c>
      <c r="CH6" s="16">
        <v>691400</v>
      </c>
      <c r="CI6" s="16">
        <v>-440</v>
      </c>
      <c r="CJ6" s="16">
        <f>CI6/CC6*100</f>
        <v>-8.6444007858546161</v>
      </c>
      <c r="CK6" s="16">
        <f>MEDIAN(CJ2:CJ6)</f>
        <v>2.1176470588235294</v>
      </c>
      <c r="CL6" s="18">
        <v>44805</v>
      </c>
      <c r="CM6" s="16">
        <v>4630</v>
      </c>
      <c r="CN6" s="16">
        <v>4890</v>
      </c>
      <c r="CO6" s="16">
        <v>4605</v>
      </c>
      <c r="CP6" s="16">
        <v>4815</v>
      </c>
      <c r="CQ6" s="16">
        <v>4815</v>
      </c>
      <c r="CR6" s="16">
        <v>685800</v>
      </c>
      <c r="CS6" s="16">
        <v>185</v>
      </c>
      <c r="CT6" s="16">
        <f>CS6/CM6*100</f>
        <v>3.995680345572354</v>
      </c>
      <c r="CU6" s="16">
        <f>MEDIAN(CT2:CT6)</f>
        <v>3.995680345572354</v>
      </c>
      <c r="CV6" s="18">
        <v>44837</v>
      </c>
      <c r="CW6" s="16">
        <v>4780</v>
      </c>
      <c r="CX6" s="16">
        <v>4890</v>
      </c>
      <c r="CY6" s="16">
        <v>4510</v>
      </c>
      <c r="CZ6" s="16">
        <v>4540</v>
      </c>
      <c r="DA6" s="16">
        <v>4540</v>
      </c>
      <c r="DB6" s="16">
        <v>505000</v>
      </c>
      <c r="DC6" s="16">
        <v>-240</v>
      </c>
      <c r="DD6" s="16">
        <f>DC6/CW6*100</f>
        <v>-5.02092050209205</v>
      </c>
      <c r="DE6" s="16">
        <f>MEDIAN(DD2:DD6)</f>
        <v>-0.36900369003690037</v>
      </c>
      <c r="DF6" s="18">
        <v>44866</v>
      </c>
      <c r="DG6" s="16">
        <v>4575</v>
      </c>
      <c r="DH6" s="16">
        <v>4920</v>
      </c>
      <c r="DI6" s="16">
        <v>4490</v>
      </c>
      <c r="DJ6" s="16">
        <v>4850</v>
      </c>
      <c r="DK6" s="16">
        <v>4850</v>
      </c>
      <c r="DL6" s="16">
        <v>606100</v>
      </c>
      <c r="DM6" s="16">
        <v>275</v>
      </c>
      <c r="DN6" s="16">
        <f>DM6/DG6*100</f>
        <v>6.0109289617486334</v>
      </c>
      <c r="DO6" s="16">
        <f>MEDIAN(DN2:DN6)</f>
        <v>3.3333333333333335</v>
      </c>
      <c r="DP6" s="18">
        <v>44896</v>
      </c>
      <c r="DQ6" s="16">
        <v>4880</v>
      </c>
      <c r="DR6" s="16">
        <v>4930</v>
      </c>
      <c r="DS6" s="16">
        <v>4725</v>
      </c>
      <c r="DT6" s="16">
        <v>4760</v>
      </c>
      <c r="DU6" s="16">
        <v>4760</v>
      </c>
      <c r="DV6" s="16">
        <v>550100</v>
      </c>
      <c r="DW6" s="16">
        <v>-120</v>
      </c>
      <c r="DX6" s="16">
        <f>DW6/DQ6*100</f>
        <v>-2.459016393442623</v>
      </c>
      <c r="DY6" s="16">
        <f>MEDIAN(DX2:DX6)</f>
        <v>-3.3639143730886847</v>
      </c>
    </row>
    <row r="7" spans="1:129">
      <c r="A7" s="17">
        <v>43252</v>
      </c>
      <c r="B7" s="16">
        <v>6160</v>
      </c>
      <c r="C7" s="16">
        <v>6670</v>
      </c>
      <c r="D7" s="16">
        <v>6110</v>
      </c>
      <c r="E7" s="16">
        <v>6580</v>
      </c>
      <c r="F7" s="16">
        <v>6580</v>
      </c>
      <c r="G7" s="16">
        <v>978400</v>
      </c>
      <c r="H7" s="16">
        <f t="shared" si="0"/>
        <v>420</v>
      </c>
    </row>
    <row r="8" spans="1:129">
      <c r="A8" s="17">
        <v>43283</v>
      </c>
      <c r="B8" s="16">
        <v>6590</v>
      </c>
      <c r="C8" s="16">
        <v>6610</v>
      </c>
      <c r="D8" s="16">
        <v>6010</v>
      </c>
      <c r="E8" s="16">
        <v>6140</v>
      </c>
      <c r="F8" s="16">
        <v>6140</v>
      </c>
      <c r="G8" s="16">
        <v>2000200</v>
      </c>
      <c r="H8" s="16">
        <f t="shared" si="0"/>
        <v>-450</v>
      </c>
    </row>
    <row r="9" spans="1:129">
      <c r="A9" s="17">
        <v>43313</v>
      </c>
      <c r="B9" s="16">
        <v>6200</v>
      </c>
      <c r="C9" s="16">
        <v>6210</v>
      </c>
      <c r="D9" s="16">
        <v>5230</v>
      </c>
      <c r="E9" s="16">
        <v>5380</v>
      </c>
      <c r="F9" s="16">
        <v>5380</v>
      </c>
      <c r="G9" s="16">
        <v>1795200</v>
      </c>
      <c r="H9" s="16">
        <f t="shared" si="0"/>
        <v>-820</v>
      </c>
    </row>
    <row r="10" spans="1:129">
      <c r="A10" s="17">
        <v>43346</v>
      </c>
      <c r="B10" s="16">
        <v>5450</v>
      </c>
      <c r="C10" s="16">
        <v>5750</v>
      </c>
      <c r="D10" s="16">
        <v>5110</v>
      </c>
      <c r="E10" s="16">
        <v>5690</v>
      </c>
      <c r="F10" s="16">
        <v>5690</v>
      </c>
      <c r="G10" s="16">
        <v>1059700</v>
      </c>
      <c r="H10" s="16">
        <f t="shared" si="0"/>
        <v>240</v>
      </c>
    </row>
    <row r="11" spans="1:129">
      <c r="A11" s="17">
        <v>43374</v>
      </c>
      <c r="B11" s="16">
        <v>5700</v>
      </c>
      <c r="C11" s="16">
        <v>5940</v>
      </c>
      <c r="D11" s="16">
        <v>5420</v>
      </c>
      <c r="E11" s="16">
        <v>5730</v>
      </c>
      <c r="F11" s="16">
        <v>5730</v>
      </c>
      <c r="G11" s="16">
        <v>1175600</v>
      </c>
      <c r="H11" s="16">
        <f t="shared" si="0"/>
        <v>30</v>
      </c>
    </row>
    <row r="12" spans="1:129">
      <c r="A12" s="17">
        <v>43405</v>
      </c>
      <c r="B12" s="16">
        <v>5730</v>
      </c>
      <c r="C12" s="16">
        <v>6270</v>
      </c>
      <c r="D12" s="16">
        <v>5590</v>
      </c>
      <c r="E12" s="16">
        <v>6180</v>
      </c>
      <c r="F12" s="16">
        <v>6180</v>
      </c>
      <c r="G12" s="16">
        <v>958400</v>
      </c>
      <c r="H12" s="16">
        <f t="shared" si="0"/>
        <v>450</v>
      </c>
    </row>
    <row r="13" spans="1:129">
      <c r="A13" s="17">
        <v>43437</v>
      </c>
      <c r="B13" s="16">
        <v>6190</v>
      </c>
      <c r="C13" s="16">
        <v>6250</v>
      </c>
      <c r="D13" s="16">
        <v>5310</v>
      </c>
      <c r="E13" s="16">
        <v>5750</v>
      </c>
      <c r="F13" s="16">
        <v>5750</v>
      </c>
      <c r="G13" s="16">
        <v>1062500</v>
      </c>
      <c r="H13" s="16">
        <f t="shared" si="0"/>
        <v>-440</v>
      </c>
    </row>
    <row r="14" spans="1:129">
      <c r="A14" s="17">
        <v>43469</v>
      </c>
      <c r="B14" s="16">
        <v>5720</v>
      </c>
      <c r="C14" s="16">
        <v>5920</v>
      </c>
      <c r="D14" s="16">
        <v>5060</v>
      </c>
      <c r="E14" s="16">
        <v>5230</v>
      </c>
      <c r="F14" s="16">
        <v>5230</v>
      </c>
      <c r="G14" s="16">
        <v>1958600</v>
      </c>
      <c r="H14" s="16">
        <f t="shared" si="0"/>
        <v>-490</v>
      </c>
    </row>
    <row r="15" spans="1:129">
      <c r="A15" s="17">
        <v>43497</v>
      </c>
      <c r="B15" s="16">
        <v>5200</v>
      </c>
      <c r="C15" s="16">
        <v>5570</v>
      </c>
      <c r="D15" s="16">
        <v>5190</v>
      </c>
      <c r="E15" s="16">
        <v>5510</v>
      </c>
      <c r="F15" s="16">
        <v>5510</v>
      </c>
      <c r="G15" s="16">
        <v>533800</v>
      </c>
      <c r="H15" s="16">
        <f t="shared" si="0"/>
        <v>310</v>
      </c>
    </row>
    <row r="16" spans="1:129">
      <c r="A16" s="17">
        <v>43525</v>
      </c>
      <c r="B16" s="16">
        <v>5550</v>
      </c>
      <c r="C16" s="16">
        <v>5550</v>
      </c>
      <c r="D16" s="16">
        <v>4930</v>
      </c>
      <c r="E16" s="16">
        <v>4990</v>
      </c>
      <c r="F16" s="16">
        <v>4990</v>
      </c>
      <c r="G16" s="16">
        <v>1041000</v>
      </c>
      <c r="H16" s="16">
        <f t="shared" si="0"/>
        <v>-560</v>
      </c>
    </row>
    <row r="17" spans="1:8">
      <c r="A17" s="17">
        <v>43556</v>
      </c>
      <c r="B17" s="16">
        <v>5050</v>
      </c>
      <c r="C17" s="16">
        <v>5180</v>
      </c>
      <c r="D17" s="16">
        <v>4950</v>
      </c>
      <c r="E17" s="16">
        <v>4960</v>
      </c>
      <c r="F17" s="16">
        <v>4960</v>
      </c>
      <c r="G17" s="16">
        <v>552400</v>
      </c>
      <c r="H17" s="16">
        <f t="shared" si="0"/>
        <v>-90</v>
      </c>
    </row>
    <row r="18" spans="1:8">
      <c r="A18" s="17">
        <v>43592</v>
      </c>
      <c r="B18" s="16">
        <v>4970</v>
      </c>
      <c r="C18" s="16">
        <v>4975</v>
      </c>
      <c r="D18" s="16">
        <v>4475</v>
      </c>
      <c r="E18" s="16">
        <v>4500</v>
      </c>
      <c r="F18" s="16">
        <v>4500</v>
      </c>
      <c r="G18" s="16">
        <v>770700</v>
      </c>
      <c r="H18" s="16">
        <f t="shared" si="0"/>
        <v>-470</v>
      </c>
    </row>
    <row r="19" spans="1:8">
      <c r="A19" s="17">
        <v>43619</v>
      </c>
      <c r="B19" s="16">
        <v>4450</v>
      </c>
      <c r="C19" s="16">
        <v>4700</v>
      </c>
      <c r="D19" s="16">
        <v>4440</v>
      </c>
      <c r="E19" s="16">
        <v>4630</v>
      </c>
      <c r="F19" s="16">
        <v>4630</v>
      </c>
      <c r="G19" s="16">
        <v>684300</v>
      </c>
      <c r="H19" s="16">
        <f t="shared" si="0"/>
        <v>180</v>
      </c>
    </row>
    <row r="20" spans="1:8">
      <c r="A20" s="17">
        <v>43647</v>
      </c>
      <c r="B20" s="16">
        <v>4650</v>
      </c>
      <c r="C20" s="16">
        <v>4910</v>
      </c>
      <c r="D20" s="16">
        <v>4250</v>
      </c>
      <c r="E20" s="16">
        <v>4290</v>
      </c>
      <c r="F20" s="16">
        <v>4290</v>
      </c>
      <c r="G20" s="16">
        <v>2676600</v>
      </c>
      <c r="H20" s="16">
        <f t="shared" si="0"/>
        <v>-360</v>
      </c>
    </row>
    <row r="21" spans="1:8">
      <c r="A21" s="17">
        <v>43678</v>
      </c>
      <c r="B21" s="16">
        <v>4250</v>
      </c>
      <c r="C21" s="16">
        <v>4470</v>
      </c>
      <c r="D21" s="16">
        <v>4000</v>
      </c>
      <c r="E21" s="16">
        <v>4340</v>
      </c>
      <c r="F21" s="16">
        <v>4340</v>
      </c>
      <c r="G21" s="16">
        <v>1206800</v>
      </c>
      <c r="H21" s="16">
        <f t="shared" si="0"/>
        <v>90</v>
      </c>
    </row>
    <row r="22" spans="1:8">
      <c r="A22" s="17">
        <v>43710</v>
      </c>
      <c r="B22" s="16">
        <v>4325</v>
      </c>
      <c r="C22" s="16">
        <v>4530</v>
      </c>
      <c r="D22" s="16">
        <v>4240</v>
      </c>
      <c r="E22" s="16">
        <v>4405</v>
      </c>
      <c r="F22" s="16">
        <v>4405</v>
      </c>
      <c r="G22" s="16">
        <v>775600</v>
      </c>
      <c r="H22" s="16">
        <f t="shared" si="0"/>
        <v>80</v>
      </c>
    </row>
    <row r="23" spans="1:8">
      <c r="A23" s="17">
        <v>43739</v>
      </c>
      <c r="B23" s="16">
        <v>4405</v>
      </c>
      <c r="C23" s="16">
        <v>4575</v>
      </c>
      <c r="D23" s="16">
        <v>4350</v>
      </c>
      <c r="E23" s="16">
        <v>4520</v>
      </c>
      <c r="F23" s="16">
        <v>4520</v>
      </c>
      <c r="G23" s="16">
        <v>693400</v>
      </c>
      <c r="H23" s="16">
        <f t="shared" si="0"/>
        <v>115</v>
      </c>
    </row>
    <row r="24" spans="1:8">
      <c r="A24" s="17">
        <v>43770</v>
      </c>
      <c r="B24" s="16">
        <v>4495</v>
      </c>
      <c r="C24" s="16">
        <v>4710</v>
      </c>
      <c r="D24" s="16">
        <v>4350</v>
      </c>
      <c r="E24" s="16">
        <v>4605</v>
      </c>
      <c r="F24" s="16">
        <v>4605</v>
      </c>
      <c r="G24" s="16">
        <v>899700</v>
      </c>
      <c r="H24" s="16">
        <f t="shared" si="0"/>
        <v>110</v>
      </c>
    </row>
    <row r="25" spans="1:8">
      <c r="A25" s="17">
        <v>43801</v>
      </c>
      <c r="B25" s="16">
        <v>4615</v>
      </c>
      <c r="C25" s="16">
        <v>4710</v>
      </c>
      <c r="D25" s="16">
        <v>4515</v>
      </c>
      <c r="E25" s="16">
        <v>4605</v>
      </c>
      <c r="F25" s="16">
        <v>4605</v>
      </c>
      <c r="G25" s="16">
        <v>881000</v>
      </c>
      <c r="H25" s="16">
        <f t="shared" si="0"/>
        <v>-10</v>
      </c>
    </row>
    <row r="26" spans="1:8">
      <c r="A26" s="17">
        <v>43836</v>
      </c>
      <c r="B26" s="16">
        <v>4590</v>
      </c>
      <c r="C26" s="16">
        <v>4600</v>
      </c>
      <c r="D26" s="16">
        <v>4035</v>
      </c>
      <c r="E26" s="16">
        <v>4120</v>
      </c>
      <c r="F26" s="16">
        <v>4120</v>
      </c>
      <c r="G26" s="16">
        <v>2467600</v>
      </c>
      <c r="H26" s="16">
        <f t="shared" si="0"/>
        <v>-470</v>
      </c>
    </row>
    <row r="27" spans="1:8">
      <c r="A27" s="17">
        <v>43864</v>
      </c>
      <c r="B27" s="16">
        <v>4085</v>
      </c>
      <c r="C27" s="16">
        <v>4270</v>
      </c>
      <c r="D27" s="16">
        <v>3490</v>
      </c>
      <c r="E27" s="16">
        <v>3515</v>
      </c>
      <c r="F27" s="16">
        <v>3515</v>
      </c>
      <c r="G27" s="16">
        <v>946200</v>
      </c>
      <c r="H27" s="16">
        <f t="shared" si="0"/>
        <v>-570</v>
      </c>
    </row>
    <row r="28" spans="1:8">
      <c r="A28" s="17">
        <v>43892</v>
      </c>
      <c r="B28" s="16">
        <v>3485</v>
      </c>
      <c r="C28" s="16">
        <v>3800</v>
      </c>
      <c r="D28" s="16">
        <v>2761</v>
      </c>
      <c r="E28" s="16">
        <v>3655</v>
      </c>
      <c r="F28" s="16">
        <v>3655</v>
      </c>
      <c r="G28" s="16">
        <v>1797600</v>
      </c>
      <c r="H28" s="16">
        <f t="shared" si="0"/>
        <v>170</v>
      </c>
    </row>
    <row r="29" spans="1:8">
      <c r="A29" s="17">
        <v>43922</v>
      </c>
      <c r="B29" s="16">
        <v>3890</v>
      </c>
      <c r="C29" s="16">
        <v>4265</v>
      </c>
      <c r="D29" s="16">
        <v>3735</v>
      </c>
      <c r="E29" s="16">
        <v>4245</v>
      </c>
      <c r="F29" s="16">
        <v>4245</v>
      </c>
      <c r="G29" s="16">
        <v>1396200</v>
      </c>
      <c r="H29" s="16">
        <f t="shared" si="0"/>
        <v>355</v>
      </c>
    </row>
    <row r="30" spans="1:8">
      <c r="A30" s="17">
        <v>43952</v>
      </c>
      <c r="B30" s="16">
        <v>4240</v>
      </c>
      <c r="C30" s="16">
        <v>5350</v>
      </c>
      <c r="D30" s="16">
        <v>4210</v>
      </c>
      <c r="E30" s="16">
        <v>5280</v>
      </c>
      <c r="F30" s="16">
        <v>5280</v>
      </c>
      <c r="G30" s="16">
        <v>1639000</v>
      </c>
      <c r="H30" s="16">
        <f t="shared" si="0"/>
        <v>1040</v>
      </c>
    </row>
    <row r="31" spans="1:8">
      <c r="A31" s="17">
        <v>43983</v>
      </c>
      <c r="B31" s="16">
        <v>5240</v>
      </c>
      <c r="C31" s="16">
        <v>5240</v>
      </c>
      <c r="D31" s="16">
        <v>4600</v>
      </c>
      <c r="E31" s="16">
        <v>4875</v>
      </c>
      <c r="F31" s="16">
        <v>4875</v>
      </c>
      <c r="G31" s="16">
        <v>1762000</v>
      </c>
      <c r="H31" s="16">
        <f t="shared" si="0"/>
        <v>-365</v>
      </c>
    </row>
    <row r="32" spans="1:8">
      <c r="A32" s="17">
        <v>44013</v>
      </c>
      <c r="B32" s="16">
        <v>4915</v>
      </c>
      <c r="C32" s="16">
        <v>4990</v>
      </c>
      <c r="D32" s="16">
        <v>4390</v>
      </c>
      <c r="E32" s="16">
        <v>4425</v>
      </c>
      <c r="F32" s="16">
        <v>4425</v>
      </c>
      <c r="G32" s="16">
        <v>1696900</v>
      </c>
      <c r="H32" s="16">
        <f t="shared" si="0"/>
        <v>-490</v>
      </c>
    </row>
    <row r="33" spans="1:8">
      <c r="A33" s="17">
        <v>44046</v>
      </c>
      <c r="B33" s="16">
        <v>4430</v>
      </c>
      <c r="C33" s="16">
        <v>5100</v>
      </c>
      <c r="D33" s="16">
        <v>4430</v>
      </c>
      <c r="E33" s="16">
        <v>4965</v>
      </c>
      <c r="F33" s="16">
        <v>4965</v>
      </c>
      <c r="G33" s="16">
        <v>900100</v>
      </c>
      <c r="H33" s="16">
        <f t="shared" si="0"/>
        <v>535</v>
      </c>
    </row>
    <row r="34" spans="1:8">
      <c r="A34" s="17">
        <v>44075</v>
      </c>
      <c r="B34" s="16">
        <v>5000</v>
      </c>
      <c r="C34" s="16">
        <v>5630</v>
      </c>
      <c r="D34" s="16">
        <v>4880</v>
      </c>
      <c r="E34" s="16">
        <v>5340</v>
      </c>
      <c r="F34" s="16">
        <v>5340</v>
      </c>
      <c r="G34" s="16">
        <v>890700</v>
      </c>
      <c r="H34" s="16">
        <f t="shared" ref="H34:H61" si="1">E34-B34</f>
        <v>340</v>
      </c>
    </row>
    <row r="35" spans="1:8">
      <c r="A35" s="17">
        <v>44106</v>
      </c>
      <c r="B35" s="16">
        <v>5420</v>
      </c>
      <c r="C35" s="16">
        <v>5550</v>
      </c>
      <c r="D35" s="16">
        <v>5130</v>
      </c>
      <c r="E35" s="16">
        <v>5400</v>
      </c>
      <c r="F35" s="16">
        <v>5400</v>
      </c>
      <c r="G35" s="16">
        <v>686600</v>
      </c>
      <c r="H35" s="16">
        <f t="shared" si="1"/>
        <v>-20</v>
      </c>
    </row>
    <row r="36" spans="1:8">
      <c r="A36" s="17">
        <v>44137</v>
      </c>
      <c r="B36" s="16">
        <v>5400</v>
      </c>
      <c r="C36" s="16">
        <v>6040</v>
      </c>
      <c r="D36" s="16">
        <v>5390</v>
      </c>
      <c r="E36" s="16">
        <v>5580</v>
      </c>
      <c r="F36" s="16">
        <v>5580</v>
      </c>
      <c r="G36" s="16">
        <v>1388200</v>
      </c>
      <c r="H36" s="16">
        <f t="shared" si="1"/>
        <v>180</v>
      </c>
    </row>
    <row r="37" spans="1:8">
      <c r="A37" s="17">
        <v>44166</v>
      </c>
      <c r="B37" s="16">
        <v>5600</v>
      </c>
      <c r="C37" s="16">
        <v>5910</v>
      </c>
      <c r="D37" s="16">
        <v>5300</v>
      </c>
      <c r="E37" s="16">
        <v>5360</v>
      </c>
      <c r="F37" s="16">
        <v>5360</v>
      </c>
      <c r="G37" s="16">
        <v>1245900</v>
      </c>
      <c r="H37" s="16">
        <f t="shared" si="1"/>
        <v>-240</v>
      </c>
    </row>
    <row r="38" spans="1:8">
      <c r="A38" s="17">
        <v>44200</v>
      </c>
      <c r="B38" s="16">
        <v>5360</v>
      </c>
      <c r="C38" s="16">
        <v>5460</v>
      </c>
      <c r="D38" s="16">
        <v>5050</v>
      </c>
      <c r="E38" s="16">
        <v>5270</v>
      </c>
      <c r="F38" s="16">
        <v>5270</v>
      </c>
      <c r="G38" s="16">
        <v>1679600</v>
      </c>
      <c r="H38" s="16">
        <f t="shared" si="1"/>
        <v>-90</v>
      </c>
    </row>
    <row r="39" spans="1:8">
      <c r="A39" s="17">
        <v>44228</v>
      </c>
      <c r="B39" s="16">
        <v>5250</v>
      </c>
      <c r="C39" s="16">
        <v>5510</v>
      </c>
      <c r="D39" s="16">
        <v>5060</v>
      </c>
      <c r="E39" s="16">
        <v>5060</v>
      </c>
      <c r="F39" s="16">
        <v>5060</v>
      </c>
      <c r="G39" s="16">
        <v>764700</v>
      </c>
      <c r="H39" s="16">
        <f t="shared" si="1"/>
        <v>-190</v>
      </c>
    </row>
    <row r="40" spans="1:8">
      <c r="A40" s="17">
        <v>44256</v>
      </c>
      <c r="B40" s="16">
        <v>5120</v>
      </c>
      <c r="C40" s="16">
        <v>5770</v>
      </c>
      <c r="D40" s="16">
        <v>4960</v>
      </c>
      <c r="E40" s="16">
        <v>5320</v>
      </c>
      <c r="F40" s="16">
        <v>5320</v>
      </c>
      <c r="G40" s="16">
        <v>1293000</v>
      </c>
      <c r="H40" s="16">
        <f t="shared" si="1"/>
        <v>200</v>
      </c>
    </row>
    <row r="41" spans="1:8">
      <c r="A41" s="17">
        <v>44287</v>
      </c>
      <c r="B41" s="16">
        <v>5340</v>
      </c>
      <c r="C41" s="16">
        <v>5370</v>
      </c>
      <c r="D41" s="16">
        <v>5030</v>
      </c>
      <c r="E41" s="16">
        <v>5070</v>
      </c>
      <c r="F41" s="16">
        <v>5070</v>
      </c>
      <c r="G41" s="16">
        <v>636900</v>
      </c>
      <c r="H41" s="16">
        <f t="shared" si="1"/>
        <v>-270</v>
      </c>
    </row>
    <row r="42" spans="1:8">
      <c r="A42" s="17">
        <v>44322</v>
      </c>
      <c r="B42" s="16">
        <v>5120</v>
      </c>
      <c r="C42" s="16">
        <v>5270</v>
      </c>
      <c r="D42" s="16">
        <v>4840</v>
      </c>
      <c r="E42" s="16">
        <v>4940</v>
      </c>
      <c r="F42" s="16">
        <v>4940</v>
      </c>
      <c r="G42" s="16">
        <v>569700</v>
      </c>
      <c r="H42" s="16">
        <f t="shared" si="1"/>
        <v>-180</v>
      </c>
    </row>
    <row r="43" spans="1:8">
      <c r="A43" s="17">
        <v>44348</v>
      </c>
      <c r="B43" s="16">
        <v>4960</v>
      </c>
      <c r="C43" s="16">
        <v>5130</v>
      </c>
      <c r="D43" s="16">
        <v>4825</v>
      </c>
      <c r="E43" s="16">
        <v>4990</v>
      </c>
      <c r="F43" s="16">
        <v>4990</v>
      </c>
      <c r="G43" s="16">
        <v>584300</v>
      </c>
      <c r="H43" s="16">
        <f t="shared" si="1"/>
        <v>30</v>
      </c>
    </row>
    <row r="44" spans="1:8">
      <c r="A44" s="17">
        <v>44378</v>
      </c>
      <c r="B44" s="16">
        <v>5010</v>
      </c>
      <c r="C44" s="16">
        <v>5470</v>
      </c>
      <c r="D44" s="16">
        <v>4865</v>
      </c>
      <c r="E44" s="16">
        <v>5310</v>
      </c>
      <c r="F44" s="16">
        <v>5310</v>
      </c>
      <c r="G44" s="16">
        <v>1409200</v>
      </c>
      <c r="H44" s="16">
        <f t="shared" si="1"/>
        <v>300</v>
      </c>
    </row>
    <row r="45" spans="1:8">
      <c r="A45" s="17">
        <v>44410</v>
      </c>
      <c r="B45" s="16">
        <v>5300</v>
      </c>
      <c r="C45" s="16">
        <v>5720</v>
      </c>
      <c r="D45" s="16">
        <v>5190</v>
      </c>
      <c r="E45" s="16">
        <v>5620</v>
      </c>
      <c r="F45" s="16">
        <v>5620</v>
      </c>
      <c r="G45" s="16">
        <v>708800</v>
      </c>
      <c r="H45" s="16">
        <f t="shared" si="1"/>
        <v>320</v>
      </c>
    </row>
    <row r="46" spans="1:8">
      <c r="A46" s="17">
        <v>44440</v>
      </c>
      <c r="B46" s="16">
        <v>5580</v>
      </c>
      <c r="C46" s="16">
        <v>6090</v>
      </c>
      <c r="D46" s="16">
        <v>5570</v>
      </c>
      <c r="E46" s="16">
        <v>5700</v>
      </c>
      <c r="F46" s="16">
        <v>5700</v>
      </c>
      <c r="G46" s="16">
        <v>789500</v>
      </c>
      <c r="H46" s="16">
        <f t="shared" si="1"/>
        <v>120</v>
      </c>
    </row>
    <row r="47" spans="1:8">
      <c r="A47" s="17">
        <v>44470</v>
      </c>
      <c r="B47" s="16">
        <v>5700</v>
      </c>
      <c r="C47" s="16">
        <v>5810</v>
      </c>
      <c r="D47" s="16">
        <v>5320</v>
      </c>
      <c r="E47" s="16">
        <v>5420</v>
      </c>
      <c r="F47" s="16">
        <v>5420</v>
      </c>
      <c r="G47" s="16">
        <v>579300</v>
      </c>
      <c r="H47" s="16">
        <f t="shared" si="1"/>
        <v>-280</v>
      </c>
    </row>
    <row r="48" spans="1:8">
      <c r="A48" s="17">
        <v>44501</v>
      </c>
      <c r="B48" s="16">
        <v>5450</v>
      </c>
      <c r="C48" s="16">
        <v>5570</v>
      </c>
      <c r="D48" s="16">
        <v>4880</v>
      </c>
      <c r="E48" s="16">
        <v>4910</v>
      </c>
      <c r="F48" s="16">
        <v>4910</v>
      </c>
      <c r="G48" s="16">
        <v>471600</v>
      </c>
      <c r="H48" s="16">
        <f t="shared" si="1"/>
        <v>-540</v>
      </c>
    </row>
    <row r="49" spans="1:8">
      <c r="A49" s="17">
        <v>44531</v>
      </c>
      <c r="B49" s="16">
        <v>4905</v>
      </c>
      <c r="C49" s="16">
        <v>5140</v>
      </c>
      <c r="D49" s="16">
        <v>4700</v>
      </c>
      <c r="E49" s="16">
        <v>4740</v>
      </c>
      <c r="F49" s="16">
        <v>4740</v>
      </c>
      <c r="G49" s="16">
        <v>680200</v>
      </c>
      <c r="H49" s="16">
        <f t="shared" si="1"/>
        <v>-165</v>
      </c>
    </row>
    <row r="50" spans="1:8">
      <c r="A50" s="17">
        <v>44565</v>
      </c>
      <c r="B50" s="16">
        <v>4760</v>
      </c>
      <c r="C50" s="16">
        <v>4950</v>
      </c>
      <c r="D50" s="16">
        <v>4500</v>
      </c>
      <c r="E50" s="16">
        <v>4730</v>
      </c>
      <c r="F50" s="16">
        <v>4730</v>
      </c>
      <c r="G50" s="16">
        <v>1484000</v>
      </c>
      <c r="H50" s="16">
        <f t="shared" si="1"/>
        <v>-30</v>
      </c>
    </row>
    <row r="51" spans="1:8">
      <c r="A51" s="17">
        <v>44593</v>
      </c>
      <c r="B51" s="16">
        <v>4730</v>
      </c>
      <c r="C51" s="16">
        <v>5250</v>
      </c>
      <c r="D51" s="16">
        <v>4705</v>
      </c>
      <c r="E51" s="16">
        <v>5150</v>
      </c>
      <c r="F51" s="16">
        <v>5150</v>
      </c>
      <c r="G51" s="16">
        <v>564000</v>
      </c>
      <c r="H51" s="16">
        <f t="shared" si="1"/>
        <v>420</v>
      </c>
    </row>
    <row r="52" spans="1:8">
      <c r="A52" s="17">
        <v>44621</v>
      </c>
      <c r="B52" s="16">
        <v>5140</v>
      </c>
      <c r="C52" s="16">
        <v>5140</v>
      </c>
      <c r="D52" s="16">
        <v>4400</v>
      </c>
      <c r="E52" s="16">
        <v>4710</v>
      </c>
      <c r="F52" s="16">
        <v>4710</v>
      </c>
      <c r="G52" s="16">
        <v>838400</v>
      </c>
      <c r="H52" s="16">
        <f t="shared" si="1"/>
        <v>-430</v>
      </c>
    </row>
    <row r="53" spans="1:8">
      <c r="A53" s="17">
        <v>44652</v>
      </c>
      <c r="B53" s="16">
        <v>4685</v>
      </c>
      <c r="C53" s="16">
        <v>5030</v>
      </c>
      <c r="D53" s="16">
        <v>4660</v>
      </c>
      <c r="E53" s="16">
        <v>5030</v>
      </c>
      <c r="F53" s="16">
        <v>5030</v>
      </c>
      <c r="G53" s="16">
        <v>406600</v>
      </c>
      <c r="H53" s="16">
        <f t="shared" si="1"/>
        <v>345</v>
      </c>
    </row>
    <row r="54" spans="1:8">
      <c r="A54" s="17">
        <v>44683</v>
      </c>
      <c r="B54" s="16">
        <v>5030</v>
      </c>
      <c r="C54" s="16">
        <v>5140</v>
      </c>
      <c r="D54" s="16">
        <v>4720</v>
      </c>
      <c r="E54" s="16">
        <v>4815</v>
      </c>
      <c r="F54" s="16">
        <v>4815</v>
      </c>
      <c r="G54" s="16">
        <v>565800</v>
      </c>
      <c r="H54" s="16">
        <f t="shared" si="1"/>
        <v>-215</v>
      </c>
    </row>
    <row r="55" spans="1:8">
      <c r="A55" s="17">
        <v>44713</v>
      </c>
      <c r="B55" s="16">
        <v>4830</v>
      </c>
      <c r="C55" s="16">
        <v>5130</v>
      </c>
      <c r="D55" s="16">
        <v>4785</v>
      </c>
      <c r="E55" s="16">
        <v>5030</v>
      </c>
      <c r="F55" s="16">
        <v>5030</v>
      </c>
      <c r="G55" s="16">
        <v>533400</v>
      </c>
      <c r="H55" s="16">
        <f t="shared" si="1"/>
        <v>200</v>
      </c>
    </row>
    <row r="56" spans="1:8">
      <c r="A56" s="17">
        <v>44743</v>
      </c>
      <c r="B56" s="16">
        <v>5070</v>
      </c>
      <c r="C56" s="16">
        <v>5260</v>
      </c>
      <c r="D56" s="16">
        <v>5000</v>
      </c>
      <c r="E56" s="16">
        <v>5080</v>
      </c>
      <c r="F56" s="16">
        <v>5080</v>
      </c>
      <c r="G56" s="16">
        <v>1390200</v>
      </c>
      <c r="H56" s="16">
        <f t="shared" si="1"/>
        <v>10</v>
      </c>
    </row>
    <row r="57" spans="1:8">
      <c r="A57" s="17">
        <v>44774</v>
      </c>
      <c r="B57" s="16">
        <v>5090</v>
      </c>
      <c r="C57" s="16">
        <v>5230</v>
      </c>
      <c r="D57" s="16">
        <v>4650</v>
      </c>
      <c r="E57" s="16">
        <v>4650</v>
      </c>
      <c r="F57" s="16">
        <v>4650</v>
      </c>
      <c r="G57" s="16">
        <v>691400</v>
      </c>
      <c r="H57" s="16">
        <f t="shared" si="1"/>
        <v>-440</v>
      </c>
    </row>
    <row r="58" spans="1:8">
      <c r="A58" s="17">
        <v>44805</v>
      </c>
      <c r="B58" s="16">
        <v>4630</v>
      </c>
      <c r="C58" s="16">
        <v>4890</v>
      </c>
      <c r="D58" s="16">
        <v>4605</v>
      </c>
      <c r="E58" s="16">
        <v>4815</v>
      </c>
      <c r="F58" s="16">
        <v>4815</v>
      </c>
      <c r="G58" s="16">
        <v>685800</v>
      </c>
      <c r="H58" s="16">
        <f t="shared" si="1"/>
        <v>185</v>
      </c>
    </row>
    <row r="59" spans="1:8">
      <c r="A59" s="17">
        <v>44837</v>
      </c>
      <c r="B59" s="16">
        <v>4780</v>
      </c>
      <c r="C59" s="16">
        <v>4890</v>
      </c>
      <c r="D59" s="16">
        <v>4510</v>
      </c>
      <c r="E59" s="16">
        <v>4540</v>
      </c>
      <c r="F59" s="16">
        <v>4540</v>
      </c>
      <c r="G59" s="16">
        <v>505000</v>
      </c>
      <c r="H59" s="16">
        <f t="shared" si="1"/>
        <v>-240</v>
      </c>
    </row>
    <row r="60" spans="1:8">
      <c r="A60" s="17">
        <v>44866</v>
      </c>
      <c r="B60" s="16">
        <v>4575</v>
      </c>
      <c r="C60" s="16">
        <v>4920</v>
      </c>
      <c r="D60" s="16">
        <v>4490</v>
      </c>
      <c r="E60" s="16">
        <v>4850</v>
      </c>
      <c r="F60" s="16">
        <v>4850</v>
      </c>
      <c r="G60" s="16">
        <v>606100</v>
      </c>
      <c r="H60" s="16">
        <f t="shared" si="1"/>
        <v>275</v>
      </c>
    </row>
    <row r="61" spans="1:8">
      <c r="A61" s="17">
        <v>44896</v>
      </c>
      <c r="B61" s="16">
        <v>4880</v>
      </c>
      <c r="C61" s="16">
        <v>4930</v>
      </c>
      <c r="D61" s="16">
        <v>4725</v>
      </c>
      <c r="E61" s="16">
        <v>4760</v>
      </c>
      <c r="F61" s="16">
        <v>4760</v>
      </c>
      <c r="G61" s="16">
        <v>550100</v>
      </c>
      <c r="H61" s="16">
        <f t="shared" si="1"/>
        <v>-120</v>
      </c>
    </row>
  </sheetData>
  <phoneticPr fontId="32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97891-59B5-4DF2-831D-2CD97A167BF4}">
  <sheetPr codeName="Sheet7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195</v>
      </c>
      <c r="C2" s="16">
        <v>212</v>
      </c>
      <c r="D2" s="16">
        <v>190</v>
      </c>
      <c r="E2" s="16">
        <v>193</v>
      </c>
      <c r="F2" s="16">
        <v>193</v>
      </c>
      <c r="G2" s="16">
        <v>25733600</v>
      </c>
      <c r="H2" s="16">
        <f t="shared" ref="H2:H33" si="0">E2-B2</f>
        <v>-2</v>
      </c>
      <c r="J2" s="18" cm="1">
        <f t="array" ref="J2:Q6">_xlfn._xlws.FILTER(A2:H61,MONTH(A2:A61)=1,"")</f>
        <v>43104</v>
      </c>
      <c r="K2" s="16">
        <v>195</v>
      </c>
      <c r="L2" s="16">
        <v>212</v>
      </c>
      <c r="M2" s="16">
        <v>190</v>
      </c>
      <c r="N2" s="16">
        <v>193</v>
      </c>
      <c r="O2" s="16">
        <v>193</v>
      </c>
      <c r="P2" s="16">
        <v>25733600</v>
      </c>
      <c r="Q2" s="16">
        <v>-2</v>
      </c>
      <c r="R2" s="16">
        <f>Q2/K2*100</f>
        <v>-1.0256410256410255</v>
      </c>
      <c r="S2" s="16">
        <f>COUNT(Q2:Q6)</f>
        <v>5</v>
      </c>
      <c r="T2" s="18" cm="1">
        <f t="array" ref="T2:AA6">_xlfn._xlws.FILTER(A2:H61,MONTH(A2:A61)=2,"")</f>
        <v>43132</v>
      </c>
      <c r="U2" s="16">
        <v>193</v>
      </c>
      <c r="V2" s="16">
        <v>198</v>
      </c>
      <c r="W2" s="16">
        <v>172</v>
      </c>
      <c r="X2" s="16">
        <v>185</v>
      </c>
      <c r="Y2" s="16">
        <v>185</v>
      </c>
      <c r="Z2" s="16">
        <v>19755700</v>
      </c>
      <c r="AA2" s="16">
        <v>-8</v>
      </c>
      <c r="AB2" s="16">
        <f>AA2/U2*100</f>
        <v>-4.1450777202072544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186</v>
      </c>
      <c r="AF2" s="16">
        <v>188</v>
      </c>
      <c r="AG2" s="16">
        <v>163</v>
      </c>
      <c r="AH2" s="16">
        <v>175</v>
      </c>
      <c r="AI2" s="16">
        <v>175</v>
      </c>
      <c r="AJ2" s="16">
        <v>23959200</v>
      </c>
      <c r="AK2" s="16">
        <v>-11</v>
      </c>
      <c r="AL2" s="16">
        <f>AK2/AE2*100</f>
        <v>-5.913978494623656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176</v>
      </c>
      <c r="AP2" s="16">
        <v>184</v>
      </c>
      <c r="AQ2" s="16">
        <v>170</v>
      </c>
      <c r="AR2" s="16">
        <v>184</v>
      </c>
      <c r="AS2" s="16">
        <v>184</v>
      </c>
      <c r="AT2" s="16">
        <v>12168500</v>
      </c>
      <c r="AU2" s="16">
        <v>8</v>
      </c>
      <c r="AV2" s="16">
        <f>AU2/AO2*100</f>
        <v>4.5454545454545459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185</v>
      </c>
      <c r="AZ2" s="16">
        <v>186</v>
      </c>
      <c r="BA2" s="16">
        <v>180</v>
      </c>
      <c r="BB2" s="16">
        <v>183</v>
      </c>
      <c r="BC2" s="16">
        <v>183</v>
      </c>
      <c r="BD2" s="16">
        <v>8147000</v>
      </c>
      <c r="BE2" s="16">
        <v>-2</v>
      </c>
      <c r="BF2" s="16">
        <f>BE2/AY2*100</f>
        <v>-1.0810810810810811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181</v>
      </c>
      <c r="BJ2" s="16">
        <v>193</v>
      </c>
      <c r="BK2" s="16">
        <v>176</v>
      </c>
      <c r="BL2" s="16">
        <v>190</v>
      </c>
      <c r="BM2" s="16">
        <v>190</v>
      </c>
      <c r="BN2" s="16">
        <v>22039600</v>
      </c>
      <c r="BO2" s="16">
        <v>9</v>
      </c>
      <c r="BP2" s="16">
        <f>BO2/BI2*100</f>
        <v>4.972375690607735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189</v>
      </c>
      <c r="BT2" s="16">
        <v>190</v>
      </c>
      <c r="BU2" s="16">
        <v>174</v>
      </c>
      <c r="BV2" s="16">
        <v>177</v>
      </c>
      <c r="BW2" s="16">
        <v>177</v>
      </c>
      <c r="BX2" s="16">
        <v>21933600</v>
      </c>
      <c r="BY2" s="16">
        <v>-12</v>
      </c>
      <c r="BZ2" s="16">
        <f>BY2/BS2*100</f>
        <v>-6.3492063492063489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178</v>
      </c>
      <c r="CD2" s="16">
        <v>178</v>
      </c>
      <c r="CE2" s="16">
        <v>167</v>
      </c>
      <c r="CF2" s="16">
        <v>173</v>
      </c>
      <c r="CG2" s="16">
        <v>173</v>
      </c>
      <c r="CH2" s="16">
        <v>11530200</v>
      </c>
      <c r="CI2" s="16">
        <v>-5</v>
      </c>
      <c r="CJ2" s="16">
        <f>CI2/CC2*100</f>
        <v>-2.8089887640449436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173</v>
      </c>
      <c r="CN2" s="16">
        <v>181</v>
      </c>
      <c r="CO2" s="16">
        <v>166</v>
      </c>
      <c r="CP2" s="16">
        <v>177</v>
      </c>
      <c r="CQ2" s="16">
        <v>177</v>
      </c>
      <c r="CR2" s="16">
        <v>23089900</v>
      </c>
      <c r="CS2" s="16">
        <v>4</v>
      </c>
      <c r="CT2" s="16">
        <f>CS2/CM2*100</f>
        <v>2.3121387283236992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177</v>
      </c>
      <c r="CX2" s="16">
        <v>178</v>
      </c>
      <c r="CY2" s="16">
        <v>145</v>
      </c>
      <c r="CZ2" s="16">
        <v>158</v>
      </c>
      <c r="DA2" s="16">
        <v>158</v>
      </c>
      <c r="DB2" s="16">
        <v>16090100</v>
      </c>
      <c r="DC2" s="16">
        <v>-19</v>
      </c>
      <c r="DD2" s="16">
        <f>DC2/CW2*100</f>
        <v>-10.734463276836157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159</v>
      </c>
      <c r="DH2" s="16">
        <v>163</v>
      </c>
      <c r="DI2" s="16">
        <v>148</v>
      </c>
      <c r="DJ2" s="16">
        <v>160</v>
      </c>
      <c r="DK2" s="16">
        <v>160</v>
      </c>
      <c r="DL2" s="16">
        <v>11508400</v>
      </c>
      <c r="DM2" s="16">
        <v>1</v>
      </c>
      <c r="DN2" s="16">
        <f>DM2/DG2*100</f>
        <v>0.62893081761006298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161</v>
      </c>
      <c r="DR2" s="16">
        <v>162</v>
      </c>
      <c r="DS2" s="16">
        <v>128</v>
      </c>
      <c r="DT2" s="16">
        <v>142</v>
      </c>
      <c r="DU2" s="16">
        <v>142</v>
      </c>
      <c r="DV2" s="16">
        <v>14573300</v>
      </c>
      <c r="DW2" s="16">
        <v>-19</v>
      </c>
      <c r="DX2" s="16">
        <f>DW2/DQ2*100</f>
        <v>-11.801242236024844</v>
      </c>
      <c r="DY2" s="16">
        <f>COUNT(DW2:DW6)</f>
        <v>5</v>
      </c>
    </row>
    <row r="3" spans="1:129">
      <c r="A3" s="17">
        <v>43132</v>
      </c>
      <c r="B3" s="16">
        <v>193</v>
      </c>
      <c r="C3" s="16">
        <v>198</v>
      </c>
      <c r="D3" s="16">
        <v>172</v>
      </c>
      <c r="E3" s="16">
        <v>185</v>
      </c>
      <c r="F3" s="16">
        <v>185</v>
      </c>
      <c r="G3" s="16">
        <v>19755700</v>
      </c>
      <c r="H3" s="16">
        <f t="shared" si="0"/>
        <v>-8</v>
      </c>
      <c r="J3" s="18">
        <v>43469</v>
      </c>
      <c r="K3" s="16">
        <v>138</v>
      </c>
      <c r="L3" s="16">
        <v>160</v>
      </c>
      <c r="M3" s="16">
        <v>137</v>
      </c>
      <c r="N3" s="16">
        <v>157</v>
      </c>
      <c r="O3" s="16">
        <v>157</v>
      </c>
      <c r="P3" s="16">
        <v>17238100</v>
      </c>
      <c r="Q3" s="16">
        <v>19</v>
      </c>
      <c r="R3" s="16">
        <f>Q3/K3*100</f>
        <v>13.768115942028986</v>
      </c>
      <c r="S3" s="16">
        <f>COUNTIF(Q2:Q6,"&gt;0")</f>
        <v>1</v>
      </c>
      <c r="T3" s="18">
        <v>43497</v>
      </c>
      <c r="U3" s="16">
        <v>158</v>
      </c>
      <c r="V3" s="16">
        <v>165</v>
      </c>
      <c r="W3" s="16">
        <v>152</v>
      </c>
      <c r="X3" s="16">
        <v>158</v>
      </c>
      <c r="Y3" s="16">
        <v>158</v>
      </c>
      <c r="Z3" s="16">
        <v>17987800</v>
      </c>
      <c r="AA3" s="16">
        <v>0</v>
      </c>
      <c r="AB3" s="16">
        <f>AA3/U3*100</f>
        <v>0</v>
      </c>
      <c r="AC3" s="16">
        <f>COUNTIF(AA2:AA6,"&gt;0")</f>
        <v>1</v>
      </c>
      <c r="AD3" s="18">
        <v>43525</v>
      </c>
      <c r="AE3" s="16">
        <v>158</v>
      </c>
      <c r="AF3" s="16">
        <v>172</v>
      </c>
      <c r="AG3" s="16">
        <v>138</v>
      </c>
      <c r="AH3" s="16">
        <v>172</v>
      </c>
      <c r="AI3" s="16">
        <v>172</v>
      </c>
      <c r="AJ3" s="16">
        <v>33676600</v>
      </c>
      <c r="AK3" s="16">
        <v>14</v>
      </c>
      <c r="AL3" s="16">
        <f>AK3/AE3*100</f>
        <v>8.8607594936708853</v>
      </c>
      <c r="AM3" s="16">
        <f>COUNTIF(AK2:AK6,"&gt;0")</f>
        <v>4</v>
      </c>
      <c r="AN3" s="18">
        <v>43556</v>
      </c>
      <c r="AO3" s="16">
        <v>173</v>
      </c>
      <c r="AP3" s="16">
        <v>176</v>
      </c>
      <c r="AQ3" s="16">
        <v>167</v>
      </c>
      <c r="AR3" s="16">
        <v>174</v>
      </c>
      <c r="AS3" s="16">
        <v>174</v>
      </c>
      <c r="AT3" s="16">
        <v>12177000</v>
      </c>
      <c r="AU3" s="16">
        <v>1</v>
      </c>
      <c r="AV3" s="16">
        <f>AU3/AO3*100</f>
        <v>0.57803468208092479</v>
      </c>
      <c r="AW3" s="16">
        <f>COUNTIF(AU2:AU6,"&gt;0")</f>
        <v>4</v>
      </c>
      <c r="AX3" s="18">
        <v>43592</v>
      </c>
      <c r="AY3" s="16">
        <v>173</v>
      </c>
      <c r="AZ3" s="16">
        <v>177</v>
      </c>
      <c r="BA3" s="16">
        <v>166</v>
      </c>
      <c r="BB3" s="16">
        <v>173</v>
      </c>
      <c r="BC3" s="16">
        <v>173</v>
      </c>
      <c r="BD3" s="16">
        <v>9990300</v>
      </c>
      <c r="BE3" s="16">
        <v>0</v>
      </c>
      <c r="BF3" s="16">
        <f>BE3/AY3*100</f>
        <v>0</v>
      </c>
      <c r="BG3" s="16">
        <f>COUNTIF(BE2:BE6,"&gt;0")</f>
        <v>2</v>
      </c>
      <c r="BH3" s="18">
        <v>43619</v>
      </c>
      <c r="BI3" s="16">
        <v>170</v>
      </c>
      <c r="BJ3" s="16">
        <v>180</v>
      </c>
      <c r="BK3" s="16">
        <v>166</v>
      </c>
      <c r="BL3" s="16">
        <v>170</v>
      </c>
      <c r="BM3" s="16">
        <v>170</v>
      </c>
      <c r="BN3" s="16">
        <v>14800800</v>
      </c>
      <c r="BO3" s="16">
        <v>0</v>
      </c>
      <c r="BP3" s="16">
        <f>BO3/BI3*100</f>
        <v>0</v>
      </c>
      <c r="BQ3" s="16">
        <f>COUNTIF(BO2:BO6,"&gt;0")</f>
        <v>3</v>
      </c>
      <c r="BR3" s="18">
        <v>43647</v>
      </c>
      <c r="BS3" s="16">
        <v>171</v>
      </c>
      <c r="BT3" s="16">
        <v>190</v>
      </c>
      <c r="BU3" s="16">
        <v>170</v>
      </c>
      <c r="BV3" s="16">
        <v>170</v>
      </c>
      <c r="BW3" s="16">
        <v>170</v>
      </c>
      <c r="BX3" s="16">
        <v>29263500</v>
      </c>
      <c r="BY3" s="16">
        <v>-1</v>
      </c>
      <c r="BZ3" s="16">
        <f>BY3/BS3*100</f>
        <v>-0.58479532163742687</v>
      </c>
      <c r="CA3" s="16">
        <f>COUNTIF(BY2:BY6,"&gt;0")</f>
        <v>0</v>
      </c>
      <c r="CB3" s="18">
        <v>43678</v>
      </c>
      <c r="CC3" s="16">
        <v>170</v>
      </c>
      <c r="CD3" s="16">
        <v>171</v>
      </c>
      <c r="CE3" s="16">
        <v>158</v>
      </c>
      <c r="CF3" s="16">
        <v>168</v>
      </c>
      <c r="CG3" s="16">
        <v>168</v>
      </c>
      <c r="CH3" s="16">
        <v>10807200</v>
      </c>
      <c r="CI3" s="16">
        <v>-2</v>
      </c>
      <c r="CJ3" s="16">
        <f>CI3/CC3*100</f>
        <v>-1.1764705882352942</v>
      </c>
      <c r="CK3" s="16">
        <f>COUNTIF(CI2:CI6,"&gt;0")</f>
        <v>2</v>
      </c>
      <c r="CL3" s="18">
        <v>43710</v>
      </c>
      <c r="CM3" s="16">
        <v>167</v>
      </c>
      <c r="CN3" s="16">
        <v>179</v>
      </c>
      <c r="CO3" s="16">
        <v>166</v>
      </c>
      <c r="CP3" s="16">
        <v>170</v>
      </c>
      <c r="CQ3" s="16">
        <v>170</v>
      </c>
      <c r="CR3" s="16">
        <v>20315100</v>
      </c>
      <c r="CS3" s="16">
        <v>3</v>
      </c>
      <c r="CT3" s="16">
        <f>CS3/CM3*100</f>
        <v>1.7964071856287425</v>
      </c>
      <c r="CU3" s="16">
        <f>COUNTIF(CS2:CS6,"&gt;0")</f>
        <v>3</v>
      </c>
      <c r="CV3" s="18">
        <v>43739</v>
      </c>
      <c r="CW3" s="16">
        <v>169</v>
      </c>
      <c r="CX3" s="16">
        <v>170</v>
      </c>
      <c r="CY3" s="16">
        <v>159</v>
      </c>
      <c r="CZ3" s="16">
        <v>165</v>
      </c>
      <c r="DA3" s="16">
        <v>165</v>
      </c>
      <c r="DB3" s="16">
        <v>17956300</v>
      </c>
      <c r="DC3" s="16">
        <v>-4</v>
      </c>
      <c r="DD3" s="16">
        <f>DC3/CW3*100</f>
        <v>-2.3668639053254439</v>
      </c>
      <c r="DE3" s="16">
        <f>COUNTIF(DC2:DC6,"&gt;0")</f>
        <v>1</v>
      </c>
      <c r="DF3" s="18">
        <v>43770</v>
      </c>
      <c r="DG3" s="16">
        <v>164</v>
      </c>
      <c r="DH3" s="16">
        <v>172</v>
      </c>
      <c r="DI3" s="16">
        <v>162</v>
      </c>
      <c r="DJ3" s="16">
        <v>167</v>
      </c>
      <c r="DK3" s="16">
        <v>167</v>
      </c>
      <c r="DL3" s="16">
        <v>9724500</v>
      </c>
      <c r="DM3" s="16">
        <v>3</v>
      </c>
      <c r="DN3" s="16">
        <f>DM3/DG3*100</f>
        <v>1.8292682926829267</v>
      </c>
      <c r="DO3" s="16">
        <f>COUNTIF(DM2:DM6,"&gt;0")</f>
        <v>2</v>
      </c>
      <c r="DP3" s="18">
        <v>43801</v>
      </c>
      <c r="DQ3" s="16">
        <v>168</v>
      </c>
      <c r="DR3" s="16">
        <v>174</v>
      </c>
      <c r="DS3" s="16">
        <v>155</v>
      </c>
      <c r="DT3" s="16">
        <v>155</v>
      </c>
      <c r="DU3" s="16">
        <v>155</v>
      </c>
      <c r="DV3" s="16">
        <v>15941000</v>
      </c>
      <c r="DW3" s="16">
        <v>-13</v>
      </c>
      <c r="DX3" s="16">
        <f>DW3/DQ3*100</f>
        <v>-7.7380952380952381</v>
      </c>
      <c r="DY3" s="16">
        <f>COUNTIF(DW2:DW6,"&gt;0")</f>
        <v>3</v>
      </c>
    </row>
    <row r="4" spans="1:129">
      <c r="A4" s="17">
        <v>43160</v>
      </c>
      <c r="B4" s="16">
        <v>186</v>
      </c>
      <c r="C4" s="16">
        <v>188</v>
      </c>
      <c r="D4" s="16">
        <v>163</v>
      </c>
      <c r="E4" s="16">
        <v>175</v>
      </c>
      <c r="F4" s="16">
        <v>175</v>
      </c>
      <c r="G4" s="16">
        <v>23959200</v>
      </c>
      <c r="H4" s="16">
        <f t="shared" si="0"/>
        <v>-11</v>
      </c>
      <c r="J4" s="18">
        <v>43836</v>
      </c>
      <c r="K4" s="16">
        <v>154</v>
      </c>
      <c r="L4" s="16">
        <v>156</v>
      </c>
      <c r="M4" s="16">
        <v>142</v>
      </c>
      <c r="N4" s="16">
        <v>144</v>
      </c>
      <c r="O4" s="16">
        <v>144</v>
      </c>
      <c r="P4" s="16">
        <v>15181400</v>
      </c>
      <c r="Q4" s="16">
        <v>-10</v>
      </c>
      <c r="R4" s="16">
        <f>Q4/K4*100</f>
        <v>-6.4935064935064926</v>
      </c>
      <c r="S4" s="19">
        <f>S3/S2*100</f>
        <v>20</v>
      </c>
      <c r="T4" s="18">
        <v>43864</v>
      </c>
      <c r="U4" s="16">
        <v>142</v>
      </c>
      <c r="V4" s="16">
        <v>151</v>
      </c>
      <c r="W4" s="16">
        <v>120</v>
      </c>
      <c r="X4" s="16">
        <v>121</v>
      </c>
      <c r="Y4" s="16">
        <v>121</v>
      </c>
      <c r="Z4" s="16">
        <v>13222700</v>
      </c>
      <c r="AA4" s="16">
        <v>-21</v>
      </c>
      <c r="AB4" s="16">
        <f>AA4/U4*100</f>
        <v>-14.788732394366196</v>
      </c>
      <c r="AC4" s="19">
        <f>AC3/AC2*100</f>
        <v>20</v>
      </c>
      <c r="AD4" s="18">
        <v>43892</v>
      </c>
      <c r="AE4" s="16">
        <v>120</v>
      </c>
      <c r="AF4" s="16">
        <v>137</v>
      </c>
      <c r="AG4" s="16">
        <v>111</v>
      </c>
      <c r="AH4" s="16">
        <v>135</v>
      </c>
      <c r="AI4" s="16">
        <v>135</v>
      </c>
      <c r="AJ4" s="16">
        <v>30273100</v>
      </c>
      <c r="AK4" s="16">
        <v>15</v>
      </c>
      <c r="AL4" s="16">
        <f>AK4/AE4*100</f>
        <v>12.5</v>
      </c>
      <c r="AM4" s="19">
        <f>AM3/AM2*100</f>
        <v>80</v>
      </c>
      <c r="AN4" s="18">
        <v>43922</v>
      </c>
      <c r="AO4" s="16">
        <v>133</v>
      </c>
      <c r="AP4" s="16">
        <v>138</v>
      </c>
      <c r="AQ4" s="16">
        <v>117</v>
      </c>
      <c r="AR4" s="16">
        <v>130</v>
      </c>
      <c r="AS4" s="16">
        <v>130</v>
      </c>
      <c r="AT4" s="16">
        <v>19576200</v>
      </c>
      <c r="AU4" s="16">
        <v>-3</v>
      </c>
      <c r="AV4" s="16">
        <f>AU4/AO4*100</f>
        <v>-2.2556390977443606</v>
      </c>
      <c r="AW4" s="19">
        <f>AW3/AW2*100</f>
        <v>80</v>
      </c>
      <c r="AX4" s="18">
        <v>43952</v>
      </c>
      <c r="AY4" s="16">
        <v>129</v>
      </c>
      <c r="AZ4" s="16">
        <v>148</v>
      </c>
      <c r="BA4" s="16">
        <v>126</v>
      </c>
      <c r="BB4" s="16">
        <v>141</v>
      </c>
      <c r="BC4" s="16">
        <v>141</v>
      </c>
      <c r="BD4" s="16">
        <v>18578400</v>
      </c>
      <c r="BE4" s="16">
        <v>12</v>
      </c>
      <c r="BF4" s="16">
        <f>BE4/AY4*100</f>
        <v>9.3023255813953494</v>
      </c>
      <c r="BG4" s="19">
        <f>BG3/BG2*100</f>
        <v>40</v>
      </c>
      <c r="BH4" s="18">
        <v>43983</v>
      </c>
      <c r="BI4" s="16">
        <v>142</v>
      </c>
      <c r="BJ4" s="16">
        <v>148</v>
      </c>
      <c r="BK4" s="16">
        <v>133</v>
      </c>
      <c r="BL4" s="16">
        <v>139</v>
      </c>
      <c r="BM4" s="16">
        <v>139</v>
      </c>
      <c r="BN4" s="16">
        <v>17534700</v>
      </c>
      <c r="BO4" s="16">
        <v>-3</v>
      </c>
      <c r="BP4" s="16">
        <f>BO4/BI4*100</f>
        <v>-2.112676056338028</v>
      </c>
      <c r="BQ4" s="19">
        <f>BQ3/BQ2*100</f>
        <v>60</v>
      </c>
      <c r="BR4" s="18">
        <v>44013</v>
      </c>
      <c r="BS4" s="16">
        <v>138</v>
      </c>
      <c r="BT4" s="16">
        <v>144</v>
      </c>
      <c r="BU4" s="16">
        <v>121</v>
      </c>
      <c r="BV4" s="16">
        <v>121</v>
      </c>
      <c r="BW4" s="16">
        <v>121</v>
      </c>
      <c r="BX4" s="16">
        <v>29064400</v>
      </c>
      <c r="BY4" s="16">
        <v>-17</v>
      </c>
      <c r="BZ4" s="16">
        <f>BY4/BS4*100</f>
        <v>-12.318840579710146</v>
      </c>
      <c r="CA4" s="19">
        <f>CA3/CA2*100</f>
        <v>0</v>
      </c>
      <c r="CB4" s="18">
        <v>44046</v>
      </c>
      <c r="CC4" s="16">
        <v>122</v>
      </c>
      <c r="CD4" s="16">
        <v>139</v>
      </c>
      <c r="CE4" s="16">
        <v>121</v>
      </c>
      <c r="CF4" s="16">
        <v>133</v>
      </c>
      <c r="CG4" s="16">
        <v>133</v>
      </c>
      <c r="CH4" s="16">
        <v>14186800</v>
      </c>
      <c r="CI4" s="16">
        <v>11</v>
      </c>
      <c r="CJ4" s="16">
        <f>CI4/CC4*100</f>
        <v>9.0163934426229506</v>
      </c>
      <c r="CK4" s="19">
        <f>CK3/CK2*100</f>
        <v>40</v>
      </c>
      <c r="CL4" s="18">
        <v>44075</v>
      </c>
      <c r="CM4" s="16">
        <v>133</v>
      </c>
      <c r="CN4" s="16">
        <v>135</v>
      </c>
      <c r="CO4" s="16">
        <v>131</v>
      </c>
      <c r="CP4" s="16">
        <v>131</v>
      </c>
      <c r="CQ4" s="16">
        <v>131</v>
      </c>
      <c r="CR4" s="16">
        <v>10923100</v>
      </c>
      <c r="CS4" s="16">
        <v>-2</v>
      </c>
      <c r="CT4" s="16">
        <f>CS4/CM4*100</f>
        <v>-1.5037593984962405</v>
      </c>
      <c r="CU4" s="19">
        <f>CU3/CU2*100</f>
        <v>60</v>
      </c>
      <c r="CV4" s="18">
        <v>44106</v>
      </c>
      <c r="CW4" s="16">
        <v>132</v>
      </c>
      <c r="CX4" s="16">
        <v>133</v>
      </c>
      <c r="CY4" s="16">
        <v>128</v>
      </c>
      <c r="CZ4" s="16">
        <v>128</v>
      </c>
      <c r="DA4" s="16">
        <v>128</v>
      </c>
      <c r="DB4" s="16">
        <v>8188200</v>
      </c>
      <c r="DC4" s="16">
        <v>-4</v>
      </c>
      <c r="DD4" s="16">
        <f>DC4/CW4*100</f>
        <v>-3.0303030303030303</v>
      </c>
      <c r="DE4" s="19">
        <f>DE3/DE2*100</f>
        <v>20</v>
      </c>
      <c r="DF4" s="18">
        <v>44137</v>
      </c>
      <c r="DG4" s="16">
        <v>129</v>
      </c>
      <c r="DH4" s="16">
        <v>135</v>
      </c>
      <c r="DI4" s="16">
        <v>126</v>
      </c>
      <c r="DJ4" s="16">
        <v>127</v>
      </c>
      <c r="DK4" s="16">
        <v>127</v>
      </c>
      <c r="DL4" s="16">
        <v>12445100</v>
      </c>
      <c r="DM4" s="16">
        <v>-2</v>
      </c>
      <c r="DN4" s="16">
        <f>DM4/DG4*100</f>
        <v>-1.5503875968992249</v>
      </c>
      <c r="DO4" s="19">
        <f>DO3/DO2*100</f>
        <v>40</v>
      </c>
      <c r="DP4" s="18">
        <v>44166</v>
      </c>
      <c r="DQ4" s="16">
        <v>127</v>
      </c>
      <c r="DR4" s="16">
        <v>157</v>
      </c>
      <c r="DS4" s="16">
        <v>127</v>
      </c>
      <c r="DT4" s="16">
        <v>154</v>
      </c>
      <c r="DU4" s="16">
        <v>154</v>
      </c>
      <c r="DV4" s="16">
        <v>28575100</v>
      </c>
      <c r="DW4" s="16">
        <v>27</v>
      </c>
      <c r="DX4" s="16">
        <f>DW4/DQ4*100</f>
        <v>21.259842519685041</v>
      </c>
      <c r="DY4" s="19">
        <f>DY3/DY2*100</f>
        <v>60</v>
      </c>
    </row>
    <row r="5" spans="1:129">
      <c r="A5" s="17">
        <v>43192</v>
      </c>
      <c r="B5" s="16">
        <v>176</v>
      </c>
      <c r="C5" s="16">
        <v>184</v>
      </c>
      <c r="D5" s="16">
        <v>170</v>
      </c>
      <c r="E5" s="16">
        <v>184</v>
      </c>
      <c r="F5" s="16">
        <v>184</v>
      </c>
      <c r="G5" s="16">
        <v>12168500</v>
      </c>
      <c r="H5" s="16">
        <f t="shared" si="0"/>
        <v>8</v>
      </c>
      <c r="J5" s="18">
        <v>44200</v>
      </c>
      <c r="K5" s="16">
        <v>154</v>
      </c>
      <c r="L5" s="16">
        <v>154</v>
      </c>
      <c r="M5" s="16">
        <v>136</v>
      </c>
      <c r="N5" s="16">
        <v>141</v>
      </c>
      <c r="O5" s="16">
        <v>141</v>
      </c>
      <c r="P5" s="16">
        <v>12035200</v>
      </c>
      <c r="Q5" s="16">
        <v>-13</v>
      </c>
      <c r="R5" s="16">
        <f>Q5/K5*100</f>
        <v>-8.4415584415584419</v>
      </c>
      <c r="S5" s="16">
        <f>AVERAGE(R2:R6)</f>
        <v>-1.152803718021109</v>
      </c>
      <c r="T5" s="18">
        <v>44228</v>
      </c>
      <c r="U5" s="16">
        <v>140</v>
      </c>
      <c r="V5" s="16">
        <v>147</v>
      </c>
      <c r="W5" s="16">
        <v>138</v>
      </c>
      <c r="X5" s="16">
        <v>139</v>
      </c>
      <c r="Y5" s="16">
        <v>139</v>
      </c>
      <c r="Z5" s="16">
        <v>10305400</v>
      </c>
      <c r="AA5" s="16">
        <v>-1</v>
      </c>
      <c r="AB5" s="16">
        <f>AA5/U5*100</f>
        <v>-0.7142857142857143</v>
      </c>
      <c r="AC5" s="16">
        <f>AVERAGE(AB2:AB6)</f>
        <v>-3.1888784250310929</v>
      </c>
      <c r="AD5" s="18">
        <v>44256</v>
      </c>
      <c r="AE5" s="16">
        <v>142</v>
      </c>
      <c r="AF5" s="16">
        <v>174</v>
      </c>
      <c r="AG5" s="16">
        <v>140</v>
      </c>
      <c r="AH5" s="16">
        <v>153</v>
      </c>
      <c r="AI5" s="16">
        <v>153</v>
      </c>
      <c r="AJ5" s="16">
        <v>33206600</v>
      </c>
      <c r="AK5" s="16">
        <v>11</v>
      </c>
      <c r="AL5" s="16">
        <f>AK5/AE5*100</f>
        <v>7.7464788732394361</v>
      </c>
      <c r="AM5" s="16">
        <f>AVERAGE(AL2:AL6)</f>
        <v>6.4826236056630062</v>
      </c>
      <c r="AN5" s="18">
        <v>44287</v>
      </c>
      <c r="AO5" s="16">
        <v>154</v>
      </c>
      <c r="AP5" s="16">
        <v>164</v>
      </c>
      <c r="AQ5" s="16">
        <v>153</v>
      </c>
      <c r="AR5" s="16">
        <v>156</v>
      </c>
      <c r="AS5" s="16">
        <v>156</v>
      </c>
      <c r="AT5" s="16">
        <v>15051500</v>
      </c>
      <c r="AU5" s="16">
        <v>2</v>
      </c>
      <c r="AV5" s="16">
        <f>AU5/AO5*100</f>
        <v>1.2987012987012987</v>
      </c>
      <c r="AW5" s="16">
        <f>AVERAGE(AV2:AV6)</f>
        <v>1.0964681804353238</v>
      </c>
      <c r="AX5" s="18">
        <v>44322</v>
      </c>
      <c r="AY5" s="16">
        <v>158</v>
      </c>
      <c r="AZ5" s="16">
        <v>161</v>
      </c>
      <c r="BA5" s="16">
        <v>148</v>
      </c>
      <c r="BB5" s="16">
        <v>152</v>
      </c>
      <c r="BC5" s="16">
        <v>152</v>
      </c>
      <c r="BD5" s="16">
        <v>10275200</v>
      </c>
      <c r="BE5" s="16">
        <v>-6</v>
      </c>
      <c r="BF5" s="16">
        <f>BE5/AY5*100</f>
        <v>-3.79746835443038</v>
      </c>
      <c r="BG5" s="16">
        <f>AVERAGE(BF2:BF6)</f>
        <v>1.6589487775638745</v>
      </c>
      <c r="BH5" s="18">
        <v>44348</v>
      </c>
      <c r="BI5" s="16">
        <v>152</v>
      </c>
      <c r="BJ5" s="16">
        <v>169</v>
      </c>
      <c r="BK5" s="16">
        <v>150</v>
      </c>
      <c r="BL5" s="16">
        <v>169</v>
      </c>
      <c r="BM5" s="16">
        <v>169</v>
      </c>
      <c r="BN5" s="16">
        <v>20237700</v>
      </c>
      <c r="BO5" s="16">
        <v>17</v>
      </c>
      <c r="BP5" s="16">
        <f>BO5/BI5*100</f>
        <v>11.184210526315789</v>
      </c>
      <c r="BQ5" s="16">
        <f>AVERAGE(BP2:BP6)</f>
        <v>3.9267944544773479</v>
      </c>
      <c r="BR5" s="18">
        <v>44378</v>
      </c>
      <c r="BS5" s="16">
        <v>168</v>
      </c>
      <c r="BT5" s="16">
        <v>170</v>
      </c>
      <c r="BU5" s="16">
        <v>151</v>
      </c>
      <c r="BV5" s="16">
        <v>155</v>
      </c>
      <c r="BW5" s="16">
        <v>155</v>
      </c>
      <c r="BX5" s="16">
        <v>37609500</v>
      </c>
      <c r="BY5" s="16">
        <v>-13</v>
      </c>
      <c r="BZ5" s="16">
        <f>BY5/BS5*100</f>
        <v>-7.7380952380952381</v>
      </c>
      <c r="CA5" s="16">
        <f>AVERAGE(BZ2:BZ6)</f>
        <v>-5.5158345565533615</v>
      </c>
      <c r="CB5" s="18">
        <v>44410</v>
      </c>
      <c r="CC5" s="16">
        <v>156</v>
      </c>
      <c r="CD5" s="16">
        <v>170</v>
      </c>
      <c r="CE5" s="16">
        <v>153</v>
      </c>
      <c r="CF5" s="16">
        <v>167</v>
      </c>
      <c r="CG5" s="16">
        <v>167</v>
      </c>
      <c r="CH5" s="16">
        <v>22022200</v>
      </c>
      <c r="CI5" s="16">
        <v>11</v>
      </c>
      <c r="CJ5" s="16">
        <f>CI5/CC5*100</f>
        <v>7.0512820512820511</v>
      </c>
      <c r="CK5" s="16">
        <f>AVERAGE(CJ2:CJ6)</f>
        <v>1.4696976661947754</v>
      </c>
      <c r="CL5" s="18">
        <v>44440</v>
      </c>
      <c r="CM5" s="16">
        <v>168</v>
      </c>
      <c r="CN5" s="16">
        <v>186</v>
      </c>
      <c r="CO5" s="16">
        <v>156</v>
      </c>
      <c r="CP5" s="16">
        <v>159</v>
      </c>
      <c r="CQ5" s="16">
        <v>159</v>
      </c>
      <c r="CR5" s="16">
        <v>54128900</v>
      </c>
      <c r="CS5" s="16">
        <v>-9</v>
      </c>
      <c r="CT5" s="16">
        <f>CS5/CM5*100</f>
        <v>-5.3571428571428568</v>
      </c>
      <c r="CU5" s="16">
        <f>AVERAGE(CT2:CT6)</f>
        <v>4.7325475995871971</v>
      </c>
      <c r="CV5" s="18">
        <v>44470</v>
      </c>
      <c r="CW5" s="16">
        <v>159</v>
      </c>
      <c r="CX5" s="16">
        <v>161</v>
      </c>
      <c r="CY5" s="16">
        <v>141</v>
      </c>
      <c r="CZ5" s="16">
        <v>144</v>
      </c>
      <c r="DA5" s="16">
        <v>144</v>
      </c>
      <c r="DB5" s="16">
        <v>47588600</v>
      </c>
      <c r="DC5" s="16">
        <v>-15</v>
      </c>
      <c r="DD5" s="16">
        <f>DC5/CW5*100</f>
        <v>-9.433962264150944</v>
      </c>
      <c r="DE5" s="16">
        <f>AVERAGE(DD2:DD6)</f>
        <v>0.68688150467688369</v>
      </c>
      <c r="DF5" s="18">
        <v>44501</v>
      </c>
      <c r="DG5" s="16">
        <v>147</v>
      </c>
      <c r="DH5" s="16">
        <v>149</v>
      </c>
      <c r="DI5" s="16">
        <v>133</v>
      </c>
      <c r="DJ5" s="16">
        <v>136</v>
      </c>
      <c r="DK5" s="16">
        <v>136</v>
      </c>
      <c r="DL5" s="16">
        <v>30858000</v>
      </c>
      <c r="DM5" s="16">
        <v>-11</v>
      </c>
      <c r="DN5" s="16">
        <f>DM5/DG5*100</f>
        <v>-7.4829931972789119</v>
      </c>
      <c r="DO5" s="16">
        <f>AVERAGE(DN2:DN6)</f>
        <v>-2.2452688949165642</v>
      </c>
      <c r="DP5" s="18">
        <v>44531</v>
      </c>
      <c r="DQ5" s="16">
        <v>136</v>
      </c>
      <c r="DR5" s="16">
        <v>142</v>
      </c>
      <c r="DS5" s="16">
        <v>132</v>
      </c>
      <c r="DT5" s="16">
        <v>138</v>
      </c>
      <c r="DU5" s="16">
        <v>138</v>
      </c>
      <c r="DV5" s="16">
        <v>32846000</v>
      </c>
      <c r="DW5" s="16">
        <v>2</v>
      </c>
      <c r="DX5" s="16">
        <f>DW5/DQ5*100</f>
        <v>1.4705882352941175</v>
      </c>
      <c r="DY5" s="16">
        <f>AVERAGE(DX2:DX6)</f>
        <v>5.8414706886921408</v>
      </c>
    </row>
    <row r="6" spans="1:129">
      <c r="A6" s="17">
        <v>43221</v>
      </c>
      <c r="B6" s="16">
        <v>185</v>
      </c>
      <c r="C6" s="16">
        <v>186</v>
      </c>
      <c r="D6" s="16">
        <v>180</v>
      </c>
      <c r="E6" s="16">
        <v>183</v>
      </c>
      <c r="F6" s="16">
        <v>183</v>
      </c>
      <c r="G6" s="16">
        <v>8147000</v>
      </c>
      <c r="H6" s="16">
        <f t="shared" si="0"/>
        <v>-2</v>
      </c>
      <c r="J6" s="18">
        <v>44565</v>
      </c>
      <c r="K6" s="16">
        <v>140</v>
      </c>
      <c r="L6" s="16">
        <v>141</v>
      </c>
      <c r="M6" s="16">
        <v>130</v>
      </c>
      <c r="N6" s="16">
        <v>135</v>
      </c>
      <c r="O6" s="16">
        <v>135</v>
      </c>
      <c r="P6" s="16">
        <v>38492800</v>
      </c>
      <c r="Q6" s="16">
        <v>-5</v>
      </c>
      <c r="R6" s="16">
        <f>Q6/K6*100</f>
        <v>-3.5714285714285712</v>
      </c>
      <c r="S6" s="16">
        <f>MEDIAN(R2:R6)</f>
        <v>-3.5714285714285712</v>
      </c>
      <c r="T6" s="18">
        <v>44593</v>
      </c>
      <c r="U6" s="16">
        <v>135</v>
      </c>
      <c r="V6" s="16">
        <v>142</v>
      </c>
      <c r="W6" s="16">
        <v>132</v>
      </c>
      <c r="X6" s="16">
        <v>140</v>
      </c>
      <c r="Y6" s="16">
        <v>140</v>
      </c>
      <c r="Z6" s="16">
        <v>23452100</v>
      </c>
      <c r="AA6" s="16">
        <v>5</v>
      </c>
      <c r="AB6" s="16">
        <f>AA6/U6*100</f>
        <v>3.7037037037037033</v>
      </c>
      <c r="AC6" s="16">
        <f>MEDIAN(AB2:AB6)</f>
        <v>-0.7142857142857143</v>
      </c>
      <c r="AD6" s="18">
        <v>44621</v>
      </c>
      <c r="AE6" s="16">
        <v>141</v>
      </c>
      <c r="AF6" s="16">
        <v>162</v>
      </c>
      <c r="AG6" s="16">
        <v>136</v>
      </c>
      <c r="AH6" s="16">
        <v>154</v>
      </c>
      <c r="AI6" s="16">
        <v>154</v>
      </c>
      <c r="AJ6" s="16">
        <v>47289500</v>
      </c>
      <c r="AK6" s="16">
        <v>13</v>
      </c>
      <c r="AL6" s="16">
        <f>AK6/AE6*100</f>
        <v>9.2198581560283674</v>
      </c>
      <c r="AM6" s="16">
        <f>MEDIAN(AL2:AL6)</f>
        <v>8.8607594936708853</v>
      </c>
      <c r="AN6" s="18">
        <v>44652</v>
      </c>
      <c r="AO6" s="16">
        <v>152</v>
      </c>
      <c r="AP6" s="16">
        <v>155</v>
      </c>
      <c r="AQ6" s="16">
        <v>148</v>
      </c>
      <c r="AR6" s="16">
        <v>154</v>
      </c>
      <c r="AS6" s="16">
        <v>154</v>
      </c>
      <c r="AT6" s="16">
        <v>16534400</v>
      </c>
      <c r="AU6" s="16">
        <v>2</v>
      </c>
      <c r="AV6" s="16">
        <f>AU6/AO6*100</f>
        <v>1.3157894736842104</v>
      </c>
      <c r="AW6" s="16">
        <f>MEDIAN(AV2:AV6)</f>
        <v>1.2987012987012987</v>
      </c>
      <c r="AX6" s="18">
        <v>44683</v>
      </c>
      <c r="AY6" s="16">
        <v>155</v>
      </c>
      <c r="AZ6" s="16">
        <v>166</v>
      </c>
      <c r="BA6" s="16">
        <v>153</v>
      </c>
      <c r="BB6" s="16">
        <v>161</v>
      </c>
      <c r="BC6" s="16">
        <v>161</v>
      </c>
      <c r="BD6" s="16">
        <v>17898600</v>
      </c>
      <c r="BE6" s="16">
        <v>6</v>
      </c>
      <c r="BF6" s="16">
        <f>BE6/AY6*100</f>
        <v>3.870967741935484</v>
      </c>
      <c r="BG6" s="16">
        <f>MEDIAN(BF2:BF6)</f>
        <v>0</v>
      </c>
      <c r="BH6" s="18">
        <v>44713</v>
      </c>
      <c r="BI6" s="16">
        <v>161</v>
      </c>
      <c r="BJ6" s="16">
        <v>180</v>
      </c>
      <c r="BK6" s="16">
        <v>160</v>
      </c>
      <c r="BL6" s="16">
        <v>170</v>
      </c>
      <c r="BM6" s="16">
        <v>170</v>
      </c>
      <c r="BN6" s="16">
        <v>39865100</v>
      </c>
      <c r="BO6" s="16">
        <v>9</v>
      </c>
      <c r="BP6" s="16">
        <f>BO6/BI6*100</f>
        <v>5.5900621118012426</v>
      </c>
      <c r="BQ6" s="16">
        <f>MEDIAN(BP2:BP6)</f>
        <v>4.972375690607735</v>
      </c>
      <c r="BR6" s="18">
        <v>44743</v>
      </c>
      <c r="BS6" s="16">
        <v>170</v>
      </c>
      <c r="BT6" s="16">
        <v>175</v>
      </c>
      <c r="BU6" s="16">
        <v>161</v>
      </c>
      <c r="BV6" s="16">
        <v>169</v>
      </c>
      <c r="BW6" s="16">
        <v>169</v>
      </c>
      <c r="BX6" s="16">
        <v>39996500</v>
      </c>
      <c r="BY6" s="16">
        <v>-1</v>
      </c>
      <c r="BZ6" s="16">
        <f>BY6/BS6*100</f>
        <v>-0.58823529411764708</v>
      </c>
      <c r="CA6" s="16">
        <f>MEDIAN(BZ2:BZ6)</f>
        <v>-6.3492063492063489</v>
      </c>
      <c r="CB6" s="18">
        <v>44774</v>
      </c>
      <c r="CC6" s="16">
        <v>169</v>
      </c>
      <c r="CD6" s="16">
        <v>170</v>
      </c>
      <c r="CE6" s="16">
        <v>158</v>
      </c>
      <c r="CF6" s="16">
        <v>161</v>
      </c>
      <c r="CG6" s="16">
        <v>161</v>
      </c>
      <c r="CH6" s="16">
        <v>19156200</v>
      </c>
      <c r="CI6" s="16">
        <v>-8</v>
      </c>
      <c r="CJ6" s="16">
        <f>CI6/CC6*100</f>
        <v>-4.7337278106508878</v>
      </c>
      <c r="CK6" s="16">
        <f>MEDIAN(CJ2:CJ6)</f>
        <v>-1.1764705882352942</v>
      </c>
      <c r="CL6" s="18">
        <v>44805</v>
      </c>
      <c r="CM6" s="16">
        <v>159</v>
      </c>
      <c r="CN6" s="16">
        <v>206</v>
      </c>
      <c r="CO6" s="16">
        <v>158</v>
      </c>
      <c r="CP6" s="16">
        <v>201</v>
      </c>
      <c r="CQ6" s="16">
        <v>201</v>
      </c>
      <c r="CR6" s="16">
        <v>76940300</v>
      </c>
      <c r="CS6" s="16">
        <v>42</v>
      </c>
      <c r="CT6" s="16">
        <f>CS6/CM6*100</f>
        <v>26.415094339622641</v>
      </c>
      <c r="CU6" s="16">
        <f>MEDIAN(CT2:CT6)</f>
        <v>1.7964071856287425</v>
      </c>
      <c r="CV6" s="18">
        <v>44837</v>
      </c>
      <c r="CW6" s="16">
        <v>200</v>
      </c>
      <c r="CX6" s="16">
        <v>266</v>
      </c>
      <c r="CY6" s="16">
        <v>193</v>
      </c>
      <c r="CZ6" s="16">
        <v>258</v>
      </c>
      <c r="DA6" s="16">
        <v>258</v>
      </c>
      <c r="DB6" s="16">
        <v>95313500</v>
      </c>
      <c r="DC6" s="16">
        <v>58</v>
      </c>
      <c r="DD6" s="16">
        <f>DC6/CW6*100</f>
        <v>28.999999999999996</v>
      </c>
      <c r="DE6" s="16">
        <f>MEDIAN(DD2:DD6)</f>
        <v>-3.0303030303030303</v>
      </c>
      <c r="DF6" s="18">
        <v>44866</v>
      </c>
      <c r="DG6" s="16">
        <v>258</v>
      </c>
      <c r="DH6" s="16">
        <v>262</v>
      </c>
      <c r="DI6" s="16">
        <v>237</v>
      </c>
      <c r="DJ6" s="16">
        <v>246</v>
      </c>
      <c r="DK6" s="16">
        <v>246</v>
      </c>
      <c r="DL6" s="16">
        <v>45113300</v>
      </c>
      <c r="DM6" s="16">
        <v>-12</v>
      </c>
      <c r="DN6" s="16">
        <f>DM6/DG6*100</f>
        <v>-4.6511627906976747</v>
      </c>
      <c r="DO6" s="16">
        <f>MEDIAN(DN2:DN6)</f>
        <v>-1.5503875968992249</v>
      </c>
      <c r="DP6" s="18">
        <v>44896</v>
      </c>
      <c r="DQ6" s="16">
        <v>246</v>
      </c>
      <c r="DR6" s="16">
        <v>321</v>
      </c>
      <c r="DS6" s="16">
        <v>227</v>
      </c>
      <c r="DT6" s="16">
        <v>310</v>
      </c>
      <c r="DU6" s="16">
        <v>310</v>
      </c>
      <c r="DV6" s="16">
        <v>136708600</v>
      </c>
      <c r="DW6" s="16">
        <v>64</v>
      </c>
      <c r="DX6" s="16">
        <f>DW6/DQ6*100</f>
        <v>26.016260162601629</v>
      </c>
      <c r="DY6" s="16">
        <f>MEDIAN(DX2:DX6)</f>
        <v>1.4705882352941175</v>
      </c>
    </row>
    <row r="7" spans="1:129">
      <c r="A7" s="17">
        <v>43252</v>
      </c>
      <c r="B7" s="16">
        <v>181</v>
      </c>
      <c r="C7" s="16">
        <v>193</v>
      </c>
      <c r="D7" s="16">
        <v>176</v>
      </c>
      <c r="E7" s="16">
        <v>190</v>
      </c>
      <c r="F7" s="16">
        <v>190</v>
      </c>
      <c r="G7" s="16">
        <v>22039600</v>
      </c>
      <c r="H7" s="16">
        <f t="shared" si="0"/>
        <v>9</v>
      </c>
    </row>
    <row r="8" spans="1:129">
      <c r="A8" s="17">
        <v>43283</v>
      </c>
      <c r="B8" s="16">
        <v>189</v>
      </c>
      <c r="C8" s="16">
        <v>190</v>
      </c>
      <c r="D8" s="16">
        <v>174</v>
      </c>
      <c r="E8" s="16">
        <v>177</v>
      </c>
      <c r="F8" s="16">
        <v>177</v>
      </c>
      <c r="G8" s="16">
        <v>21933600</v>
      </c>
      <c r="H8" s="16">
        <f t="shared" si="0"/>
        <v>-12</v>
      </c>
    </row>
    <row r="9" spans="1:129">
      <c r="A9" s="17">
        <v>43313</v>
      </c>
      <c r="B9" s="16">
        <v>178</v>
      </c>
      <c r="C9" s="16">
        <v>178</v>
      </c>
      <c r="D9" s="16">
        <v>167</v>
      </c>
      <c r="E9" s="16">
        <v>173</v>
      </c>
      <c r="F9" s="16">
        <v>173</v>
      </c>
      <c r="G9" s="16">
        <v>11530200</v>
      </c>
      <c r="H9" s="16">
        <f t="shared" si="0"/>
        <v>-5</v>
      </c>
    </row>
    <row r="10" spans="1:129">
      <c r="A10" s="17">
        <v>43346</v>
      </c>
      <c r="B10" s="16">
        <v>173</v>
      </c>
      <c r="C10" s="16">
        <v>181</v>
      </c>
      <c r="D10" s="16">
        <v>166</v>
      </c>
      <c r="E10" s="16">
        <v>177</v>
      </c>
      <c r="F10" s="16">
        <v>177</v>
      </c>
      <c r="G10" s="16">
        <v>23089900</v>
      </c>
      <c r="H10" s="16">
        <f t="shared" si="0"/>
        <v>4</v>
      </c>
    </row>
    <row r="11" spans="1:129">
      <c r="A11" s="17">
        <v>43374</v>
      </c>
      <c r="B11" s="16">
        <v>177</v>
      </c>
      <c r="C11" s="16">
        <v>178</v>
      </c>
      <c r="D11" s="16">
        <v>145</v>
      </c>
      <c r="E11" s="16">
        <v>158</v>
      </c>
      <c r="F11" s="16">
        <v>158</v>
      </c>
      <c r="G11" s="16">
        <v>16090100</v>
      </c>
      <c r="H11" s="16">
        <f t="shared" si="0"/>
        <v>-19</v>
      </c>
    </row>
    <row r="12" spans="1:129">
      <c r="A12" s="17">
        <v>43405</v>
      </c>
      <c r="B12" s="16">
        <v>159</v>
      </c>
      <c r="C12" s="16">
        <v>163</v>
      </c>
      <c r="D12" s="16">
        <v>148</v>
      </c>
      <c r="E12" s="16">
        <v>160</v>
      </c>
      <c r="F12" s="16">
        <v>160</v>
      </c>
      <c r="G12" s="16">
        <v>11508400</v>
      </c>
      <c r="H12" s="16">
        <f t="shared" si="0"/>
        <v>1</v>
      </c>
    </row>
    <row r="13" spans="1:129">
      <c r="A13" s="17">
        <v>43437</v>
      </c>
      <c r="B13" s="16">
        <v>161</v>
      </c>
      <c r="C13" s="16">
        <v>162</v>
      </c>
      <c r="D13" s="16">
        <v>128</v>
      </c>
      <c r="E13" s="16">
        <v>142</v>
      </c>
      <c r="F13" s="16">
        <v>142</v>
      </c>
      <c r="G13" s="16">
        <v>14573300</v>
      </c>
      <c r="H13" s="16">
        <f t="shared" si="0"/>
        <v>-19</v>
      </c>
    </row>
    <row r="14" spans="1:129">
      <c r="A14" s="17">
        <v>43469</v>
      </c>
      <c r="B14" s="16">
        <v>138</v>
      </c>
      <c r="C14" s="16">
        <v>160</v>
      </c>
      <c r="D14" s="16">
        <v>137</v>
      </c>
      <c r="E14" s="16">
        <v>157</v>
      </c>
      <c r="F14" s="16">
        <v>157</v>
      </c>
      <c r="G14" s="16">
        <v>17238100</v>
      </c>
      <c r="H14" s="16">
        <f t="shared" si="0"/>
        <v>19</v>
      </c>
    </row>
    <row r="15" spans="1:129">
      <c r="A15" s="17">
        <v>43497</v>
      </c>
      <c r="B15" s="16">
        <v>158</v>
      </c>
      <c r="C15" s="16">
        <v>165</v>
      </c>
      <c r="D15" s="16">
        <v>152</v>
      </c>
      <c r="E15" s="16">
        <v>158</v>
      </c>
      <c r="F15" s="16">
        <v>158</v>
      </c>
      <c r="G15" s="16">
        <v>17987800</v>
      </c>
      <c r="H15" s="16">
        <f t="shared" si="0"/>
        <v>0</v>
      </c>
    </row>
    <row r="16" spans="1:129">
      <c r="A16" s="17">
        <v>43525</v>
      </c>
      <c r="B16" s="16">
        <v>158</v>
      </c>
      <c r="C16" s="16">
        <v>172</v>
      </c>
      <c r="D16" s="16">
        <v>138</v>
      </c>
      <c r="E16" s="16">
        <v>172</v>
      </c>
      <c r="F16" s="16">
        <v>172</v>
      </c>
      <c r="G16" s="16">
        <v>33676600</v>
      </c>
      <c r="H16" s="16">
        <f t="shared" si="0"/>
        <v>14</v>
      </c>
    </row>
    <row r="17" spans="1:8">
      <c r="A17" s="17">
        <v>43556</v>
      </c>
      <c r="B17" s="16">
        <v>173</v>
      </c>
      <c r="C17" s="16">
        <v>176</v>
      </c>
      <c r="D17" s="16">
        <v>167</v>
      </c>
      <c r="E17" s="16">
        <v>174</v>
      </c>
      <c r="F17" s="16">
        <v>174</v>
      </c>
      <c r="G17" s="16">
        <v>12177000</v>
      </c>
      <c r="H17" s="16">
        <f t="shared" si="0"/>
        <v>1</v>
      </c>
    </row>
    <row r="18" spans="1:8">
      <c r="A18" s="17">
        <v>43592</v>
      </c>
      <c r="B18" s="16">
        <v>173</v>
      </c>
      <c r="C18" s="16">
        <v>177</v>
      </c>
      <c r="D18" s="16">
        <v>166</v>
      </c>
      <c r="E18" s="16">
        <v>173</v>
      </c>
      <c r="F18" s="16">
        <v>173</v>
      </c>
      <c r="G18" s="16">
        <v>9990300</v>
      </c>
      <c r="H18" s="16">
        <f t="shared" si="0"/>
        <v>0</v>
      </c>
    </row>
    <row r="19" spans="1:8">
      <c r="A19" s="17">
        <v>43619</v>
      </c>
      <c r="B19" s="16">
        <v>170</v>
      </c>
      <c r="C19" s="16">
        <v>180</v>
      </c>
      <c r="D19" s="16">
        <v>166</v>
      </c>
      <c r="E19" s="16">
        <v>170</v>
      </c>
      <c r="F19" s="16">
        <v>170</v>
      </c>
      <c r="G19" s="16">
        <v>14800800</v>
      </c>
      <c r="H19" s="16">
        <f t="shared" si="0"/>
        <v>0</v>
      </c>
    </row>
    <row r="20" spans="1:8">
      <c r="A20" s="17">
        <v>43647</v>
      </c>
      <c r="B20" s="16">
        <v>171</v>
      </c>
      <c r="C20" s="16">
        <v>190</v>
      </c>
      <c r="D20" s="16">
        <v>170</v>
      </c>
      <c r="E20" s="16">
        <v>170</v>
      </c>
      <c r="F20" s="16">
        <v>170</v>
      </c>
      <c r="G20" s="16">
        <v>29263500</v>
      </c>
      <c r="H20" s="16">
        <f t="shared" si="0"/>
        <v>-1</v>
      </c>
    </row>
    <row r="21" spans="1:8">
      <c r="A21" s="17">
        <v>43678</v>
      </c>
      <c r="B21" s="16">
        <v>170</v>
      </c>
      <c r="C21" s="16">
        <v>171</v>
      </c>
      <c r="D21" s="16">
        <v>158</v>
      </c>
      <c r="E21" s="16">
        <v>168</v>
      </c>
      <c r="F21" s="16">
        <v>168</v>
      </c>
      <c r="G21" s="16">
        <v>10807200</v>
      </c>
      <c r="H21" s="16">
        <f t="shared" si="0"/>
        <v>-2</v>
      </c>
    </row>
    <row r="22" spans="1:8">
      <c r="A22" s="17">
        <v>43710</v>
      </c>
      <c r="B22" s="16">
        <v>167</v>
      </c>
      <c r="C22" s="16">
        <v>179</v>
      </c>
      <c r="D22" s="16">
        <v>166</v>
      </c>
      <c r="E22" s="16">
        <v>170</v>
      </c>
      <c r="F22" s="16">
        <v>170</v>
      </c>
      <c r="G22" s="16">
        <v>20315100</v>
      </c>
      <c r="H22" s="16">
        <f t="shared" si="0"/>
        <v>3</v>
      </c>
    </row>
    <row r="23" spans="1:8">
      <c r="A23" s="17">
        <v>43739</v>
      </c>
      <c r="B23" s="16">
        <v>169</v>
      </c>
      <c r="C23" s="16">
        <v>170</v>
      </c>
      <c r="D23" s="16">
        <v>159</v>
      </c>
      <c r="E23" s="16">
        <v>165</v>
      </c>
      <c r="F23" s="16">
        <v>165</v>
      </c>
      <c r="G23" s="16">
        <v>17956300</v>
      </c>
      <c r="H23" s="16">
        <f t="shared" si="0"/>
        <v>-4</v>
      </c>
    </row>
    <row r="24" spans="1:8">
      <c r="A24" s="17">
        <v>43770</v>
      </c>
      <c r="B24" s="16">
        <v>164</v>
      </c>
      <c r="C24" s="16">
        <v>172</v>
      </c>
      <c r="D24" s="16">
        <v>162</v>
      </c>
      <c r="E24" s="16">
        <v>167</v>
      </c>
      <c r="F24" s="16">
        <v>167</v>
      </c>
      <c r="G24" s="16">
        <v>9724500</v>
      </c>
      <c r="H24" s="16">
        <f t="shared" si="0"/>
        <v>3</v>
      </c>
    </row>
    <row r="25" spans="1:8">
      <c r="A25" s="17">
        <v>43801</v>
      </c>
      <c r="B25" s="16">
        <v>168</v>
      </c>
      <c r="C25" s="16">
        <v>174</v>
      </c>
      <c r="D25" s="16">
        <v>155</v>
      </c>
      <c r="E25" s="16">
        <v>155</v>
      </c>
      <c r="F25" s="16">
        <v>155</v>
      </c>
      <c r="G25" s="16">
        <v>15941000</v>
      </c>
      <c r="H25" s="16">
        <f t="shared" si="0"/>
        <v>-13</v>
      </c>
    </row>
    <row r="26" spans="1:8">
      <c r="A26" s="17">
        <v>43836</v>
      </c>
      <c r="B26" s="16">
        <v>154</v>
      </c>
      <c r="C26" s="16">
        <v>156</v>
      </c>
      <c r="D26" s="16">
        <v>142</v>
      </c>
      <c r="E26" s="16">
        <v>144</v>
      </c>
      <c r="F26" s="16">
        <v>144</v>
      </c>
      <c r="G26" s="16">
        <v>15181400</v>
      </c>
      <c r="H26" s="16">
        <f t="shared" si="0"/>
        <v>-10</v>
      </c>
    </row>
    <row r="27" spans="1:8">
      <c r="A27" s="17">
        <v>43864</v>
      </c>
      <c r="B27" s="16">
        <v>142</v>
      </c>
      <c r="C27" s="16">
        <v>151</v>
      </c>
      <c r="D27" s="16">
        <v>120</v>
      </c>
      <c r="E27" s="16">
        <v>121</v>
      </c>
      <c r="F27" s="16">
        <v>121</v>
      </c>
      <c r="G27" s="16">
        <v>13222700</v>
      </c>
      <c r="H27" s="16">
        <f t="shared" si="0"/>
        <v>-21</v>
      </c>
    </row>
    <row r="28" spans="1:8">
      <c r="A28" s="17">
        <v>43892</v>
      </c>
      <c r="B28" s="16">
        <v>120</v>
      </c>
      <c r="C28" s="16">
        <v>137</v>
      </c>
      <c r="D28" s="16">
        <v>111</v>
      </c>
      <c r="E28" s="16">
        <v>135</v>
      </c>
      <c r="F28" s="16">
        <v>135</v>
      </c>
      <c r="G28" s="16">
        <v>30273100</v>
      </c>
      <c r="H28" s="16">
        <f t="shared" si="0"/>
        <v>15</v>
      </c>
    </row>
    <row r="29" spans="1:8">
      <c r="A29" s="17">
        <v>43922</v>
      </c>
      <c r="B29" s="16">
        <v>133</v>
      </c>
      <c r="C29" s="16">
        <v>138</v>
      </c>
      <c r="D29" s="16">
        <v>117</v>
      </c>
      <c r="E29" s="16">
        <v>130</v>
      </c>
      <c r="F29" s="16">
        <v>130</v>
      </c>
      <c r="G29" s="16">
        <v>19576200</v>
      </c>
      <c r="H29" s="16">
        <f t="shared" si="0"/>
        <v>-3</v>
      </c>
    </row>
    <row r="30" spans="1:8">
      <c r="A30" s="17">
        <v>43952</v>
      </c>
      <c r="B30" s="16">
        <v>129</v>
      </c>
      <c r="C30" s="16">
        <v>148</v>
      </c>
      <c r="D30" s="16">
        <v>126</v>
      </c>
      <c r="E30" s="16">
        <v>141</v>
      </c>
      <c r="F30" s="16">
        <v>141</v>
      </c>
      <c r="G30" s="16">
        <v>18578400</v>
      </c>
      <c r="H30" s="16">
        <f t="shared" si="0"/>
        <v>12</v>
      </c>
    </row>
    <row r="31" spans="1:8">
      <c r="A31" s="17">
        <v>43983</v>
      </c>
      <c r="B31" s="16">
        <v>142</v>
      </c>
      <c r="C31" s="16">
        <v>148</v>
      </c>
      <c r="D31" s="16">
        <v>133</v>
      </c>
      <c r="E31" s="16">
        <v>139</v>
      </c>
      <c r="F31" s="16">
        <v>139</v>
      </c>
      <c r="G31" s="16">
        <v>17534700</v>
      </c>
      <c r="H31" s="16">
        <f t="shared" si="0"/>
        <v>-3</v>
      </c>
    </row>
    <row r="32" spans="1:8">
      <c r="A32" s="17">
        <v>44013</v>
      </c>
      <c r="B32" s="16">
        <v>138</v>
      </c>
      <c r="C32" s="16">
        <v>144</v>
      </c>
      <c r="D32" s="16">
        <v>121</v>
      </c>
      <c r="E32" s="16">
        <v>121</v>
      </c>
      <c r="F32" s="16">
        <v>121</v>
      </c>
      <c r="G32" s="16">
        <v>29064400</v>
      </c>
      <c r="H32" s="16">
        <f t="shared" si="0"/>
        <v>-17</v>
      </c>
    </row>
    <row r="33" spans="1:8">
      <c r="A33" s="17">
        <v>44046</v>
      </c>
      <c r="B33" s="16">
        <v>122</v>
      </c>
      <c r="C33" s="16">
        <v>139</v>
      </c>
      <c r="D33" s="16">
        <v>121</v>
      </c>
      <c r="E33" s="16">
        <v>133</v>
      </c>
      <c r="F33" s="16">
        <v>133</v>
      </c>
      <c r="G33" s="16">
        <v>14186800</v>
      </c>
      <c r="H33" s="16">
        <f t="shared" si="0"/>
        <v>11</v>
      </c>
    </row>
    <row r="34" spans="1:8">
      <c r="A34" s="17">
        <v>44075</v>
      </c>
      <c r="B34" s="16">
        <v>133</v>
      </c>
      <c r="C34" s="16">
        <v>135</v>
      </c>
      <c r="D34" s="16">
        <v>131</v>
      </c>
      <c r="E34" s="16">
        <v>131</v>
      </c>
      <c r="F34" s="16">
        <v>131</v>
      </c>
      <c r="G34" s="16">
        <v>10923100</v>
      </c>
      <c r="H34" s="16">
        <f t="shared" ref="H34:H61" si="1">E34-B34</f>
        <v>-2</v>
      </c>
    </row>
    <row r="35" spans="1:8">
      <c r="A35" s="17">
        <v>44106</v>
      </c>
      <c r="B35" s="16">
        <v>132</v>
      </c>
      <c r="C35" s="16">
        <v>133</v>
      </c>
      <c r="D35" s="16">
        <v>128</v>
      </c>
      <c r="E35" s="16">
        <v>128</v>
      </c>
      <c r="F35" s="16">
        <v>128</v>
      </c>
      <c r="G35" s="16">
        <v>8188200</v>
      </c>
      <c r="H35" s="16">
        <f t="shared" si="1"/>
        <v>-4</v>
      </c>
    </row>
    <row r="36" spans="1:8">
      <c r="A36" s="17">
        <v>44137</v>
      </c>
      <c r="B36" s="16">
        <v>129</v>
      </c>
      <c r="C36" s="16">
        <v>135</v>
      </c>
      <c r="D36" s="16">
        <v>126</v>
      </c>
      <c r="E36" s="16">
        <v>127</v>
      </c>
      <c r="F36" s="16">
        <v>127</v>
      </c>
      <c r="G36" s="16">
        <v>12445100</v>
      </c>
      <c r="H36" s="16">
        <f t="shared" si="1"/>
        <v>-2</v>
      </c>
    </row>
    <row r="37" spans="1:8">
      <c r="A37" s="17">
        <v>44166</v>
      </c>
      <c r="B37" s="16">
        <v>127</v>
      </c>
      <c r="C37" s="16">
        <v>157</v>
      </c>
      <c r="D37" s="16">
        <v>127</v>
      </c>
      <c r="E37" s="16">
        <v>154</v>
      </c>
      <c r="F37" s="16">
        <v>154</v>
      </c>
      <c r="G37" s="16">
        <v>28575100</v>
      </c>
      <c r="H37" s="16">
        <f t="shared" si="1"/>
        <v>27</v>
      </c>
    </row>
    <row r="38" spans="1:8">
      <c r="A38" s="17">
        <v>44200</v>
      </c>
      <c r="B38" s="16">
        <v>154</v>
      </c>
      <c r="C38" s="16">
        <v>154</v>
      </c>
      <c r="D38" s="16">
        <v>136</v>
      </c>
      <c r="E38" s="16">
        <v>141</v>
      </c>
      <c r="F38" s="16">
        <v>141</v>
      </c>
      <c r="G38" s="16">
        <v>12035200</v>
      </c>
      <c r="H38" s="16">
        <f t="shared" si="1"/>
        <v>-13</v>
      </c>
    </row>
    <row r="39" spans="1:8">
      <c r="A39" s="17">
        <v>44228</v>
      </c>
      <c r="B39" s="16">
        <v>140</v>
      </c>
      <c r="C39" s="16">
        <v>147</v>
      </c>
      <c r="D39" s="16">
        <v>138</v>
      </c>
      <c r="E39" s="16">
        <v>139</v>
      </c>
      <c r="F39" s="16">
        <v>139</v>
      </c>
      <c r="G39" s="16">
        <v>10305400</v>
      </c>
      <c r="H39" s="16">
        <f t="shared" si="1"/>
        <v>-1</v>
      </c>
    </row>
    <row r="40" spans="1:8">
      <c r="A40" s="17">
        <v>44256</v>
      </c>
      <c r="B40" s="16">
        <v>142</v>
      </c>
      <c r="C40" s="16">
        <v>174</v>
      </c>
      <c r="D40" s="16">
        <v>140</v>
      </c>
      <c r="E40" s="16">
        <v>153</v>
      </c>
      <c r="F40" s="16">
        <v>153</v>
      </c>
      <c r="G40" s="16">
        <v>33206600</v>
      </c>
      <c r="H40" s="16">
        <f t="shared" si="1"/>
        <v>11</v>
      </c>
    </row>
    <row r="41" spans="1:8">
      <c r="A41" s="17">
        <v>44287</v>
      </c>
      <c r="B41" s="16">
        <v>154</v>
      </c>
      <c r="C41" s="16">
        <v>164</v>
      </c>
      <c r="D41" s="16">
        <v>153</v>
      </c>
      <c r="E41" s="16">
        <v>156</v>
      </c>
      <c r="F41" s="16">
        <v>156</v>
      </c>
      <c r="G41" s="16">
        <v>15051500</v>
      </c>
      <c r="H41" s="16">
        <f t="shared" si="1"/>
        <v>2</v>
      </c>
    </row>
    <row r="42" spans="1:8">
      <c r="A42" s="17">
        <v>44322</v>
      </c>
      <c r="B42" s="16">
        <v>158</v>
      </c>
      <c r="C42" s="16">
        <v>161</v>
      </c>
      <c r="D42" s="16">
        <v>148</v>
      </c>
      <c r="E42" s="16">
        <v>152</v>
      </c>
      <c r="F42" s="16">
        <v>152</v>
      </c>
      <c r="G42" s="16">
        <v>10275200</v>
      </c>
      <c r="H42" s="16">
        <f t="shared" si="1"/>
        <v>-6</v>
      </c>
    </row>
    <row r="43" spans="1:8">
      <c r="A43" s="17">
        <v>44348</v>
      </c>
      <c r="B43" s="16">
        <v>152</v>
      </c>
      <c r="C43" s="16">
        <v>169</v>
      </c>
      <c r="D43" s="16">
        <v>150</v>
      </c>
      <c r="E43" s="16">
        <v>169</v>
      </c>
      <c r="F43" s="16">
        <v>169</v>
      </c>
      <c r="G43" s="16">
        <v>20237700</v>
      </c>
      <c r="H43" s="16">
        <f t="shared" si="1"/>
        <v>17</v>
      </c>
    </row>
    <row r="44" spans="1:8">
      <c r="A44" s="17">
        <v>44378</v>
      </c>
      <c r="B44" s="16">
        <v>168</v>
      </c>
      <c r="C44" s="16">
        <v>170</v>
      </c>
      <c r="D44" s="16">
        <v>151</v>
      </c>
      <c r="E44" s="16">
        <v>155</v>
      </c>
      <c r="F44" s="16">
        <v>155</v>
      </c>
      <c r="G44" s="16">
        <v>37609500</v>
      </c>
      <c r="H44" s="16">
        <f t="shared" si="1"/>
        <v>-13</v>
      </c>
    </row>
    <row r="45" spans="1:8">
      <c r="A45" s="17">
        <v>44410</v>
      </c>
      <c r="B45" s="16">
        <v>156</v>
      </c>
      <c r="C45" s="16">
        <v>170</v>
      </c>
      <c r="D45" s="16">
        <v>153</v>
      </c>
      <c r="E45" s="16">
        <v>167</v>
      </c>
      <c r="F45" s="16">
        <v>167</v>
      </c>
      <c r="G45" s="16">
        <v>22022200</v>
      </c>
      <c r="H45" s="16">
        <f t="shared" si="1"/>
        <v>11</v>
      </c>
    </row>
    <row r="46" spans="1:8">
      <c r="A46" s="17">
        <v>44440</v>
      </c>
      <c r="B46" s="16">
        <v>168</v>
      </c>
      <c r="C46" s="16">
        <v>186</v>
      </c>
      <c r="D46" s="16">
        <v>156</v>
      </c>
      <c r="E46" s="16">
        <v>159</v>
      </c>
      <c r="F46" s="16">
        <v>159</v>
      </c>
      <c r="G46" s="16">
        <v>54128900</v>
      </c>
      <c r="H46" s="16">
        <f t="shared" si="1"/>
        <v>-9</v>
      </c>
    </row>
    <row r="47" spans="1:8">
      <c r="A47" s="17">
        <v>44470</v>
      </c>
      <c r="B47" s="16">
        <v>159</v>
      </c>
      <c r="C47" s="16">
        <v>161</v>
      </c>
      <c r="D47" s="16">
        <v>141</v>
      </c>
      <c r="E47" s="16">
        <v>144</v>
      </c>
      <c r="F47" s="16">
        <v>144</v>
      </c>
      <c r="G47" s="16">
        <v>47588600</v>
      </c>
      <c r="H47" s="16">
        <f t="shared" si="1"/>
        <v>-15</v>
      </c>
    </row>
    <row r="48" spans="1:8">
      <c r="A48" s="17">
        <v>44501</v>
      </c>
      <c r="B48" s="16">
        <v>147</v>
      </c>
      <c r="C48" s="16">
        <v>149</v>
      </c>
      <c r="D48" s="16">
        <v>133</v>
      </c>
      <c r="E48" s="16">
        <v>136</v>
      </c>
      <c r="F48" s="16">
        <v>136</v>
      </c>
      <c r="G48" s="16">
        <v>30858000</v>
      </c>
      <c r="H48" s="16">
        <f t="shared" si="1"/>
        <v>-11</v>
      </c>
    </row>
    <row r="49" spans="1:8">
      <c r="A49" s="17">
        <v>44531</v>
      </c>
      <c r="B49" s="16">
        <v>136</v>
      </c>
      <c r="C49" s="16">
        <v>142</v>
      </c>
      <c r="D49" s="16">
        <v>132</v>
      </c>
      <c r="E49" s="16">
        <v>138</v>
      </c>
      <c r="F49" s="16">
        <v>138</v>
      </c>
      <c r="G49" s="16">
        <v>32846000</v>
      </c>
      <c r="H49" s="16">
        <f t="shared" si="1"/>
        <v>2</v>
      </c>
    </row>
    <row r="50" spans="1:8">
      <c r="A50" s="17">
        <v>44565</v>
      </c>
      <c r="B50" s="16">
        <v>140</v>
      </c>
      <c r="C50" s="16">
        <v>141</v>
      </c>
      <c r="D50" s="16">
        <v>130</v>
      </c>
      <c r="E50" s="16">
        <v>135</v>
      </c>
      <c r="F50" s="16">
        <v>135</v>
      </c>
      <c r="G50" s="16">
        <v>38492800</v>
      </c>
      <c r="H50" s="16">
        <f t="shared" si="1"/>
        <v>-5</v>
      </c>
    </row>
    <row r="51" spans="1:8">
      <c r="A51" s="17">
        <v>44593</v>
      </c>
      <c r="B51" s="16">
        <v>135</v>
      </c>
      <c r="C51" s="16">
        <v>142</v>
      </c>
      <c r="D51" s="16">
        <v>132</v>
      </c>
      <c r="E51" s="16">
        <v>140</v>
      </c>
      <c r="F51" s="16">
        <v>140</v>
      </c>
      <c r="G51" s="16">
        <v>23452100</v>
      </c>
      <c r="H51" s="16">
        <f t="shared" si="1"/>
        <v>5</v>
      </c>
    </row>
    <row r="52" spans="1:8">
      <c r="A52" s="17">
        <v>44621</v>
      </c>
      <c r="B52" s="16">
        <v>141</v>
      </c>
      <c r="C52" s="16">
        <v>162</v>
      </c>
      <c r="D52" s="16">
        <v>136</v>
      </c>
      <c r="E52" s="16">
        <v>154</v>
      </c>
      <c r="F52" s="16">
        <v>154</v>
      </c>
      <c r="G52" s="16">
        <v>47289500</v>
      </c>
      <c r="H52" s="16">
        <f t="shared" si="1"/>
        <v>13</v>
      </c>
    </row>
    <row r="53" spans="1:8">
      <c r="A53" s="17">
        <v>44652</v>
      </c>
      <c r="B53" s="16">
        <v>152</v>
      </c>
      <c r="C53" s="16">
        <v>155</v>
      </c>
      <c r="D53" s="16">
        <v>148</v>
      </c>
      <c r="E53" s="16">
        <v>154</v>
      </c>
      <c r="F53" s="16">
        <v>154</v>
      </c>
      <c r="G53" s="16">
        <v>16534400</v>
      </c>
      <c r="H53" s="16">
        <f t="shared" si="1"/>
        <v>2</v>
      </c>
    </row>
    <row r="54" spans="1:8">
      <c r="A54" s="17">
        <v>44683</v>
      </c>
      <c r="B54" s="16">
        <v>155</v>
      </c>
      <c r="C54" s="16">
        <v>166</v>
      </c>
      <c r="D54" s="16">
        <v>153</v>
      </c>
      <c r="E54" s="16">
        <v>161</v>
      </c>
      <c r="F54" s="16">
        <v>161</v>
      </c>
      <c r="G54" s="16">
        <v>17898600</v>
      </c>
      <c r="H54" s="16">
        <f t="shared" si="1"/>
        <v>6</v>
      </c>
    </row>
    <row r="55" spans="1:8">
      <c r="A55" s="17">
        <v>44713</v>
      </c>
      <c r="B55" s="16">
        <v>161</v>
      </c>
      <c r="C55" s="16">
        <v>180</v>
      </c>
      <c r="D55" s="16">
        <v>160</v>
      </c>
      <c r="E55" s="16">
        <v>170</v>
      </c>
      <c r="F55" s="16">
        <v>170</v>
      </c>
      <c r="G55" s="16">
        <v>39865100</v>
      </c>
      <c r="H55" s="16">
        <f t="shared" si="1"/>
        <v>9</v>
      </c>
    </row>
    <row r="56" spans="1:8">
      <c r="A56" s="17">
        <v>44743</v>
      </c>
      <c r="B56" s="16">
        <v>170</v>
      </c>
      <c r="C56" s="16">
        <v>175</v>
      </c>
      <c r="D56" s="16">
        <v>161</v>
      </c>
      <c r="E56" s="16">
        <v>169</v>
      </c>
      <c r="F56" s="16">
        <v>169</v>
      </c>
      <c r="G56" s="16">
        <v>39996500</v>
      </c>
      <c r="H56" s="16">
        <f t="shared" si="1"/>
        <v>-1</v>
      </c>
    </row>
    <row r="57" spans="1:8">
      <c r="A57" s="17">
        <v>44774</v>
      </c>
      <c r="B57" s="16">
        <v>169</v>
      </c>
      <c r="C57" s="16">
        <v>170</v>
      </c>
      <c r="D57" s="16">
        <v>158</v>
      </c>
      <c r="E57" s="16">
        <v>161</v>
      </c>
      <c r="F57" s="16">
        <v>161</v>
      </c>
      <c r="G57" s="16">
        <v>19156200</v>
      </c>
      <c r="H57" s="16">
        <f t="shared" si="1"/>
        <v>-8</v>
      </c>
    </row>
    <row r="58" spans="1:8">
      <c r="A58" s="17">
        <v>44805</v>
      </c>
      <c r="B58" s="16">
        <v>159</v>
      </c>
      <c r="C58" s="16">
        <v>206</v>
      </c>
      <c r="D58" s="16">
        <v>158</v>
      </c>
      <c r="E58" s="16">
        <v>201</v>
      </c>
      <c r="F58" s="16">
        <v>201</v>
      </c>
      <c r="G58" s="16">
        <v>76940300</v>
      </c>
      <c r="H58" s="16">
        <f t="shared" si="1"/>
        <v>42</v>
      </c>
    </row>
    <row r="59" spans="1:8">
      <c r="A59" s="17">
        <v>44837</v>
      </c>
      <c r="B59" s="16">
        <v>200</v>
      </c>
      <c r="C59" s="16">
        <v>266</v>
      </c>
      <c r="D59" s="16">
        <v>193</v>
      </c>
      <c r="E59" s="16">
        <v>258</v>
      </c>
      <c r="F59" s="16">
        <v>258</v>
      </c>
      <c r="G59" s="16">
        <v>95313500</v>
      </c>
      <c r="H59" s="16">
        <f t="shared" si="1"/>
        <v>58</v>
      </c>
    </row>
    <row r="60" spans="1:8">
      <c r="A60" s="17">
        <v>44866</v>
      </c>
      <c r="B60" s="16">
        <v>258</v>
      </c>
      <c r="C60" s="16">
        <v>262</v>
      </c>
      <c r="D60" s="16">
        <v>237</v>
      </c>
      <c r="E60" s="16">
        <v>246</v>
      </c>
      <c r="F60" s="16">
        <v>246</v>
      </c>
      <c r="G60" s="16">
        <v>45113300</v>
      </c>
      <c r="H60" s="16">
        <f t="shared" si="1"/>
        <v>-12</v>
      </c>
    </row>
    <row r="61" spans="1:8">
      <c r="A61" s="17">
        <v>44896</v>
      </c>
      <c r="B61" s="16">
        <v>246</v>
      </c>
      <c r="C61" s="16">
        <v>321</v>
      </c>
      <c r="D61" s="16">
        <v>227</v>
      </c>
      <c r="E61" s="16">
        <v>310</v>
      </c>
      <c r="F61" s="16">
        <v>310</v>
      </c>
      <c r="G61" s="16">
        <v>136708600</v>
      </c>
      <c r="H61" s="16">
        <f t="shared" si="1"/>
        <v>64</v>
      </c>
    </row>
  </sheetData>
  <phoneticPr fontId="32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FE110-D3A9-4161-A879-64F6F7C2C47D}">
  <sheetPr codeName="Sheet6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2260</v>
      </c>
      <c r="C2" s="16">
        <v>2298</v>
      </c>
      <c r="D2" s="16">
        <v>2188</v>
      </c>
      <c r="E2" s="16">
        <v>2194</v>
      </c>
      <c r="F2" s="16">
        <v>2194</v>
      </c>
      <c r="G2" s="16">
        <v>239300</v>
      </c>
      <c r="H2" s="16">
        <f t="shared" ref="H2:H33" si="0">E2-B2</f>
        <v>-66</v>
      </c>
      <c r="J2" s="18" cm="1">
        <f t="array" ref="J2:Q6">_xlfn._xlws.FILTER(A2:H61,MONTH(A2:A61)=1,"")</f>
        <v>43104</v>
      </c>
      <c r="K2" s="16">
        <v>2260</v>
      </c>
      <c r="L2" s="16">
        <v>2298</v>
      </c>
      <c r="M2" s="16">
        <v>2188</v>
      </c>
      <c r="N2" s="16">
        <v>2194</v>
      </c>
      <c r="O2" s="16">
        <v>2194</v>
      </c>
      <c r="P2" s="16">
        <v>239300</v>
      </c>
      <c r="Q2" s="16">
        <v>-66</v>
      </c>
      <c r="R2" s="16">
        <f>Q2/K2*100</f>
        <v>-2.9203539823008851</v>
      </c>
      <c r="S2" s="16">
        <f>COUNT(Q2:Q6)</f>
        <v>5</v>
      </c>
      <c r="T2" s="18" cm="1">
        <f t="array" ref="T2:AA6">_xlfn._xlws.FILTER(A2:H61,MONTH(A2:A61)=2,"")</f>
        <v>43132</v>
      </c>
      <c r="U2" s="16">
        <v>2197</v>
      </c>
      <c r="V2" s="16">
        <v>2310</v>
      </c>
      <c r="W2" s="16">
        <v>2050</v>
      </c>
      <c r="X2" s="16">
        <v>2287</v>
      </c>
      <c r="Y2" s="16">
        <v>2287</v>
      </c>
      <c r="Z2" s="16">
        <v>282700</v>
      </c>
      <c r="AA2" s="16">
        <v>90</v>
      </c>
      <c r="AB2" s="16">
        <f>AA2/U2*100</f>
        <v>4.0964952207555756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2281</v>
      </c>
      <c r="AF2" s="16">
        <v>2290</v>
      </c>
      <c r="AG2" s="16">
        <v>2055</v>
      </c>
      <c r="AH2" s="16">
        <v>2093</v>
      </c>
      <c r="AI2" s="16">
        <v>2093</v>
      </c>
      <c r="AJ2" s="16">
        <v>310700</v>
      </c>
      <c r="AK2" s="16">
        <v>-188</v>
      </c>
      <c r="AL2" s="16">
        <f>AK2/AE2*100</f>
        <v>-8.241999123191583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2107</v>
      </c>
      <c r="AP2" s="16">
        <v>2145</v>
      </c>
      <c r="AQ2" s="16">
        <v>2031</v>
      </c>
      <c r="AR2" s="16">
        <v>2143</v>
      </c>
      <c r="AS2" s="16">
        <v>2143</v>
      </c>
      <c r="AT2" s="16">
        <v>213700</v>
      </c>
      <c r="AU2" s="16">
        <v>36</v>
      </c>
      <c r="AV2" s="16">
        <f>AU2/AO2*100</f>
        <v>1.7085904129093499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2145</v>
      </c>
      <c r="AZ2" s="16">
        <v>2155</v>
      </c>
      <c r="BA2" s="16">
        <v>2080</v>
      </c>
      <c r="BB2" s="16">
        <v>2135</v>
      </c>
      <c r="BC2" s="16">
        <v>2135</v>
      </c>
      <c r="BD2" s="16">
        <v>151400</v>
      </c>
      <c r="BE2" s="16">
        <v>-10</v>
      </c>
      <c r="BF2" s="16">
        <f>BE2/AY2*100</f>
        <v>-0.46620046620046618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2134</v>
      </c>
      <c r="BJ2" s="16">
        <v>2198</v>
      </c>
      <c r="BK2" s="16">
        <v>2100</v>
      </c>
      <c r="BL2" s="16">
        <v>2111</v>
      </c>
      <c r="BM2" s="16">
        <v>2111</v>
      </c>
      <c r="BN2" s="16">
        <v>168500</v>
      </c>
      <c r="BO2" s="16">
        <v>-23</v>
      </c>
      <c r="BP2" s="16">
        <f>BO2/BI2*100</f>
        <v>-1.0777881911902532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2111</v>
      </c>
      <c r="BT2" s="16">
        <v>2197</v>
      </c>
      <c r="BU2" s="16">
        <v>2012</v>
      </c>
      <c r="BV2" s="16">
        <v>2176</v>
      </c>
      <c r="BW2" s="16">
        <v>2176</v>
      </c>
      <c r="BX2" s="16">
        <v>194000</v>
      </c>
      <c r="BY2" s="16">
        <v>65</v>
      </c>
      <c r="BZ2" s="16">
        <f>BY2/BS2*100</f>
        <v>3.0791094268119377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2200</v>
      </c>
      <c r="CD2" s="16">
        <v>2299</v>
      </c>
      <c r="CE2" s="16">
        <v>2102</v>
      </c>
      <c r="CF2" s="16">
        <v>2268</v>
      </c>
      <c r="CG2" s="16">
        <v>2268</v>
      </c>
      <c r="CH2" s="16">
        <v>290500</v>
      </c>
      <c r="CI2" s="16">
        <v>68</v>
      </c>
      <c r="CJ2" s="16">
        <f>CI2/CC2*100</f>
        <v>3.0909090909090908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2240</v>
      </c>
      <c r="CN2" s="16">
        <v>2320</v>
      </c>
      <c r="CO2" s="16">
        <v>2156</v>
      </c>
      <c r="CP2" s="16">
        <v>2279</v>
      </c>
      <c r="CQ2" s="16">
        <v>2279</v>
      </c>
      <c r="CR2" s="16">
        <v>794600</v>
      </c>
      <c r="CS2" s="16">
        <v>39</v>
      </c>
      <c r="CT2" s="16">
        <f>CS2/CM2*100</f>
        <v>1.7410714285714286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2254</v>
      </c>
      <c r="CX2" s="16">
        <v>2312</v>
      </c>
      <c r="CY2" s="16">
        <v>2127</v>
      </c>
      <c r="CZ2" s="16">
        <v>2235</v>
      </c>
      <c r="DA2" s="16">
        <v>2235</v>
      </c>
      <c r="DB2" s="16">
        <v>404700</v>
      </c>
      <c r="DC2" s="16">
        <v>-19</v>
      </c>
      <c r="DD2" s="16">
        <f>DC2/CW2*100</f>
        <v>-0.84294587400177456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2250</v>
      </c>
      <c r="DH2" s="16">
        <v>2390</v>
      </c>
      <c r="DI2" s="16">
        <v>2212</v>
      </c>
      <c r="DJ2" s="16">
        <v>2385</v>
      </c>
      <c r="DK2" s="16">
        <v>2385</v>
      </c>
      <c r="DL2" s="16">
        <v>340000</v>
      </c>
      <c r="DM2" s="16">
        <v>135</v>
      </c>
      <c r="DN2" s="16">
        <f>DM2/DG2*100</f>
        <v>6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2385</v>
      </c>
      <c r="DR2" s="16">
        <v>2396</v>
      </c>
      <c r="DS2" s="16">
        <v>1905</v>
      </c>
      <c r="DT2" s="16">
        <v>2060</v>
      </c>
      <c r="DU2" s="16">
        <v>2060</v>
      </c>
      <c r="DV2" s="16">
        <v>374400</v>
      </c>
      <c r="DW2" s="16">
        <v>-325</v>
      </c>
      <c r="DX2" s="16">
        <f>DW2/DQ2*100</f>
        <v>-13.626834381551362</v>
      </c>
      <c r="DY2" s="16">
        <f>COUNT(DW2:DW6)</f>
        <v>5</v>
      </c>
    </row>
    <row r="3" spans="1:129">
      <c r="A3" s="17">
        <v>43132</v>
      </c>
      <c r="B3" s="16">
        <v>2197</v>
      </c>
      <c r="C3" s="16">
        <v>2310</v>
      </c>
      <c r="D3" s="16">
        <v>2050</v>
      </c>
      <c r="E3" s="16">
        <v>2287</v>
      </c>
      <c r="F3" s="16">
        <v>2287</v>
      </c>
      <c r="G3" s="16">
        <v>282700</v>
      </c>
      <c r="H3" s="16">
        <f t="shared" si="0"/>
        <v>90</v>
      </c>
      <c r="J3" s="18">
        <v>43469</v>
      </c>
      <c r="K3" s="16">
        <v>2028</v>
      </c>
      <c r="L3" s="16">
        <v>2149</v>
      </c>
      <c r="M3" s="16">
        <v>2008</v>
      </c>
      <c r="N3" s="16">
        <v>2025</v>
      </c>
      <c r="O3" s="16">
        <v>2025</v>
      </c>
      <c r="P3" s="16">
        <v>235600</v>
      </c>
      <c r="Q3" s="16">
        <v>-3</v>
      </c>
      <c r="R3" s="16">
        <f>Q3/K3*100</f>
        <v>-0.14792899408284024</v>
      </c>
      <c r="S3" s="16">
        <f>COUNTIF(Q2:Q6,"&gt;0")</f>
        <v>1</v>
      </c>
      <c r="T3" s="18">
        <v>43497</v>
      </c>
      <c r="U3" s="16">
        <v>2025</v>
      </c>
      <c r="V3" s="16">
        <v>2119</v>
      </c>
      <c r="W3" s="16">
        <v>2011</v>
      </c>
      <c r="X3" s="16">
        <v>2099</v>
      </c>
      <c r="Y3" s="16">
        <v>2099</v>
      </c>
      <c r="Z3" s="16">
        <v>215800</v>
      </c>
      <c r="AA3" s="16">
        <v>74</v>
      </c>
      <c r="AB3" s="16">
        <f>AA3/U3*100</f>
        <v>3.6543209876543212</v>
      </c>
      <c r="AC3" s="16">
        <f>COUNTIF(AA2:AA6,"&gt;0")</f>
        <v>3</v>
      </c>
      <c r="AD3" s="18">
        <v>43525</v>
      </c>
      <c r="AE3" s="16">
        <v>2096</v>
      </c>
      <c r="AF3" s="16">
        <v>2147</v>
      </c>
      <c r="AG3" s="16">
        <v>2022</v>
      </c>
      <c r="AH3" s="16">
        <v>2022</v>
      </c>
      <c r="AI3" s="16">
        <v>2022</v>
      </c>
      <c r="AJ3" s="16">
        <v>277800</v>
      </c>
      <c r="AK3" s="16">
        <v>-74</v>
      </c>
      <c r="AL3" s="16">
        <f>AK3/AE3*100</f>
        <v>-3.5305343511450387</v>
      </c>
      <c r="AM3" s="16">
        <f>COUNTIF(AK2:AK6,"&gt;0")</f>
        <v>1</v>
      </c>
      <c r="AN3" s="18">
        <v>43556</v>
      </c>
      <c r="AO3" s="16">
        <v>2045</v>
      </c>
      <c r="AP3" s="16">
        <v>2083</v>
      </c>
      <c r="AQ3" s="16">
        <v>1964</v>
      </c>
      <c r="AR3" s="16">
        <v>1972</v>
      </c>
      <c r="AS3" s="16">
        <v>1972</v>
      </c>
      <c r="AT3" s="16">
        <v>164300</v>
      </c>
      <c r="AU3" s="16">
        <v>-73</v>
      </c>
      <c r="AV3" s="16">
        <f>AU3/AO3*100</f>
        <v>-3.5696821515892423</v>
      </c>
      <c r="AW3" s="16">
        <f>COUNTIF(AU2:AU6,"&gt;0")</f>
        <v>2</v>
      </c>
      <c r="AX3" s="18">
        <v>43592</v>
      </c>
      <c r="AY3" s="16">
        <v>1971</v>
      </c>
      <c r="AZ3" s="16">
        <v>1971</v>
      </c>
      <c r="BA3" s="16">
        <v>1794</v>
      </c>
      <c r="BB3" s="16">
        <v>1820</v>
      </c>
      <c r="BC3" s="16">
        <v>1820</v>
      </c>
      <c r="BD3" s="16">
        <v>186800</v>
      </c>
      <c r="BE3" s="16">
        <v>-151</v>
      </c>
      <c r="BF3" s="16">
        <f>BE3/AY3*100</f>
        <v>-7.6610857432775239</v>
      </c>
      <c r="BG3" s="16">
        <f>COUNTIF(BE2:BE6,"&gt;0")</f>
        <v>2</v>
      </c>
      <c r="BH3" s="18">
        <v>43619</v>
      </c>
      <c r="BI3" s="16">
        <v>1811</v>
      </c>
      <c r="BJ3" s="16">
        <v>1886</v>
      </c>
      <c r="BK3" s="16">
        <v>1804</v>
      </c>
      <c r="BL3" s="16">
        <v>1838</v>
      </c>
      <c r="BM3" s="16">
        <v>1838</v>
      </c>
      <c r="BN3" s="16">
        <v>138900</v>
      </c>
      <c r="BO3" s="16">
        <v>27</v>
      </c>
      <c r="BP3" s="16">
        <f>BO3/BI3*100</f>
        <v>1.4908890115958033</v>
      </c>
      <c r="BQ3" s="16">
        <f>COUNTIF(BO2:BO6,"&gt;0")</f>
        <v>1</v>
      </c>
      <c r="BR3" s="18">
        <v>43647</v>
      </c>
      <c r="BS3" s="16">
        <v>1860</v>
      </c>
      <c r="BT3" s="16">
        <v>2049</v>
      </c>
      <c r="BU3" s="16">
        <v>1855</v>
      </c>
      <c r="BV3" s="16">
        <v>1980</v>
      </c>
      <c r="BW3" s="16">
        <v>1980</v>
      </c>
      <c r="BX3" s="16">
        <v>176600</v>
      </c>
      <c r="BY3" s="16">
        <v>120</v>
      </c>
      <c r="BZ3" s="16">
        <f>BY3/BS3*100</f>
        <v>6.4516129032258061</v>
      </c>
      <c r="CA3" s="16">
        <f>COUNTIF(BY2:BY6,"&gt;0")</f>
        <v>3</v>
      </c>
      <c r="CB3" s="18">
        <v>43678</v>
      </c>
      <c r="CC3" s="16">
        <v>1980</v>
      </c>
      <c r="CD3" s="16">
        <v>1988</v>
      </c>
      <c r="CE3" s="16">
        <v>1816</v>
      </c>
      <c r="CF3" s="16">
        <v>1893</v>
      </c>
      <c r="CG3" s="16">
        <v>1893</v>
      </c>
      <c r="CH3" s="16">
        <v>151900</v>
      </c>
      <c r="CI3" s="16">
        <v>-87</v>
      </c>
      <c r="CJ3" s="16">
        <f>CI3/CC3*100</f>
        <v>-4.3939393939393936</v>
      </c>
      <c r="CK3" s="16">
        <f>COUNTIF(CI2:CI6,"&gt;0")</f>
        <v>2</v>
      </c>
      <c r="CL3" s="18">
        <v>43710</v>
      </c>
      <c r="CM3" s="16">
        <v>1893</v>
      </c>
      <c r="CN3" s="16">
        <v>2021</v>
      </c>
      <c r="CO3" s="16">
        <v>1870</v>
      </c>
      <c r="CP3" s="16">
        <v>1929</v>
      </c>
      <c r="CQ3" s="16">
        <v>1929</v>
      </c>
      <c r="CR3" s="16">
        <v>189900</v>
      </c>
      <c r="CS3" s="16">
        <v>36</v>
      </c>
      <c r="CT3" s="16">
        <f>CS3/CM3*100</f>
        <v>1.9017432646592711</v>
      </c>
      <c r="CU3" s="16">
        <f>COUNTIF(CS2:CS6,"&gt;0")</f>
        <v>4</v>
      </c>
      <c r="CV3" s="18">
        <v>43739</v>
      </c>
      <c r="CW3" s="16">
        <v>1937</v>
      </c>
      <c r="CX3" s="16">
        <v>2024</v>
      </c>
      <c r="CY3" s="16">
        <v>1898</v>
      </c>
      <c r="CZ3" s="16">
        <v>2000</v>
      </c>
      <c r="DA3" s="16">
        <v>2000</v>
      </c>
      <c r="DB3" s="16">
        <v>153200</v>
      </c>
      <c r="DC3" s="16">
        <v>63</v>
      </c>
      <c r="DD3" s="16">
        <f>DC3/CW3*100</f>
        <v>3.252452245740836</v>
      </c>
      <c r="DE3" s="16">
        <f>COUNTIF(DC2:DC6,"&gt;0")</f>
        <v>1</v>
      </c>
      <c r="DF3" s="18">
        <v>43770</v>
      </c>
      <c r="DG3" s="16">
        <v>2013</v>
      </c>
      <c r="DH3" s="16">
        <v>2050</v>
      </c>
      <c r="DI3" s="16">
        <v>1957</v>
      </c>
      <c r="DJ3" s="16">
        <v>1997</v>
      </c>
      <c r="DK3" s="16">
        <v>1997</v>
      </c>
      <c r="DL3" s="16">
        <v>125400</v>
      </c>
      <c r="DM3" s="16">
        <v>-16</v>
      </c>
      <c r="DN3" s="16">
        <f>DM3/DG3*100</f>
        <v>-0.79483358171882768</v>
      </c>
      <c r="DO3" s="16">
        <f>COUNTIF(DM2:DM6,"&gt;0")</f>
        <v>2</v>
      </c>
      <c r="DP3" s="18">
        <v>43801</v>
      </c>
      <c r="DQ3" s="16">
        <v>2015</v>
      </c>
      <c r="DR3" s="16">
        <v>2065</v>
      </c>
      <c r="DS3" s="16">
        <v>1990</v>
      </c>
      <c r="DT3" s="16">
        <v>2006</v>
      </c>
      <c r="DU3" s="16">
        <v>2006</v>
      </c>
      <c r="DV3" s="16">
        <v>186600</v>
      </c>
      <c r="DW3" s="16">
        <v>-9</v>
      </c>
      <c r="DX3" s="16">
        <f>DW3/DQ3*100</f>
        <v>-0.4466501240694789</v>
      </c>
      <c r="DY3" s="16">
        <f>COUNTIF(DW2:DW6,"&gt;0")</f>
        <v>2</v>
      </c>
    </row>
    <row r="4" spans="1:129">
      <c r="A4" s="17">
        <v>43160</v>
      </c>
      <c r="B4" s="16">
        <v>2281</v>
      </c>
      <c r="C4" s="16">
        <v>2290</v>
      </c>
      <c r="D4" s="16">
        <v>2055</v>
      </c>
      <c r="E4" s="16">
        <v>2093</v>
      </c>
      <c r="F4" s="16">
        <v>2093</v>
      </c>
      <c r="G4" s="16">
        <v>310700</v>
      </c>
      <c r="H4" s="16">
        <f t="shared" si="0"/>
        <v>-188</v>
      </c>
      <c r="J4" s="18">
        <v>43836</v>
      </c>
      <c r="K4" s="16">
        <v>2001</v>
      </c>
      <c r="L4" s="16">
        <v>2056</v>
      </c>
      <c r="M4" s="16">
        <v>1979</v>
      </c>
      <c r="N4" s="16">
        <v>1995</v>
      </c>
      <c r="O4" s="16">
        <v>1995</v>
      </c>
      <c r="P4" s="16">
        <v>153500</v>
      </c>
      <c r="Q4" s="16">
        <v>-6</v>
      </c>
      <c r="R4" s="16">
        <f>Q4/K4*100</f>
        <v>-0.29985007496251875</v>
      </c>
      <c r="S4" s="19">
        <f>S3/S2*100</f>
        <v>20</v>
      </c>
      <c r="T4" s="18">
        <v>43864</v>
      </c>
      <c r="U4" s="16">
        <v>1995</v>
      </c>
      <c r="V4" s="16">
        <v>2051</v>
      </c>
      <c r="W4" s="16">
        <v>1910</v>
      </c>
      <c r="X4" s="16">
        <v>1914</v>
      </c>
      <c r="Y4" s="16">
        <v>1914</v>
      </c>
      <c r="Z4" s="16">
        <v>180100</v>
      </c>
      <c r="AA4" s="16">
        <v>-81</v>
      </c>
      <c r="AB4" s="16">
        <f>AA4/U4*100</f>
        <v>-4.0601503759398501</v>
      </c>
      <c r="AC4" s="19">
        <f>AC3/AC2*100</f>
        <v>60</v>
      </c>
      <c r="AD4" s="18">
        <v>43892</v>
      </c>
      <c r="AE4" s="16">
        <v>1900</v>
      </c>
      <c r="AF4" s="16">
        <v>2175</v>
      </c>
      <c r="AG4" s="16">
        <v>1645</v>
      </c>
      <c r="AH4" s="16">
        <v>1998</v>
      </c>
      <c r="AI4" s="16">
        <v>1998</v>
      </c>
      <c r="AJ4" s="16">
        <v>458400</v>
      </c>
      <c r="AK4" s="16">
        <v>98</v>
      </c>
      <c r="AL4" s="16">
        <f>AK4/AE4*100</f>
        <v>5.1578947368421053</v>
      </c>
      <c r="AM4" s="19">
        <f>AM3/AM2*100</f>
        <v>20</v>
      </c>
      <c r="AN4" s="18">
        <v>43922</v>
      </c>
      <c r="AO4" s="16">
        <v>1961</v>
      </c>
      <c r="AP4" s="16">
        <v>1990</v>
      </c>
      <c r="AQ4" s="16">
        <v>1765</v>
      </c>
      <c r="AR4" s="16">
        <v>1907</v>
      </c>
      <c r="AS4" s="16">
        <v>1907</v>
      </c>
      <c r="AT4" s="16">
        <v>220400</v>
      </c>
      <c r="AU4" s="16">
        <v>-54</v>
      </c>
      <c r="AV4" s="16">
        <f>AU4/AO4*100</f>
        <v>-2.7536970933197349</v>
      </c>
      <c r="AW4" s="19">
        <f>AW3/AW2*100</f>
        <v>40</v>
      </c>
      <c r="AX4" s="18">
        <v>43952</v>
      </c>
      <c r="AY4" s="16">
        <v>1907</v>
      </c>
      <c r="AZ4" s="16">
        <v>2032</v>
      </c>
      <c r="BA4" s="16">
        <v>1812</v>
      </c>
      <c r="BB4" s="16">
        <v>1953</v>
      </c>
      <c r="BC4" s="16">
        <v>1953</v>
      </c>
      <c r="BD4" s="16">
        <v>207000</v>
      </c>
      <c r="BE4" s="16">
        <v>46</v>
      </c>
      <c r="BF4" s="16">
        <f>BE4/AY4*100</f>
        <v>2.4121657052962768</v>
      </c>
      <c r="BG4" s="19">
        <f>BG3/BG2*100</f>
        <v>40</v>
      </c>
      <c r="BH4" s="18">
        <v>43983</v>
      </c>
      <c r="BI4" s="16">
        <v>1978</v>
      </c>
      <c r="BJ4" s="16">
        <v>1998</v>
      </c>
      <c r="BK4" s="16">
        <v>1853</v>
      </c>
      <c r="BL4" s="16">
        <v>1861</v>
      </c>
      <c r="BM4" s="16">
        <v>1861</v>
      </c>
      <c r="BN4" s="16">
        <v>195000</v>
      </c>
      <c r="BO4" s="16">
        <v>-117</v>
      </c>
      <c r="BP4" s="16">
        <f>BO4/BI4*100</f>
        <v>-5.9150657229524768</v>
      </c>
      <c r="BQ4" s="19">
        <f>BQ3/BQ2*100</f>
        <v>20</v>
      </c>
      <c r="BR4" s="18">
        <v>44013</v>
      </c>
      <c r="BS4" s="16">
        <v>1866</v>
      </c>
      <c r="BT4" s="16">
        <v>1868</v>
      </c>
      <c r="BU4" s="16">
        <v>1729</v>
      </c>
      <c r="BV4" s="16">
        <v>1751</v>
      </c>
      <c r="BW4" s="16">
        <v>1751</v>
      </c>
      <c r="BX4" s="16">
        <v>145800</v>
      </c>
      <c r="BY4" s="16">
        <v>-115</v>
      </c>
      <c r="BZ4" s="16">
        <f>BY4/BS4*100</f>
        <v>-6.162915326902465</v>
      </c>
      <c r="CA4" s="19">
        <f>CA3/CA2*100</f>
        <v>60</v>
      </c>
      <c r="CB4" s="18">
        <v>44046</v>
      </c>
      <c r="CC4" s="16">
        <v>1752</v>
      </c>
      <c r="CD4" s="16">
        <v>1862</v>
      </c>
      <c r="CE4" s="16">
        <v>1727</v>
      </c>
      <c r="CF4" s="16">
        <v>1810</v>
      </c>
      <c r="CG4" s="16">
        <v>1810</v>
      </c>
      <c r="CH4" s="16">
        <v>142800</v>
      </c>
      <c r="CI4" s="16">
        <v>58</v>
      </c>
      <c r="CJ4" s="16">
        <f>CI4/CC4*100</f>
        <v>3.3105022831050226</v>
      </c>
      <c r="CK4" s="19">
        <f>CK3/CK2*100</f>
        <v>40</v>
      </c>
      <c r="CL4" s="18">
        <v>44075</v>
      </c>
      <c r="CM4" s="16">
        <v>1814</v>
      </c>
      <c r="CN4" s="16">
        <v>1934</v>
      </c>
      <c r="CO4" s="16">
        <v>1775</v>
      </c>
      <c r="CP4" s="16">
        <v>1877</v>
      </c>
      <c r="CQ4" s="16">
        <v>1877</v>
      </c>
      <c r="CR4" s="16">
        <v>181400</v>
      </c>
      <c r="CS4" s="16">
        <v>63</v>
      </c>
      <c r="CT4" s="16">
        <f>CS4/CM4*100</f>
        <v>3.4729878721058434</v>
      </c>
      <c r="CU4" s="19">
        <f>CU3/CU2*100</f>
        <v>80</v>
      </c>
      <c r="CV4" s="18">
        <v>44106</v>
      </c>
      <c r="CW4" s="16">
        <v>1895</v>
      </c>
      <c r="CX4" s="16">
        <v>1928</v>
      </c>
      <c r="CY4" s="16">
        <v>1816</v>
      </c>
      <c r="CZ4" s="16">
        <v>1819</v>
      </c>
      <c r="DA4" s="16">
        <v>1819</v>
      </c>
      <c r="DB4" s="16">
        <v>82700</v>
      </c>
      <c r="DC4" s="16">
        <v>-76</v>
      </c>
      <c r="DD4" s="16">
        <f>DC4/CW4*100</f>
        <v>-4.0105540897097631</v>
      </c>
      <c r="DE4" s="19">
        <f>DE3/DE2*100</f>
        <v>20</v>
      </c>
      <c r="DF4" s="18">
        <v>44137</v>
      </c>
      <c r="DG4" s="16">
        <v>1830</v>
      </c>
      <c r="DH4" s="16">
        <v>1910</v>
      </c>
      <c r="DI4" s="16">
        <v>1825</v>
      </c>
      <c r="DJ4" s="16">
        <v>1850</v>
      </c>
      <c r="DK4" s="16">
        <v>1850</v>
      </c>
      <c r="DL4" s="16">
        <v>115100</v>
      </c>
      <c r="DM4" s="16">
        <v>20</v>
      </c>
      <c r="DN4" s="16">
        <f>DM4/DG4*100</f>
        <v>1.0928961748633881</v>
      </c>
      <c r="DO4" s="19">
        <f>DO3/DO2*100</f>
        <v>40</v>
      </c>
      <c r="DP4" s="18">
        <v>44166</v>
      </c>
      <c r="DQ4" s="16">
        <v>1879</v>
      </c>
      <c r="DR4" s="16">
        <v>1888</v>
      </c>
      <c r="DS4" s="16">
        <v>1828</v>
      </c>
      <c r="DT4" s="16">
        <v>1846</v>
      </c>
      <c r="DU4" s="16">
        <v>1846</v>
      </c>
      <c r="DV4" s="16">
        <v>113500</v>
      </c>
      <c r="DW4" s="16">
        <v>-33</v>
      </c>
      <c r="DX4" s="16">
        <f>DW4/DQ4*100</f>
        <v>-1.7562533262373603</v>
      </c>
      <c r="DY4" s="19">
        <f>DY3/DY2*100</f>
        <v>40</v>
      </c>
    </row>
    <row r="5" spans="1:129">
      <c r="A5" s="17">
        <v>43192</v>
      </c>
      <c r="B5" s="16">
        <v>2107</v>
      </c>
      <c r="C5" s="16">
        <v>2145</v>
      </c>
      <c r="D5" s="16">
        <v>2031</v>
      </c>
      <c r="E5" s="16">
        <v>2143</v>
      </c>
      <c r="F5" s="16">
        <v>2143</v>
      </c>
      <c r="G5" s="16">
        <v>213700</v>
      </c>
      <c r="H5" s="16">
        <f t="shared" si="0"/>
        <v>36</v>
      </c>
      <c r="J5" s="18">
        <v>44200</v>
      </c>
      <c r="K5" s="16">
        <v>1846</v>
      </c>
      <c r="L5" s="16">
        <v>1870</v>
      </c>
      <c r="M5" s="16">
        <v>1803</v>
      </c>
      <c r="N5" s="16">
        <v>1860</v>
      </c>
      <c r="O5" s="16">
        <v>1860</v>
      </c>
      <c r="P5" s="16">
        <v>119400</v>
      </c>
      <c r="Q5" s="16">
        <v>14</v>
      </c>
      <c r="R5" s="16">
        <f>Q5/K5*100</f>
        <v>0.75839653304442034</v>
      </c>
      <c r="S5" s="16">
        <f>AVERAGE(R2:R6)</f>
        <v>-0.54520311761385309</v>
      </c>
      <c r="T5" s="18">
        <v>44228</v>
      </c>
      <c r="U5" s="16">
        <v>1860</v>
      </c>
      <c r="V5" s="16">
        <v>1897</v>
      </c>
      <c r="W5" s="16">
        <v>1841</v>
      </c>
      <c r="X5" s="16">
        <v>1855</v>
      </c>
      <c r="Y5" s="16">
        <v>1855</v>
      </c>
      <c r="Z5" s="16">
        <v>126900</v>
      </c>
      <c r="AA5" s="16">
        <v>-5</v>
      </c>
      <c r="AB5" s="16">
        <f>AA5/U5*100</f>
        <v>-0.26881720430107531</v>
      </c>
      <c r="AC5" s="16">
        <f>AVERAGE(AB2:AB6)</f>
        <v>1.6774413191672817</v>
      </c>
      <c r="AD5" s="18">
        <v>44256</v>
      </c>
      <c r="AE5" s="16">
        <v>1855</v>
      </c>
      <c r="AF5" s="16">
        <v>1960</v>
      </c>
      <c r="AG5" s="16">
        <v>1833</v>
      </c>
      <c r="AH5" s="16">
        <v>1833</v>
      </c>
      <c r="AI5" s="16">
        <v>1833</v>
      </c>
      <c r="AJ5" s="16">
        <v>359400</v>
      </c>
      <c r="AK5" s="16">
        <v>-22</v>
      </c>
      <c r="AL5" s="16">
        <f>AK5/AE5*100</f>
        <v>-1.1859838274932615</v>
      </c>
      <c r="AM5" s="16">
        <f>AVERAGE(AL2:AL6)</f>
        <v>-3.012269727519008</v>
      </c>
      <c r="AN5" s="18">
        <v>44287</v>
      </c>
      <c r="AO5" s="16">
        <v>1835</v>
      </c>
      <c r="AP5" s="16">
        <v>1856</v>
      </c>
      <c r="AQ5" s="16">
        <v>1760</v>
      </c>
      <c r="AR5" s="16">
        <v>1760</v>
      </c>
      <c r="AS5" s="16">
        <v>1760</v>
      </c>
      <c r="AT5" s="16">
        <v>249100</v>
      </c>
      <c r="AU5" s="16">
        <v>-75</v>
      </c>
      <c r="AV5" s="16">
        <f>AU5/AO5*100</f>
        <v>-4.0871934604904636</v>
      </c>
      <c r="AW5" s="16">
        <f>AVERAGE(AV2:AV6)</f>
        <v>-1.4560362689245583</v>
      </c>
      <c r="AX5" s="18">
        <v>44322</v>
      </c>
      <c r="AY5" s="16">
        <v>1765</v>
      </c>
      <c r="AZ5" s="16">
        <v>1801</v>
      </c>
      <c r="BA5" s="16">
        <v>1710</v>
      </c>
      <c r="BB5" s="16">
        <v>1713</v>
      </c>
      <c r="BC5" s="16">
        <v>1713</v>
      </c>
      <c r="BD5" s="16">
        <v>288600</v>
      </c>
      <c r="BE5" s="16">
        <v>-52</v>
      </c>
      <c r="BF5" s="16">
        <f>BE5/AY5*100</f>
        <v>-2.9461756373937678</v>
      </c>
      <c r="BG5" s="16">
        <f>AVERAGE(BF2:BF6)</f>
        <v>-1.2644229710051549</v>
      </c>
      <c r="BH5" s="18">
        <v>44348</v>
      </c>
      <c r="BI5" s="16">
        <v>1726</v>
      </c>
      <c r="BJ5" s="16">
        <v>1757</v>
      </c>
      <c r="BK5" s="16">
        <v>1685</v>
      </c>
      <c r="BL5" s="16">
        <v>1700</v>
      </c>
      <c r="BM5" s="16">
        <v>1700</v>
      </c>
      <c r="BN5" s="16">
        <v>347500</v>
      </c>
      <c r="BO5" s="16">
        <v>-26</v>
      </c>
      <c r="BP5" s="16">
        <f>BO5/BI5*100</f>
        <v>-1.5063731170336037</v>
      </c>
      <c r="BQ5" s="16">
        <f>AVERAGE(BP2:BP6)</f>
        <v>-1.6631798267700006</v>
      </c>
      <c r="BR5" s="18">
        <v>44378</v>
      </c>
      <c r="BS5" s="16">
        <v>1708</v>
      </c>
      <c r="BT5" s="16">
        <v>1734</v>
      </c>
      <c r="BU5" s="16">
        <v>1681</v>
      </c>
      <c r="BV5" s="16">
        <v>1692</v>
      </c>
      <c r="BW5" s="16">
        <v>1692</v>
      </c>
      <c r="BX5" s="16">
        <v>252600</v>
      </c>
      <c r="BY5" s="16">
        <v>-16</v>
      </c>
      <c r="BZ5" s="16">
        <f>BY5/BS5*100</f>
        <v>-0.93676814988290402</v>
      </c>
      <c r="CA5" s="16">
        <f>AVERAGE(BZ2:BZ6)</f>
        <v>0.87522378895711106</v>
      </c>
      <c r="CB5" s="18">
        <v>44410</v>
      </c>
      <c r="CC5" s="16">
        <v>1696</v>
      </c>
      <c r="CD5" s="16">
        <v>1701</v>
      </c>
      <c r="CE5" s="16">
        <v>1670</v>
      </c>
      <c r="CF5" s="16">
        <v>1691</v>
      </c>
      <c r="CG5" s="16">
        <v>1691</v>
      </c>
      <c r="CH5" s="16">
        <v>193600</v>
      </c>
      <c r="CI5" s="16">
        <v>-5</v>
      </c>
      <c r="CJ5" s="16">
        <f>CI5/CC5*100</f>
        <v>-0.294811320754717</v>
      </c>
      <c r="CK5" s="16">
        <f>AVERAGE(CJ2:CJ6)</f>
        <v>0.1626557968443266</v>
      </c>
      <c r="CL5" s="18">
        <v>44440</v>
      </c>
      <c r="CM5" s="16">
        <v>1692</v>
      </c>
      <c r="CN5" s="16">
        <v>1785</v>
      </c>
      <c r="CO5" s="16">
        <v>1691</v>
      </c>
      <c r="CP5" s="16">
        <v>1715</v>
      </c>
      <c r="CQ5" s="16">
        <v>1715</v>
      </c>
      <c r="CR5" s="16">
        <v>350600</v>
      </c>
      <c r="CS5" s="16">
        <v>23</v>
      </c>
      <c r="CT5" s="16">
        <f>CS5/CM5*100</f>
        <v>1.3593380614657211</v>
      </c>
      <c r="CU5" s="16">
        <f>AVERAGE(CT2:CT6)</f>
        <v>1.3985629030115363</v>
      </c>
      <c r="CV5" s="18">
        <v>44470</v>
      </c>
      <c r="CW5" s="16">
        <v>1711</v>
      </c>
      <c r="CX5" s="16">
        <v>1719</v>
      </c>
      <c r="CY5" s="16">
        <v>1687</v>
      </c>
      <c r="CZ5" s="16">
        <v>1701</v>
      </c>
      <c r="DA5" s="16">
        <v>1701</v>
      </c>
      <c r="DB5" s="16">
        <v>197500</v>
      </c>
      <c r="DC5" s="16">
        <v>-10</v>
      </c>
      <c r="DD5" s="16">
        <f>DC5/CW5*100</f>
        <v>-0.58445353594389249</v>
      </c>
      <c r="DE5" s="16">
        <f>AVERAGE(DD2:DD6)</f>
        <v>-0.62358043726310541</v>
      </c>
      <c r="DF5" s="18">
        <v>44501</v>
      </c>
      <c r="DG5" s="16">
        <v>1708</v>
      </c>
      <c r="DH5" s="16">
        <v>1717</v>
      </c>
      <c r="DI5" s="16">
        <v>1629</v>
      </c>
      <c r="DJ5" s="16">
        <v>1629</v>
      </c>
      <c r="DK5" s="16">
        <v>1629</v>
      </c>
      <c r="DL5" s="16">
        <v>207000</v>
      </c>
      <c r="DM5" s="16">
        <v>-79</v>
      </c>
      <c r="DN5" s="16">
        <f>DM5/DG5*100</f>
        <v>-4.6252927400468389</v>
      </c>
      <c r="DO5" s="16">
        <f>AVERAGE(DN2:DN6)</f>
        <v>0.1929610502655621</v>
      </c>
      <c r="DP5" s="18">
        <v>44531</v>
      </c>
      <c r="DQ5" s="16">
        <v>1634</v>
      </c>
      <c r="DR5" s="16">
        <v>1716</v>
      </c>
      <c r="DS5" s="16">
        <v>1632</v>
      </c>
      <c r="DT5" s="16">
        <v>1714</v>
      </c>
      <c r="DU5" s="16">
        <v>1714</v>
      </c>
      <c r="DV5" s="16">
        <v>252000</v>
      </c>
      <c r="DW5" s="16">
        <v>80</v>
      </c>
      <c r="DX5" s="16">
        <f>DW5/DQ5*100</f>
        <v>4.8959608323133414</v>
      </c>
      <c r="DY5" s="16">
        <f>AVERAGE(DX2:DX6)</f>
        <v>-0.19147795008606713</v>
      </c>
    </row>
    <row r="6" spans="1:129">
      <c r="A6" s="17">
        <v>43221</v>
      </c>
      <c r="B6" s="16">
        <v>2145</v>
      </c>
      <c r="C6" s="16">
        <v>2155</v>
      </c>
      <c r="D6" s="16">
        <v>2080</v>
      </c>
      <c r="E6" s="16">
        <v>2135</v>
      </c>
      <c r="F6" s="16">
        <v>2135</v>
      </c>
      <c r="G6" s="16">
        <v>151400</v>
      </c>
      <c r="H6" s="16">
        <f t="shared" si="0"/>
        <v>-10</v>
      </c>
      <c r="J6" s="18">
        <v>44565</v>
      </c>
      <c r="K6" s="16">
        <v>1720</v>
      </c>
      <c r="L6" s="16">
        <v>1745</v>
      </c>
      <c r="M6" s="16">
        <v>1690</v>
      </c>
      <c r="N6" s="16">
        <v>1718</v>
      </c>
      <c r="O6" s="16">
        <v>1718</v>
      </c>
      <c r="P6" s="16">
        <v>159700</v>
      </c>
      <c r="Q6" s="16">
        <v>-2</v>
      </c>
      <c r="R6" s="16">
        <f>Q6/K6*100</f>
        <v>-0.11627906976744186</v>
      </c>
      <c r="S6" s="16">
        <f>MEDIAN(R2:R6)</f>
        <v>-0.14792899408284024</v>
      </c>
      <c r="T6" s="18">
        <v>44593</v>
      </c>
      <c r="U6" s="16">
        <v>1732</v>
      </c>
      <c r="V6" s="16">
        <v>1818</v>
      </c>
      <c r="W6" s="16">
        <v>1711</v>
      </c>
      <c r="X6" s="16">
        <v>1818</v>
      </c>
      <c r="Y6" s="16">
        <v>1818</v>
      </c>
      <c r="Z6" s="16">
        <v>150800</v>
      </c>
      <c r="AA6" s="16">
        <v>86</v>
      </c>
      <c r="AB6" s="16">
        <f>AA6/U6*100</f>
        <v>4.9653579676674369</v>
      </c>
      <c r="AC6" s="16">
        <f>MEDIAN(AB2:AB6)</f>
        <v>3.6543209876543212</v>
      </c>
      <c r="AD6" s="18">
        <v>44621</v>
      </c>
      <c r="AE6" s="16">
        <v>1818</v>
      </c>
      <c r="AF6" s="16">
        <v>1829</v>
      </c>
      <c r="AG6" s="16">
        <v>1686</v>
      </c>
      <c r="AH6" s="16">
        <v>1686</v>
      </c>
      <c r="AI6" s="16">
        <v>1686</v>
      </c>
      <c r="AJ6" s="16">
        <v>364400</v>
      </c>
      <c r="AK6" s="16">
        <v>-132</v>
      </c>
      <c r="AL6" s="16">
        <f>AK6/AE6*100</f>
        <v>-7.2607260726072615</v>
      </c>
      <c r="AM6" s="16">
        <f>MEDIAN(AL2:AL6)</f>
        <v>-3.5305343511450387</v>
      </c>
      <c r="AN6" s="18">
        <v>44652</v>
      </c>
      <c r="AO6" s="16">
        <v>1688</v>
      </c>
      <c r="AP6" s="16">
        <v>1736</v>
      </c>
      <c r="AQ6" s="16">
        <v>1668</v>
      </c>
      <c r="AR6" s="16">
        <v>1712</v>
      </c>
      <c r="AS6" s="16">
        <v>1712</v>
      </c>
      <c r="AT6" s="16">
        <v>287900</v>
      </c>
      <c r="AU6" s="16">
        <v>24</v>
      </c>
      <c r="AV6" s="16">
        <f>AU6/AO6*100</f>
        <v>1.4218009478672986</v>
      </c>
      <c r="AW6" s="16">
        <f>MEDIAN(AV2:AV6)</f>
        <v>-2.7536970933197349</v>
      </c>
      <c r="AX6" s="18">
        <v>44683</v>
      </c>
      <c r="AY6" s="16">
        <v>1710</v>
      </c>
      <c r="AZ6" s="16">
        <v>1781</v>
      </c>
      <c r="BA6" s="16">
        <v>1695</v>
      </c>
      <c r="BB6" s="16">
        <v>1750</v>
      </c>
      <c r="BC6" s="16">
        <v>1750</v>
      </c>
      <c r="BD6" s="16">
        <v>231700</v>
      </c>
      <c r="BE6" s="16">
        <v>40</v>
      </c>
      <c r="BF6" s="16">
        <f>BE6/AY6*100</f>
        <v>2.3391812865497075</v>
      </c>
      <c r="BG6" s="16">
        <f>MEDIAN(BF2:BF6)</f>
        <v>-0.46620046620046618</v>
      </c>
      <c r="BH6" s="18">
        <v>44713</v>
      </c>
      <c r="BI6" s="16">
        <v>1759</v>
      </c>
      <c r="BJ6" s="16">
        <v>1780</v>
      </c>
      <c r="BK6" s="16">
        <v>1712</v>
      </c>
      <c r="BL6" s="16">
        <v>1736</v>
      </c>
      <c r="BM6" s="16">
        <v>1736</v>
      </c>
      <c r="BN6" s="16">
        <v>283600</v>
      </c>
      <c r="BO6" s="16">
        <v>-23</v>
      </c>
      <c r="BP6" s="16">
        <f>BO6/BI6*100</f>
        <v>-1.3075611142694712</v>
      </c>
      <c r="BQ6" s="16">
        <f>MEDIAN(BP2:BP6)</f>
        <v>-1.3075611142694712</v>
      </c>
      <c r="BR6" s="18">
        <v>44743</v>
      </c>
      <c r="BS6" s="16">
        <v>1748</v>
      </c>
      <c r="BT6" s="16">
        <v>1817</v>
      </c>
      <c r="BU6" s="16">
        <v>1733</v>
      </c>
      <c r="BV6" s="16">
        <v>1782</v>
      </c>
      <c r="BW6" s="16">
        <v>1782</v>
      </c>
      <c r="BX6" s="16">
        <v>287600</v>
      </c>
      <c r="BY6" s="16">
        <v>34</v>
      </c>
      <c r="BZ6" s="16">
        <f>BY6/BS6*100</f>
        <v>1.9450800915331807</v>
      </c>
      <c r="CA6" s="16">
        <f>MEDIAN(BZ2:BZ6)</f>
        <v>1.9450800915331807</v>
      </c>
      <c r="CB6" s="18">
        <v>44774</v>
      </c>
      <c r="CC6" s="16">
        <v>1779</v>
      </c>
      <c r="CD6" s="16">
        <v>1805</v>
      </c>
      <c r="CE6" s="16">
        <v>1752</v>
      </c>
      <c r="CF6" s="16">
        <v>1763</v>
      </c>
      <c r="CG6" s="16">
        <v>1763</v>
      </c>
      <c r="CH6" s="16">
        <v>191500</v>
      </c>
      <c r="CI6" s="16">
        <v>-16</v>
      </c>
      <c r="CJ6" s="16">
        <f>CI6/CC6*100</f>
        <v>-0.89938167509836986</v>
      </c>
      <c r="CK6" s="16">
        <f>MEDIAN(CJ2:CJ6)</f>
        <v>-0.294811320754717</v>
      </c>
      <c r="CL6" s="18">
        <v>44805</v>
      </c>
      <c r="CM6" s="16">
        <v>1754</v>
      </c>
      <c r="CN6" s="16">
        <v>1782</v>
      </c>
      <c r="CO6" s="16">
        <v>1690</v>
      </c>
      <c r="CP6" s="16">
        <v>1728</v>
      </c>
      <c r="CQ6" s="16">
        <v>1728</v>
      </c>
      <c r="CR6" s="16">
        <v>299600</v>
      </c>
      <c r="CS6" s="16">
        <v>-26</v>
      </c>
      <c r="CT6" s="16">
        <f>CS6/CM6*100</f>
        <v>-1.4823261117445838</v>
      </c>
      <c r="CU6" s="16">
        <f>MEDIAN(CT2:CT6)</f>
        <v>1.7410714285714286</v>
      </c>
      <c r="CV6" s="18">
        <v>44837</v>
      </c>
      <c r="CW6" s="16">
        <v>1716</v>
      </c>
      <c r="CX6" s="16">
        <v>1752</v>
      </c>
      <c r="CY6" s="16">
        <v>1683</v>
      </c>
      <c r="CZ6" s="16">
        <v>1700</v>
      </c>
      <c r="DA6" s="16">
        <v>1700</v>
      </c>
      <c r="DB6" s="16">
        <v>304200</v>
      </c>
      <c r="DC6" s="16">
        <v>-16</v>
      </c>
      <c r="DD6" s="16">
        <f>DC6/CW6*100</f>
        <v>-0.93240093240093236</v>
      </c>
      <c r="DE6" s="16">
        <f>MEDIAN(DD2:DD6)</f>
        <v>-0.84294587400177456</v>
      </c>
      <c r="DF6" s="18">
        <v>44866</v>
      </c>
      <c r="DG6" s="16">
        <v>1695</v>
      </c>
      <c r="DH6" s="16">
        <v>1733</v>
      </c>
      <c r="DI6" s="16">
        <v>1661</v>
      </c>
      <c r="DJ6" s="16">
        <v>1683</v>
      </c>
      <c r="DK6" s="16">
        <v>1683</v>
      </c>
      <c r="DL6" s="16">
        <v>293400</v>
      </c>
      <c r="DM6" s="16">
        <v>-12</v>
      </c>
      <c r="DN6" s="16">
        <f>DM6/DG6*100</f>
        <v>-0.70796460176991149</v>
      </c>
      <c r="DO6" s="16">
        <f>MEDIAN(DN2:DN6)</f>
        <v>-0.70796460176991149</v>
      </c>
      <c r="DP6" s="18">
        <v>44896</v>
      </c>
      <c r="DQ6" s="16">
        <v>1694</v>
      </c>
      <c r="DR6" s="16">
        <v>1975</v>
      </c>
      <c r="DS6" s="16">
        <v>1665</v>
      </c>
      <c r="DT6" s="16">
        <v>1863</v>
      </c>
      <c r="DU6" s="16">
        <v>1863</v>
      </c>
      <c r="DV6" s="16">
        <v>1799400</v>
      </c>
      <c r="DW6" s="16">
        <v>169</v>
      </c>
      <c r="DX6" s="16">
        <f>DW6/DQ6*100</f>
        <v>9.9763872491145218</v>
      </c>
      <c r="DY6" s="16">
        <f>MEDIAN(DX2:DX6)</f>
        <v>-0.4466501240694789</v>
      </c>
    </row>
    <row r="7" spans="1:129">
      <c r="A7" s="17">
        <v>43252</v>
      </c>
      <c r="B7" s="16">
        <v>2134</v>
      </c>
      <c r="C7" s="16">
        <v>2198</v>
      </c>
      <c r="D7" s="16">
        <v>2100</v>
      </c>
      <c r="E7" s="16">
        <v>2111</v>
      </c>
      <c r="F7" s="16">
        <v>2111</v>
      </c>
      <c r="G7" s="16">
        <v>168500</v>
      </c>
      <c r="H7" s="16">
        <f t="shared" si="0"/>
        <v>-23</v>
      </c>
    </row>
    <row r="8" spans="1:129">
      <c r="A8" s="17">
        <v>43283</v>
      </c>
      <c r="B8" s="16">
        <v>2111</v>
      </c>
      <c r="C8" s="16">
        <v>2197</v>
      </c>
      <c r="D8" s="16">
        <v>2012</v>
      </c>
      <c r="E8" s="16">
        <v>2176</v>
      </c>
      <c r="F8" s="16">
        <v>2176</v>
      </c>
      <c r="G8" s="16">
        <v>194000</v>
      </c>
      <c r="H8" s="16">
        <f t="shared" si="0"/>
        <v>65</v>
      </c>
    </row>
    <row r="9" spans="1:129">
      <c r="A9" s="17">
        <v>43313</v>
      </c>
      <c r="B9" s="16">
        <v>2200</v>
      </c>
      <c r="C9" s="16">
        <v>2299</v>
      </c>
      <c r="D9" s="16">
        <v>2102</v>
      </c>
      <c r="E9" s="16">
        <v>2268</v>
      </c>
      <c r="F9" s="16">
        <v>2268</v>
      </c>
      <c r="G9" s="16">
        <v>290500</v>
      </c>
      <c r="H9" s="16">
        <f t="shared" si="0"/>
        <v>68</v>
      </c>
    </row>
    <row r="10" spans="1:129">
      <c r="A10" s="17">
        <v>43346</v>
      </c>
      <c r="B10" s="16">
        <v>2240</v>
      </c>
      <c r="C10" s="16">
        <v>2320</v>
      </c>
      <c r="D10" s="16">
        <v>2156</v>
      </c>
      <c r="E10" s="16">
        <v>2279</v>
      </c>
      <c r="F10" s="16">
        <v>2279</v>
      </c>
      <c r="G10" s="16">
        <v>794600</v>
      </c>
      <c r="H10" s="16">
        <f t="shared" si="0"/>
        <v>39</v>
      </c>
    </row>
    <row r="11" spans="1:129">
      <c r="A11" s="17">
        <v>43374</v>
      </c>
      <c r="B11" s="16">
        <v>2254</v>
      </c>
      <c r="C11" s="16">
        <v>2312</v>
      </c>
      <c r="D11" s="16">
        <v>2127</v>
      </c>
      <c r="E11" s="16">
        <v>2235</v>
      </c>
      <c r="F11" s="16">
        <v>2235</v>
      </c>
      <c r="G11" s="16">
        <v>404700</v>
      </c>
      <c r="H11" s="16">
        <f t="shared" si="0"/>
        <v>-19</v>
      </c>
    </row>
    <row r="12" spans="1:129">
      <c r="A12" s="17">
        <v>43405</v>
      </c>
      <c r="B12" s="16">
        <v>2250</v>
      </c>
      <c r="C12" s="16">
        <v>2390</v>
      </c>
      <c r="D12" s="16">
        <v>2212</v>
      </c>
      <c r="E12" s="16">
        <v>2385</v>
      </c>
      <c r="F12" s="16">
        <v>2385</v>
      </c>
      <c r="G12" s="16">
        <v>340000</v>
      </c>
      <c r="H12" s="16">
        <f t="shared" si="0"/>
        <v>135</v>
      </c>
    </row>
    <row r="13" spans="1:129">
      <c r="A13" s="17">
        <v>43437</v>
      </c>
      <c r="B13" s="16">
        <v>2385</v>
      </c>
      <c r="C13" s="16">
        <v>2396</v>
      </c>
      <c r="D13" s="16">
        <v>1905</v>
      </c>
      <c r="E13" s="16">
        <v>2060</v>
      </c>
      <c r="F13" s="16">
        <v>2060</v>
      </c>
      <c r="G13" s="16">
        <v>374400</v>
      </c>
      <c r="H13" s="16">
        <f t="shared" si="0"/>
        <v>-325</v>
      </c>
    </row>
    <row r="14" spans="1:129">
      <c r="A14" s="17">
        <v>43469</v>
      </c>
      <c r="B14" s="16">
        <v>2028</v>
      </c>
      <c r="C14" s="16">
        <v>2149</v>
      </c>
      <c r="D14" s="16">
        <v>2008</v>
      </c>
      <c r="E14" s="16">
        <v>2025</v>
      </c>
      <c r="F14" s="16">
        <v>2025</v>
      </c>
      <c r="G14" s="16">
        <v>235600</v>
      </c>
      <c r="H14" s="16">
        <f t="shared" si="0"/>
        <v>-3</v>
      </c>
    </row>
    <row r="15" spans="1:129">
      <c r="A15" s="17">
        <v>43497</v>
      </c>
      <c r="B15" s="16">
        <v>2025</v>
      </c>
      <c r="C15" s="16">
        <v>2119</v>
      </c>
      <c r="D15" s="16">
        <v>2011</v>
      </c>
      <c r="E15" s="16">
        <v>2099</v>
      </c>
      <c r="F15" s="16">
        <v>2099</v>
      </c>
      <c r="G15" s="16">
        <v>215800</v>
      </c>
      <c r="H15" s="16">
        <f t="shared" si="0"/>
        <v>74</v>
      </c>
    </row>
    <row r="16" spans="1:129">
      <c r="A16" s="17">
        <v>43525</v>
      </c>
      <c r="B16" s="16">
        <v>2096</v>
      </c>
      <c r="C16" s="16">
        <v>2147</v>
      </c>
      <c r="D16" s="16">
        <v>2022</v>
      </c>
      <c r="E16" s="16">
        <v>2022</v>
      </c>
      <c r="F16" s="16">
        <v>2022</v>
      </c>
      <c r="G16" s="16">
        <v>277800</v>
      </c>
      <c r="H16" s="16">
        <f t="shared" si="0"/>
        <v>-74</v>
      </c>
    </row>
    <row r="17" spans="1:8">
      <c r="A17" s="17">
        <v>43556</v>
      </c>
      <c r="B17" s="16">
        <v>2045</v>
      </c>
      <c r="C17" s="16">
        <v>2083</v>
      </c>
      <c r="D17" s="16">
        <v>1964</v>
      </c>
      <c r="E17" s="16">
        <v>1972</v>
      </c>
      <c r="F17" s="16">
        <v>1972</v>
      </c>
      <c r="G17" s="16">
        <v>164300</v>
      </c>
      <c r="H17" s="16">
        <f t="shared" si="0"/>
        <v>-73</v>
      </c>
    </row>
    <row r="18" spans="1:8">
      <c r="A18" s="17">
        <v>43592</v>
      </c>
      <c r="B18" s="16">
        <v>1971</v>
      </c>
      <c r="C18" s="16">
        <v>1971</v>
      </c>
      <c r="D18" s="16">
        <v>1794</v>
      </c>
      <c r="E18" s="16">
        <v>1820</v>
      </c>
      <c r="F18" s="16">
        <v>1820</v>
      </c>
      <c r="G18" s="16">
        <v>186800</v>
      </c>
      <c r="H18" s="16">
        <f t="shared" si="0"/>
        <v>-151</v>
      </c>
    </row>
    <row r="19" spans="1:8">
      <c r="A19" s="17">
        <v>43619</v>
      </c>
      <c r="B19" s="16">
        <v>1811</v>
      </c>
      <c r="C19" s="16">
        <v>1886</v>
      </c>
      <c r="D19" s="16">
        <v>1804</v>
      </c>
      <c r="E19" s="16">
        <v>1838</v>
      </c>
      <c r="F19" s="16">
        <v>1838</v>
      </c>
      <c r="G19" s="16">
        <v>138900</v>
      </c>
      <c r="H19" s="16">
        <f t="shared" si="0"/>
        <v>27</v>
      </c>
    </row>
    <row r="20" spans="1:8">
      <c r="A20" s="17">
        <v>43647</v>
      </c>
      <c r="B20" s="16">
        <v>1860</v>
      </c>
      <c r="C20" s="16">
        <v>2049</v>
      </c>
      <c r="D20" s="16">
        <v>1855</v>
      </c>
      <c r="E20" s="16">
        <v>1980</v>
      </c>
      <c r="F20" s="16">
        <v>1980</v>
      </c>
      <c r="G20" s="16">
        <v>176600</v>
      </c>
      <c r="H20" s="16">
        <f t="shared" si="0"/>
        <v>120</v>
      </c>
    </row>
    <row r="21" spans="1:8">
      <c r="A21" s="17">
        <v>43678</v>
      </c>
      <c r="B21" s="16">
        <v>1980</v>
      </c>
      <c r="C21" s="16">
        <v>1988</v>
      </c>
      <c r="D21" s="16">
        <v>1816</v>
      </c>
      <c r="E21" s="16">
        <v>1893</v>
      </c>
      <c r="F21" s="16">
        <v>1893</v>
      </c>
      <c r="G21" s="16">
        <v>151900</v>
      </c>
      <c r="H21" s="16">
        <f t="shared" si="0"/>
        <v>-87</v>
      </c>
    </row>
    <row r="22" spans="1:8">
      <c r="A22" s="17">
        <v>43710</v>
      </c>
      <c r="B22" s="16">
        <v>1893</v>
      </c>
      <c r="C22" s="16">
        <v>2021</v>
      </c>
      <c r="D22" s="16">
        <v>1870</v>
      </c>
      <c r="E22" s="16">
        <v>1929</v>
      </c>
      <c r="F22" s="16">
        <v>1929</v>
      </c>
      <c r="G22" s="16">
        <v>189900</v>
      </c>
      <c r="H22" s="16">
        <f t="shared" si="0"/>
        <v>36</v>
      </c>
    </row>
    <row r="23" spans="1:8">
      <c r="A23" s="17">
        <v>43739</v>
      </c>
      <c r="B23" s="16">
        <v>1937</v>
      </c>
      <c r="C23" s="16">
        <v>2024</v>
      </c>
      <c r="D23" s="16">
        <v>1898</v>
      </c>
      <c r="E23" s="16">
        <v>2000</v>
      </c>
      <c r="F23" s="16">
        <v>2000</v>
      </c>
      <c r="G23" s="16">
        <v>153200</v>
      </c>
      <c r="H23" s="16">
        <f t="shared" si="0"/>
        <v>63</v>
      </c>
    </row>
    <row r="24" spans="1:8">
      <c r="A24" s="17">
        <v>43770</v>
      </c>
      <c r="B24" s="16">
        <v>2013</v>
      </c>
      <c r="C24" s="16">
        <v>2050</v>
      </c>
      <c r="D24" s="16">
        <v>1957</v>
      </c>
      <c r="E24" s="16">
        <v>1997</v>
      </c>
      <c r="F24" s="16">
        <v>1997</v>
      </c>
      <c r="G24" s="16">
        <v>125400</v>
      </c>
      <c r="H24" s="16">
        <f t="shared" si="0"/>
        <v>-16</v>
      </c>
    </row>
    <row r="25" spans="1:8">
      <c r="A25" s="17">
        <v>43801</v>
      </c>
      <c r="B25" s="16">
        <v>2015</v>
      </c>
      <c r="C25" s="16">
        <v>2065</v>
      </c>
      <c r="D25" s="16">
        <v>1990</v>
      </c>
      <c r="E25" s="16">
        <v>2006</v>
      </c>
      <c r="F25" s="16">
        <v>2006</v>
      </c>
      <c r="G25" s="16">
        <v>186600</v>
      </c>
      <c r="H25" s="16">
        <f t="shared" si="0"/>
        <v>-9</v>
      </c>
    </row>
    <row r="26" spans="1:8">
      <c r="A26" s="17">
        <v>43836</v>
      </c>
      <c r="B26" s="16">
        <v>2001</v>
      </c>
      <c r="C26" s="16">
        <v>2056</v>
      </c>
      <c r="D26" s="16">
        <v>1979</v>
      </c>
      <c r="E26" s="16">
        <v>1995</v>
      </c>
      <c r="F26" s="16">
        <v>1995</v>
      </c>
      <c r="G26" s="16">
        <v>153500</v>
      </c>
      <c r="H26" s="16">
        <f t="shared" si="0"/>
        <v>-6</v>
      </c>
    </row>
    <row r="27" spans="1:8">
      <c r="A27" s="17">
        <v>43864</v>
      </c>
      <c r="B27" s="16">
        <v>1995</v>
      </c>
      <c r="C27" s="16">
        <v>2051</v>
      </c>
      <c r="D27" s="16">
        <v>1910</v>
      </c>
      <c r="E27" s="16">
        <v>1914</v>
      </c>
      <c r="F27" s="16">
        <v>1914</v>
      </c>
      <c r="G27" s="16">
        <v>180100</v>
      </c>
      <c r="H27" s="16">
        <f t="shared" si="0"/>
        <v>-81</v>
      </c>
    </row>
    <row r="28" spans="1:8">
      <c r="A28" s="17">
        <v>43892</v>
      </c>
      <c r="B28" s="16">
        <v>1900</v>
      </c>
      <c r="C28" s="16">
        <v>2175</v>
      </c>
      <c r="D28" s="16">
        <v>1645</v>
      </c>
      <c r="E28" s="16">
        <v>1998</v>
      </c>
      <c r="F28" s="16">
        <v>1998</v>
      </c>
      <c r="G28" s="16">
        <v>458400</v>
      </c>
      <c r="H28" s="16">
        <f t="shared" si="0"/>
        <v>98</v>
      </c>
    </row>
    <row r="29" spans="1:8">
      <c r="A29" s="17">
        <v>43922</v>
      </c>
      <c r="B29" s="16">
        <v>1961</v>
      </c>
      <c r="C29" s="16">
        <v>1990</v>
      </c>
      <c r="D29" s="16">
        <v>1765</v>
      </c>
      <c r="E29" s="16">
        <v>1907</v>
      </c>
      <c r="F29" s="16">
        <v>1907</v>
      </c>
      <c r="G29" s="16">
        <v>220400</v>
      </c>
      <c r="H29" s="16">
        <f t="shared" si="0"/>
        <v>-54</v>
      </c>
    </row>
    <row r="30" spans="1:8">
      <c r="A30" s="17">
        <v>43952</v>
      </c>
      <c r="B30" s="16">
        <v>1907</v>
      </c>
      <c r="C30" s="16">
        <v>2032</v>
      </c>
      <c r="D30" s="16">
        <v>1812</v>
      </c>
      <c r="E30" s="16">
        <v>1953</v>
      </c>
      <c r="F30" s="16">
        <v>1953</v>
      </c>
      <c r="G30" s="16">
        <v>207000</v>
      </c>
      <c r="H30" s="16">
        <f t="shared" si="0"/>
        <v>46</v>
      </c>
    </row>
    <row r="31" spans="1:8">
      <c r="A31" s="17">
        <v>43983</v>
      </c>
      <c r="B31" s="16">
        <v>1978</v>
      </c>
      <c r="C31" s="16">
        <v>1998</v>
      </c>
      <c r="D31" s="16">
        <v>1853</v>
      </c>
      <c r="E31" s="16">
        <v>1861</v>
      </c>
      <c r="F31" s="16">
        <v>1861</v>
      </c>
      <c r="G31" s="16">
        <v>195000</v>
      </c>
      <c r="H31" s="16">
        <f t="shared" si="0"/>
        <v>-117</v>
      </c>
    </row>
    <row r="32" spans="1:8">
      <c r="A32" s="17">
        <v>44013</v>
      </c>
      <c r="B32" s="16">
        <v>1866</v>
      </c>
      <c r="C32" s="16">
        <v>1868</v>
      </c>
      <c r="D32" s="16">
        <v>1729</v>
      </c>
      <c r="E32" s="16">
        <v>1751</v>
      </c>
      <c r="F32" s="16">
        <v>1751</v>
      </c>
      <c r="G32" s="16">
        <v>145800</v>
      </c>
      <c r="H32" s="16">
        <f t="shared" si="0"/>
        <v>-115</v>
      </c>
    </row>
    <row r="33" spans="1:8">
      <c r="A33" s="17">
        <v>44046</v>
      </c>
      <c r="B33" s="16">
        <v>1752</v>
      </c>
      <c r="C33" s="16">
        <v>1862</v>
      </c>
      <c r="D33" s="16">
        <v>1727</v>
      </c>
      <c r="E33" s="16">
        <v>1810</v>
      </c>
      <c r="F33" s="16">
        <v>1810</v>
      </c>
      <c r="G33" s="16">
        <v>142800</v>
      </c>
      <c r="H33" s="16">
        <f t="shared" si="0"/>
        <v>58</v>
      </c>
    </row>
    <row r="34" spans="1:8">
      <c r="A34" s="17">
        <v>44075</v>
      </c>
      <c r="B34" s="16">
        <v>1814</v>
      </c>
      <c r="C34" s="16">
        <v>1934</v>
      </c>
      <c r="D34" s="16">
        <v>1775</v>
      </c>
      <c r="E34" s="16">
        <v>1877</v>
      </c>
      <c r="F34" s="16">
        <v>1877</v>
      </c>
      <c r="G34" s="16">
        <v>181400</v>
      </c>
      <c r="H34" s="16">
        <f t="shared" ref="H34:H61" si="1">E34-B34</f>
        <v>63</v>
      </c>
    </row>
    <row r="35" spans="1:8">
      <c r="A35" s="17">
        <v>44106</v>
      </c>
      <c r="B35" s="16">
        <v>1895</v>
      </c>
      <c r="C35" s="16">
        <v>1928</v>
      </c>
      <c r="D35" s="16">
        <v>1816</v>
      </c>
      <c r="E35" s="16">
        <v>1819</v>
      </c>
      <c r="F35" s="16">
        <v>1819</v>
      </c>
      <c r="G35" s="16">
        <v>82700</v>
      </c>
      <c r="H35" s="16">
        <f t="shared" si="1"/>
        <v>-76</v>
      </c>
    </row>
    <row r="36" spans="1:8">
      <c r="A36" s="17">
        <v>44137</v>
      </c>
      <c r="B36" s="16">
        <v>1830</v>
      </c>
      <c r="C36" s="16">
        <v>1910</v>
      </c>
      <c r="D36" s="16">
        <v>1825</v>
      </c>
      <c r="E36" s="16">
        <v>1850</v>
      </c>
      <c r="F36" s="16">
        <v>1850</v>
      </c>
      <c r="G36" s="16">
        <v>115100</v>
      </c>
      <c r="H36" s="16">
        <f t="shared" si="1"/>
        <v>20</v>
      </c>
    </row>
    <row r="37" spans="1:8">
      <c r="A37" s="17">
        <v>44166</v>
      </c>
      <c r="B37" s="16">
        <v>1879</v>
      </c>
      <c r="C37" s="16">
        <v>1888</v>
      </c>
      <c r="D37" s="16">
        <v>1828</v>
      </c>
      <c r="E37" s="16">
        <v>1846</v>
      </c>
      <c r="F37" s="16">
        <v>1846</v>
      </c>
      <c r="G37" s="16">
        <v>113500</v>
      </c>
      <c r="H37" s="16">
        <f t="shared" si="1"/>
        <v>-33</v>
      </c>
    </row>
    <row r="38" spans="1:8">
      <c r="A38" s="17">
        <v>44200</v>
      </c>
      <c r="B38" s="16">
        <v>1846</v>
      </c>
      <c r="C38" s="16">
        <v>1870</v>
      </c>
      <c r="D38" s="16">
        <v>1803</v>
      </c>
      <c r="E38" s="16">
        <v>1860</v>
      </c>
      <c r="F38" s="16">
        <v>1860</v>
      </c>
      <c r="G38" s="16">
        <v>119400</v>
      </c>
      <c r="H38" s="16">
        <f t="shared" si="1"/>
        <v>14</v>
      </c>
    </row>
    <row r="39" spans="1:8">
      <c r="A39" s="17">
        <v>44228</v>
      </c>
      <c r="B39" s="16">
        <v>1860</v>
      </c>
      <c r="C39" s="16">
        <v>1897</v>
      </c>
      <c r="D39" s="16">
        <v>1841</v>
      </c>
      <c r="E39" s="16">
        <v>1855</v>
      </c>
      <c r="F39" s="16">
        <v>1855</v>
      </c>
      <c r="G39" s="16">
        <v>126900</v>
      </c>
      <c r="H39" s="16">
        <f t="shared" si="1"/>
        <v>-5</v>
      </c>
    </row>
    <row r="40" spans="1:8">
      <c r="A40" s="17">
        <v>44256</v>
      </c>
      <c r="B40" s="16">
        <v>1855</v>
      </c>
      <c r="C40" s="16">
        <v>1960</v>
      </c>
      <c r="D40" s="16">
        <v>1833</v>
      </c>
      <c r="E40" s="16">
        <v>1833</v>
      </c>
      <c r="F40" s="16">
        <v>1833</v>
      </c>
      <c r="G40" s="16">
        <v>359400</v>
      </c>
      <c r="H40" s="16">
        <f t="shared" si="1"/>
        <v>-22</v>
      </c>
    </row>
    <row r="41" spans="1:8">
      <c r="A41" s="17">
        <v>44287</v>
      </c>
      <c r="B41" s="16">
        <v>1835</v>
      </c>
      <c r="C41" s="16">
        <v>1856</v>
      </c>
      <c r="D41" s="16">
        <v>1760</v>
      </c>
      <c r="E41" s="16">
        <v>1760</v>
      </c>
      <c r="F41" s="16">
        <v>1760</v>
      </c>
      <c r="G41" s="16">
        <v>249100</v>
      </c>
      <c r="H41" s="16">
        <f t="shared" si="1"/>
        <v>-75</v>
      </c>
    </row>
    <row r="42" spans="1:8">
      <c r="A42" s="17">
        <v>44322</v>
      </c>
      <c r="B42" s="16">
        <v>1765</v>
      </c>
      <c r="C42" s="16">
        <v>1801</v>
      </c>
      <c r="D42" s="16">
        <v>1710</v>
      </c>
      <c r="E42" s="16">
        <v>1713</v>
      </c>
      <c r="F42" s="16">
        <v>1713</v>
      </c>
      <c r="G42" s="16">
        <v>288600</v>
      </c>
      <c r="H42" s="16">
        <f t="shared" si="1"/>
        <v>-52</v>
      </c>
    </row>
    <row r="43" spans="1:8">
      <c r="A43" s="17">
        <v>44348</v>
      </c>
      <c r="B43" s="16">
        <v>1726</v>
      </c>
      <c r="C43" s="16">
        <v>1757</v>
      </c>
      <c r="D43" s="16">
        <v>1685</v>
      </c>
      <c r="E43" s="16">
        <v>1700</v>
      </c>
      <c r="F43" s="16">
        <v>1700</v>
      </c>
      <c r="G43" s="16">
        <v>347500</v>
      </c>
      <c r="H43" s="16">
        <f t="shared" si="1"/>
        <v>-26</v>
      </c>
    </row>
    <row r="44" spans="1:8">
      <c r="A44" s="17">
        <v>44378</v>
      </c>
      <c r="B44" s="16">
        <v>1708</v>
      </c>
      <c r="C44" s="16">
        <v>1734</v>
      </c>
      <c r="D44" s="16">
        <v>1681</v>
      </c>
      <c r="E44" s="16">
        <v>1692</v>
      </c>
      <c r="F44" s="16">
        <v>1692</v>
      </c>
      <c r="G44" s="16">
        <v>252600</v>
      </c>
      <c r="H44" s="16">
        <f t="shared" si="1"/>
        <v>-16</v>
      </c>
    </row>
    <row r="45" spans="1:8">
      <c r="A45" s="17">
        <v>44410</v>
      </c>
      <c r="B45" s="16">
        <v>1696</v>
      </c>
      <c r="C45" s="16">
        <v>1701</v>
      </c>
      <c r="D45" s="16">
        <v>1670</v>
      </c>
      <c r="E45" s="16">
        <v>1691</v>
      </c>
      <c r="F45" s="16">
        <v>1691</v>
      </c>
      <c r="G45" s="16">
        <v>193600</v>
      </c>
      <c r="H45" s="16">
        <f t="shared" si="1"/>
        <v>-5</v>
      </c>
    </row>
    <row r="46" spans="1:8">
      <c r="A46" s="17">
        <v>44440</v>
      </c>
      <c r="B46" s="16">
        <v>1692</v>
      </c>
      <c r="C46" s="16">
        <v>1785</v>
      </c>
      <c r="D46" s="16">
        <v>1691</v>
      </c>
      <c r="E46" s="16">
        <v>1715</v>
      </c>
      <c r="F46" s="16">
        <v>1715</v>
      </c>
      <c r="G46" s="16">
        <v>350600</v>
      </c>
      <c r="H46" s="16">
        <f t="shared" si="1"/>
        <v>23</v>
      </c>
    </row>
    <row r="47" spans="1:8">
      <c r="A47" s="17">
        <v>44470</v>
      </c>
      <c r="B47" s="16">
        <v>1711</v>
      </c>
      <c r="C47" s="16">
        <v>1719</v>
      </c>
      <c r="D47" s="16">
        <v>1687</v>
      </c>
      <c r="E47" s="16">
        <v>1701</v>
      </c>
      <c r="F47" s="16">
        <v>1701</v>
      </c>
      <c r="G47" s="16">
        <v>197500</v>
      </c>
      <c r="H47" s="16">
        <f t="shared" si="1"/>
        <v>-10</v>
      </c>
    </row>
    <row r="48" spans="1:8">
      <c r="A48" s="17">
        <v>44501</v>
      </c>
      <c r="B48" s="16">
        <v>1708</v>
      </c>
      <c r="C48" s="16">
        <v>1717</v>
      </c>
      <c r="D48" s="16">
        <v>1629</v>
      </c>
      <c r="E48" s="16">
        <v>1629</v>
      </c>
      <c r="F48" s="16">
        <v>1629</v>
      </c>
      <c r="G48" s="16">
        <v>207000</v>
      </c>
      <c r="H48" s="16">
        <f t="shared" si="1"/>
        <v>-79</v>
      </c>
    </row>
    <row r="49" spans="1:8">
      <c r="A49" s="17">
        <v>44531</v>
      </c>
      <c r="B49" s="16">
        <v>1634</v>
      </c>
      <c r="C49" s="16">
        <v>1716</v>
      </c>
      <c r="D49" s="16">
        <v>1632</v>
      </c>
      <c r="E49" s="16">
        <v>1714</v>
      </c>
      <c r="F49" s="16">
        <v>1714</v>
      </c>
      <c r="G49" s="16">
        <v>252000</v>
      </c>
      <c r="H49" s="16">
        <f t="shared" si="1"/>
        <v>80</v>
      </c>
    </row>
    <row r="50" spans="1:8">
      <c r="A50" s="17">
        <v>44565</v>
      </c>
      <c r="B50" s="16">
        <v>1720</v>
      </c>
      <c r="C50" s="16">
        <v>1745</v>
      </c>
      <c r="D50" s="16">
        <v>1690</v>
      </c>
      <c r="E50" s="16">
        <v>1718</v>
      </c>
      <c r="F50" s="16">
        <v>1718</v>
      </c>
      <c r="G50" s="16">
        <v>159700</v>
      </c>
      <c r="H50" s="16">
        <f t="shared" si="1"/>
        <v>-2</v>
      </c>
    </row>
    <row r="51" spans="1:8">
      <c r="A51" s="17">
        <v>44593</v>
      </c>
      <c r="B51" s="16">
        <v>1732</v>
      </c>
      <c r="C51" s="16">
        <v>1818</v>
      </c>
      <c r="D51" s="16">
        <v>1711</v>
      </c>
      <c r="E51" s="16">
        <v>1818</v>
      </c>
      <c r="F51" s="16">
        <v>1818</v>
      </c>
      <c r="G51" s="16">
        <v>150800</v>
      </c>
      <c r="H51" s="16">
        <f t="shared" si="1"/>
        <v>86</v>
      </c>
    </row>
    <row r="52" spans="1:8">
      <c r="A52" s="17">
        <v>44621</v>
      </c>
      <c r="B52" s="16">
        <v>1818</v>
      </c>
      <c r="C52" s="16">
        <v>1829</v>
      </c>
      <c r="D52" s="16">
        <v>1686</v>
      </c>
      <c r="E52" s="16">
        <v>1686</v>
      </c>
      <c r="F52" s="16">
        <v>1686</v>
      </c>
      <c r="G52" s="16">
        <v>364400</v>
      </c>
      <c r="H52" s="16">
        <f t="shared" si="1"/>
        <v>-132</v>
      </c>
    </row>
    <row r="53" spans="1:8">
      <c r="A53" s="17">
        <v>44652</v>
      </c>
      <c r="B53" s="16">
        <v>1688</v>
      </c>
      <c r="C53" s="16">
        <v>1736</v>
      </c>
      <c r="D53" s="16">
        <v>1668</v>
      </c>
      <c r="E53" s="16">
        <v>1712</v>
      </c>
      <c r="F53" s="16">
        <v>1712</v>
      </c>
      <c r="G53" s="16">
        <v>287900</v>
      </c>
      <c r="H53" s="16">
        <f t="shared" si="1"/>
        <v>24</v>
      </c>
    </row>
    <row r="54" spans="1:8">
      <c r="A54" s="17">
        <v>44683</v>
      </c>
      <c r="B54" s="16">
        <v>1710</v>
      </c>
      <c r="C54" s="16">
        <v>1781</v>
      </c>
      <c r="D54" s="16">
        <v>1695</v>
      </c>
      <c r="E54" s="16">
        <v>1750</v>
      </c>
      <c r="F54" s="16">
        <v>1750</v>
      </c>
      <c r="G54" s="16">
        <v>231700</v>
      </c>
      <c r="H54" s="16">
        <f t="shared" si="1"/>
        <v>40</v>
      </c>
    </row>
    <row r="55" spans="1:8">
      <c r="A55" s="17">
        <v>44713</v>
      </c>
      <c r="B55" s="16">
        <v>1759</v>
      </c>
      <c r="C55" s="16">
        <v>1780</v>
      </c>
      <c r="D55" s="16">
        <v>1712</v>
      </c>
      <c r="E55" s="16">
        <v>1736</v>
      </c>
      <c r="F55" s="16">
        <v>1736</v>
      </c>
      <c r="G55" s="16">
        <v>283600</v>
      </c>
      <c r="H55" s="16">
        <f t="shared" si="1"/>
        <v>-23</v>
      </c>
    </row>
    <row r="56" spans="1:8">
      <c r="A56" s="17">
        <v>44743</v>
      </c>
      <c r="B56" s="16">
        <v>1748</v>
      </c>
      <c r="C56" s="16">
        <v>1817</v>
      </c>
      <c r="D56" s="16">
        <v>1733</v>
      </c>
      <c r="E56" s="16">
        <v>1782</v>
      </c>
      <c r="F56" s="16">
        <v>1782</v>
      </c>
      <c r="G56" s="16">
        <v>287600</v>
      </c>
      <c r="H56" s="16">
        <f t="shared" si="1"/>
        <v>34</v>
      </c>
    </row>
    <row r="57" spans="1:8">
      <c r="A57" s="17">
        <v>44774</v>
      </c>
      <c r="B57" s="16">
        <v>1779</v>
      </c>
      <c r="C57" s="16">
        <v>1805</v>
      </c>
      <c r="D57" s="16">
        <v>1752</v>
      </c>
      <c r="E57" s="16">
        <v>1763</v>
      </c>
      <c r="F57" s="16">
        <v>1763</v>
      </c>
      <c r="G57" s="16">
        <v>191500</v>
      </c>
      <c r="H57" s="16">
        <f t="shared" si="1"/>
        <v>-16</v>
      </c>
    </row>
    <row r="58" spans="1:8">
      <c r="A58" s="17">
        <v>44805</v>
      </c>
      <c r="B58" s="16">
        <v>1754</v>
      </c>
      <c r="C58" s="16">
        <v>1782</v>
      </c>
      <c r="D58" s="16">
        <v>1690</v>
      </c>
      <c r="E58" s="16">
        <v>1728</v>
      </c>
      <c r="F58" s="16">
        <v>1728</v>
      </c>
      <c r="G58" s="16">
        <v>299600</v>
      </c>
      <c r="H58" s="16">
        <f t="shared" si="1"/>
        <v>-26</v>
      </c>
    </row>
    <row r="59" spans="1:8">
      <c r="A59" s="17">
        <v>44837</v>
      </c>
      <c r="B59" s="16">
        <v>1716</v>
      </c>
      <c r="C59" s="16">
        <v>1752</v>
      </c>
      <c r="D59" s="16">
        <v>1683</v>
      </c>
      <c r="E59" s="16">
        <v>1700</v>
      </c>
      <c r="F59" s="16">
        <v>1700</v>
      </c>
      <c r="G59" s="16">
        <v>304200</v>
      </c>
      <c r="H59" s="16">
        <f t="shared" si="1"/>
        <v>-16</v>
      </c>
    </row>
    <row r="60" spans="1:8">
      <c r="A60" s="17">
        <v>44866</v>
      </c>
      <c r="B60" s="16">
        <v>1695</v>
      </c>
      <c r="C60" s="16">
        <v>1733</v>
      </c>
      <c r="D60" s="16">
        <v>1661</v>
      </c>
      <c r="E60" s="16">
        <v>1683</v>
      </c>
      <c r="F60" s="16">
        <v>1683</v>
      </c>
      <c r="G60" s="16">
        <v>293400</v>
      </c>
      <c r="H60" s="16">
        <f t="shared" si="1"/>
        <v>-12</v>
      </c>
    </row>
    <row r="61" spans="1:8">
      <c r="A61" s="17">
        <v>44896</v>
      </c>
      <c r="B61" s="16">
        <v>1694</v>
      </c>
      <c r="C61" s="16">
        <v>1975</v>
      </c>
      <c r="D61" s="16">
        <v>1665</v>
      </c>
      <c r="E61" s="16">
        <v>1863</v>
      </c>
      <c r="F61" s="16">
        <v>1863</v>
      </c>
      <c r="G61" s="16">
        <v>1799400</v>
      </c>
      <c r="H61" s="16">
        <f t="shared" si="1"/>
        <v>169</v>
      </c>
    </row>
  </sheetData>
  <phoneticPr fontId="32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0F032-5A7C-4124-B67B-B3432E0F07BD}">
  <sheetPr codeName="Sheet5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2062.5</v>
      </c>
      <c r="C2" s="16">
        <v>2176.5</v>
      </c>
      <c r="D2" s="16">
        <v>1995</v>
      </c>
      <c r="E2" s="16">
        <v>1998</v>
      </c>
      <c r="F2" s="16">
        <v>1998</v>
      </c>
      <c r="G2" s="16">
        <v>77253200</v>
      </c>
      <c r="H2" s="16">
        <f t="shared" ref="H2:H33" si="0">E2-B2</f>
        <v>-64.5</v>
      </c>
      <c r="J2" s="18" cm="1">
        <f t="array" ref="J2:Q6">_xlfn._xlws.FILTER(A2:H61,MONTH(A2:A61)=1,"")</f>
        <v>43104</v>
      </c>
      <c r="K2" s="16">
        <v>2062.5</v>
      </c>
      <c r="L2" s="16">
        <v>2176.5</v>
      </c>
      <c r="M2" s="16">
        <v>1995</v>
      </c>
      <c r="N2" s="16">
        <v>1998</v>
      </c>
      <c r="O2" s="16">
        <v>1998</v>
      </c>
      <c r="P2" s="16">
        <v>77253200</v>
      </c>
      <c r="Q2" s="16">
        <v>-64.5</v>
      </c>
      <c r="R2" s="16">
        <f>Q2/K2*100</f>
        <v>-3.127272727272727</v>
      </c>
      <c r="S2" s="16">
        <f>COUNT(Q2:Q6)</f>
        <v>5</v>
      </c>
      <c r="T2" s="18" cm="1">
        <f t="array" ref="T2:AA6">_xlfn._xlws.FILTER(A2:H61,MONTH(A2:A61)=2,"")</f>
        <v>43132</v>
      </c>
      <c r="U2" s="16">
        <v>2002</v>
      </c>
      <c r="V2" s="16">
        <v>2006</v>
      </c>
      <c r="W2" s="16">
        <v>1823</v>
      </c>
      <c r="X2" s="16">
        <v>1879</v>
      </c>
      <c r="Y2" s="16">
        <v>1879</v>
      </c>
      <c r="Z2" s="16">
        <v>70114500</v>
      </c>
      <c r="AA2" s="16">
        <v>-123</v>
      </c>
      <c r="AB2" s="16">
        <f>AA2/U2*100</f>
        <v>-6.1438561438561443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1875</v>
      </c>
      <c r="AF2" s="16">
        <v>1948.5</v>
      </c>
      <c r="AG2" s="16">
        <v>1798</v>
      </c>
      <c r="AH2" s="16">
        <v>1942</v>
      </c>
      <c r="AI2" s="16">
        <v>1942</v>
      </c>
      <c r="AJ2" s="16">
        <v>72892000</v>
      </c>
      <c r="AK2" s="16">
        <v>67</v>
      </c>
      <c r="AL2" s="16">
        <f>AK2/AE2*100</f>
        <v>3.5733333333333333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1931.5</v>
      </c>
      <c r="AP2" s="16">
        <v>2005</v>
      </c>
      <c r="AQ2" s="16">
        <v>1912</v>
      </c>
      <c r="AR2" s="16">
        <v>2004.5</v>
      </c>
      <c r="AS2" s="16">
        <v>2004.5</v>
      </c>
      <c r="AT2" s="16">
        <v>40140100</v>
      </c>
      <c r="AU2" s="16">
        <v>73</v>
      </c>
      <c r="AV2" s="16">
        <f>AU2/AO2*100</f>
        <v>3.779446026404349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1986.5</v>
      </c>
      <c r="AZ2" s="16">
        <v>2027</v>
      </c>
      <c r="BA2" s="16">
        <v>1930</v>
      </c>
      <c r="BB2" s="16">
        <v>1942</v>
      </c>
      <c r="BC2" s="16">
        <v>1942</v>
      </c>
      <c r="BD2" s="16">
        <v>43668500</v>
      </c>
      <c r="BE2" s="16">
        <v>-44.5</v>
      </c>
      <c r="BF2" s="16">
        <f>BE2/AY2*100</f>
        <v>-2.2401208155046564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1943</v>
      </c>
      <c r="BJ2" s="16">
        <v>2027</v>
      </c>
      <c r="BK2" s="16">
        <v>1847</v>
      </c>
      <c r="BL2" s="16">
        <v>1960</v>
      </c>
      <c r="BM2" s="16">
        <v>1960</v>
      </c>
      <c r="BN2" s="16">
        <v>56916700</v>
      </c>
      <c r="BO2" s="16">
        <v>17</v>
      </c>
      <c r="BP2" s="16">
        <f>BO2/BI2*100</f>
        <v>0.87493566649511056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1955</v>
      </c>
      <c r="BT2" s="16">
        <v>1968</v>
      </c>
      <c r="BU2" s="16">
        <v>1875.5</v>
      </c>
      <c r="BV2" s="16">
        <v>1901.5</v>
      </c>
      <c r="BW2" s="16">
        <v>1901.5</v>
      </c>
      <c r="BX2" s="16">
        <v>54465700</v>
      </c>
      <c r="BY2" s="16">
        <v>-53.5</v>
      </c>
      <c r="BZ2" s="16">
        <f>BY2/BS2*100</f>
        <v>-2.7365728900255752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1890.5</v>
      </c>
      <c r="CD2" s="16">
        <v>1892</v>
      </c>
      <c r="CE2" s="16">
        <v>1801.5</v>
      </c>
      <c r="CF2" s="16">
        <v>1813.5</v>
      </c>
      <c r="CG2" s="16">
        <v>1813.5</v>
      </c>
      <c r="CH2" s="16">
        <v>45152300</v>
      </c>
      <c r="CI2" s="16">
        <v>-77</v>
      </c>
      <c r="CJ2" s="16">
        <f>CI2/CC2*100</f>
        <v>-4.0729965617561499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1808</v>
      </c>
      <c r="CN2" s="16">
        <v>1808</v>
      </c>
      <c r="CO2" s="16">
        <v>1648</v>
      </c>
      <c r="CP2" s="16">
        <v>1732.5</v>
      </c>
      <c r="CQ2" s="16">
        <v>1732.5</v>
      </c>
      <c r="CR2" s="16">
        <v>56334900</v>
      </c>
      <c r="CS2" s="16">
        <v>-75.5</v>
      </c>
      <c r="CT2" s="16">
        <f>CS2/CM2*100</f>
        <v>-4.1758849557522124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1734</v>
      </c>
      <c r="CX2" s="16">
        <v>1737</v>
      </c>
      <c r="CY2" s="16">
        <v>1593.5</v>
      </c>
      <c r="CZ2" s="16">
        <v>1662</v>
      </c>
      <c r="DA2" s="16">
        <v>1662</v>
      </c>
      <c r="DB2" s="16">
        <v>69125000</v>
      </c>
      <c r="DC2" s="16">
        <v>-72</v>
      </c>
      <c r="DD2" s="16">
        <f>DC2/CW2*100</f>
        <v>-4.1522491349480966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1653</v>
      </c>
      <c r="DH2" s="16">
        <v>1726.5</v>
      </c>
      <c r="DI2" s="16">
        <v>1634.5</v>
      </c>
      <c r="DJ2" s="16">
        <v>1711</v>
      </c>
      <c r="DK2" s="16">
        <v>1711</v>
      </c>
      <c r="DL2" s="16">
        <v>48317200</v>
      </c>
      <c r="DM2" s="16">
        <v>58</v>
      </c>
      <c r="DN2" s="16">
        <f>DM2/DG2*100</f>
        <v>3.5087719298245612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1716</v>
      </c>
      <c r="DR2" s="16">
        <v>1722</v>
      </c>
      <c r="DS2" s="16">
        <v>1530</v>
      </c>
      <c r="DT2" s="16">
        <v>1619</v>
      </c>
      <c r="DU2" s="16">
        <v>1619</v>
      </c>
      <c r="DV2" s="16">
        <v>51334600</v>
      </c>
      <c r="DW2" s="16">
        <v>-97</v>
      </c>
      <c r="DX2" s="16">
        <f>DW2/DQ2*100</f>
        <v>-5.6526806526806528</v>
      </c>
      <c r="DY2" s="16">
        <f>COUNT(DW2:DW6)</f>
        <v>5</v>
      </c>
    </row>
    <row r="3" spans="1:129">
      <c r="A3" s="17">
        <v>43132</v>
      </c>
      <c r="B3" s="16">
        <v>2002</v>
      </c>
      <c r="C3" s="16">
        <v>2006</v>
      </c>
      <c r="D3" s="16">
        <v>1823</v>
      </c>
      <c r="E3" s="16">
        <v>1879</v>
      </c>
      <c r="F3" s="16">
        <v>1879</v>
      </c>
      <c r="G3" s="16">
        <v>70114500</v>
      </c>
      <c r="H3" s="16">
        <f t="shared" si="0"/>
        <v>-123</v>
      </c>
      <c r="J3" s="18">
        <v>43469</v>
      </c>
      <c r="K3" s="16">
        <v>1584</v>
      </c>
      <c r="L3" s="16">
        <v>1687</v>
      </c>
      <c r="M3" s="16">
        <v>1579</v>
      </c>
      <c r="N3" s="16">
        <v>1626</v>
      </c>
      <c r="O3" s="16">
        <v>1626</v>
      </c>
      <c r="P3" s="16">
        <v>58832900</v>
      </c>
      <c r="Q3" s="16">
        <v>42</v>
      </c>
      <c r="R3" s="16">
        <f>Q3/K3*100</f>
        <v>2.6515151515151514</v>
      </c>
      <c r="S3" s="16">
        <f>COUNTIF(Q2:Q6,"&gt;0")</f>
        <v>2</v>
      </c>
      <c r="T3" s="18">
        <v>43497</v>
      </c>
      <c r="U3" s="16">
        <v>1629</v>
      </c>
      <c r="V3" s="16">
        <v>1683.5</v>
      </c>
      <c r="W3" s="16">
        <v>1583</v>
      </c>
      <c r="X3" s="16">
        <v>1673.5</v>
      </c>
      <c r="Y3" s="16">
        <v>1673.5</v>
      </c>
      <c r="Z3" s="16">
        <v>37988000</v>
      </c>
      <c r="AA3" s="16">
        <v>44.5</v>
      </c>
      <c r="AB3" s="16">
        <f>AA3/U3*100</f>
        <v>2.7317372621240024</v>
      </c>
      <c r="AC3" s="16">
        <f>COUNTIF(AA2:AA6,"&gt;0")</f>
        <v>2</v>
      </c>
      <c r="AD3" s="18">
        <v>43525</v>
      </c>
      <c r="AE3" s="16">
        <v>1671</v>
      </c>
      <c r="AF3" s="16">
        <v>1852</v>
      </c>
      <c r="AG3" s="16">
        <v>1667.5</v>
      </c>
      <c r="AH3" s="16">
        <v>1832</v>
      </c>
      <c r="AI3" s="16">
        <v>1832</v>
      </c>
      <c r="AJ3" s="16">
        <v>58604200</v>
      </c>
      <c r="AK3" s="16">
        <v>161</v>
      </c>
      <c r="AL3" s="16">
        <f>AK3/AE3*100</f>
        <v>9.6349491322561338</v>
      </c>
      <c r="AM3" s="16">
        <f>COUNTIF(AK2:AK6,"&gt;0")</f>
        <v>4</v>
      </c>
      <c r="AN3" s="18">
        <v>43556</v>
      </c>
      <c r="AO3" s="16">
        <v>1852</v>
      </c>
      <c r="AP3" s="16">
        <v>1857</v>
      </c>
      <c r="AQ3" s="16">
        <v>1761</v>
      </c>
      <c r="AR3" s="16">
        <v>1792</v>
      </c>
      <c r="AS3" s="16">
        <v>1792</v>
      </c>
      <c r="AT3" s="16">
        <v>36720300</v>
      </c>
      <c r="AU3" s="16">
        <v>-60</v>
      </c>
      <c r="AV3" s="16">
        <f>AU3/AO3*100</f>
        <v>-3.2397408207343417</v>
      </c>
      <c r="AW3" s="16">
        <f>COUNTIF(AU2:AU6,"&gt;0")</f>
        <v>2</v>
      </c>
      <c r="AX3" s="18">
        <v>43592</v>
      </c>
      <c r="AY3" s="16">
        <v>1788.5</v>
      </c>
      <c r="AZ3" s="16">
        <v>1799</v>
      </c>
      <c r="BA3" s="16">
        <v>1700.5</v>
      </c>
      <c r="BB3" s="16">
        <v>1741.5</v>
      </c>
      <c r="BC3" s="16">
        <v>1741.5</v>
      </c>
      <c r="BD3" s="16">
        <v>44930800</v>
      </c>
      <c r="BE3" s="16">
        <v>-47</v>
      </c>
      <c r="BF3" s="16">
        <f>BE3/AY3*100</f>
        <v>-2.6279004752585968</v>
      </c>
      <c r="BG3" s="16">
        <f>COUNTIF(BE2:BE6,"&gt;0")</f>
        <v>3</v>
      </c>
      <c r="BH3" s="18">
        <v>43619</v>
      </c>
      <c r="BI3" s="16">
        <v>1715</v>
      </c>
      <c r="BJ3" s="16">
        <v>1813.5</v>
      </c>
      <c r="BK3" s="16">
        <v>1715</v>
      </c>
      <c r="BL3" s="16">
        <v>1775.5</v>
      </c>
      <c r="BM3" s="16">
        <v>1775.5</v>
      </c>
      <c r="BN3" s="16">
        <v>43070000</v>
      </c>
      <c r="BO3" s="16">
        <v>60.5</v>
      </c>
      <c r="BP3" s="16">
        <f>BO3/BI3*100</f>
        <v>3.5276967930029155</v>
      </c>
      <c r="BQ3" s="16">
        <f>COUNTIF(BO2:BO6,"&gt;0")</f>
        <v>4</v>
      </c>
      <c r="BR3" s="18">
        <v>43647</v>
      </c>
      <c r="BS3" s="16">
        <v>1803.5</v>
      </c>
      <c r="BT3" s="16">
        <v>1908</v>
      </c>
      <c r="BU3" s="16">
        <v>1793.5</v>
      </c>
      <c r="BV3" s="16">
        <v>1835.5</v>
      </c>
      <c r="BW3" s="16">
        <v>1835.5</v>
      </c>
      <c r="BX3" s="16">
        <v>48985900</v>
      </c>
      <c r="BY3" s="16">
        <v>32</v>
      </c>
      <c r="BZ3" s="16">
        <f>BY3/BS3*100</f>
        <v>1.7743276961463821</v>
      </c>
      <c r="CA3" s="16">
        <f>COUNTIF(BY2:BY6,"&gt;0")</f>
        <v>1</v>
      </c>
      <c r="CB3" s="18">
        <v>43678</v>
      </c>
      <c r="CC3" s="16">
        <v>1819.5</v>
      </c>
      <c r="CD3" s="16">
        <v>1885.5</v>
      </c>
      <c r="CE3" s="16">
        <v>1753.5</v>
      </c>
      <c r="CF3" s="16">
        <v>1885.5</v>
      </c>
      <c r="CG3" s="16">
        <v>1885.5</v>
      </c>
      <c r="CH3" s="16">
        <v>35992700</v>
      </c>
      <c r="CI3" s="16">
        <v>66</v>
      </c>
      <c r="CJ3" s="16">
        <f>CI3/CC3*100</f>
        <v>3.6273701566364385</v>
      </c>
      <c r="CK3" s="16">
        <f>COUNTIF(CI2:CI6,"&gt;0")</f>
        <v>4</v>
      </c>
      <c r="CL3" s="18">
        <v>43710</v>
      </c>
      <c r="CM3" s="16">
        <v>1869.5</v>
      </c>
      <c r="CN3" s="16">
        <v>2152</v>
      </c>
      <c r="CO3" s="16">
        <v>1855.5</v>
      </c>
      <c r="CP3" s="16">
        <v>2125</v>
      </c>
      <c r="CQ3" s="16">
        <v>2125</v>
      </c>
      <c r="CR3" s="16">
        <v>67358400</v>
      </c>
      <c r="CS3" s="16">
        <v>255.5</v>
      </c>
      <c r="CT3" s="16">
        <f>CS3/CM3*100</f>
        <v>13.666755817063386</v>
      </c>
      <c r="CU3" s="16">
        <f>COUNTIF(CS2:CS6,"&gt;0")</f>
        <v>2</v>
      </c>
      <c r="CV3" s="18">
        <v>43739</v>
      </c>
      <c r="CW3" s="16">
        <v>2135</v>
      </c>
      <c r="CX3" s="16">
        <v>2388.5</v>
      </c>
      <c r="CY3" s="16">
        <v>2096</v>
      </c>
      <c r="CZ3" s="16">
        <v>2342</v>
      </c>
      <c r="DA3" s="16">
        <v>2342</v>
      </c>
      <c r="DB3" s="16">
        <v>62431700</v>
      </c>
      <c r="DC3" s="16">
        <v>207</v>
      </c>
      <c r="DD3" s="16">
        <f>DC3/CW3*100</f>
        <v>9.6955503512880554</v>
      </c>
      <c r="DE3" s="16">
        <f>COUNTIF(DC2:DC6,"&gt;0")</f>
        <v>3</v>
      </c>
      <c r="DF3" s="18">
        <v>43770</v>
      </c>
      <c r="DG3" s="16">
        <v>2319</v>
      </c>
      <c r="DH3" s="16">
        <v>2437</v>
      </c>
      <c r="DI3" s="16">
        <v>2302.5</v>
      </c>
      <c r="DJ3" s="16">
        <v>2365</v>
      </c>
      <c r="DK3" s="16">
        <v>2365</v>
      </c>
      <c r="DL3" s="16">
        <v>46745000</v>
      </c>
      <c r="DM3" s="16">
        <v>46</v>
      </c>
      <c r="DN3" s="16">
        <f>DM3/DG3*100</f>
        <v>1.9836136265631736</v>
      </c>
      <c r="DO3" s="16">
        <f>COUNTIF(DM2:DM6,"&gt;0")</f>
        <v>4</v>
      </c>
      <c r="DP3" s="18">
        <v>43801</v>
      </c>
      <c r="DQ3" s="16">
        <v>2390</v>
      </c>
      <c r="DR3" s="16">
        <v>2417.5</v>
      </c>
      <c r="DS3" s="16">
        <v>2320</v>
      </c>
      <c r="DT3" s="16">
        <v>2333.5</v>
      </c>
      <c r="DU3" s="16">
        <v>2333.5</v>
      </c>
      <c r="DV3" s="16">
        <v>40282900</v>
      </c>
      <c r="DW3" s="16">
        <v>-56.5</v>
      </c>
      <c r="DX3" s="16">
        <f>DW3/DQ3*100</f>
        <v>-2.3640167364016738</v>
      </c>
      <c r="DY3" s="16">
        <f>COUNTIF(DW2:DW6,"&gt;0")</f>
        <v>2</v>
      </c>
    </row>
    <row r="4" spans="1:129">
      <c r="A4" s="17">
        <v>43160</v>
      </c>
      <c r="B4" s="16">
        <v>1875</v>
      </c>
      <c r="C4" s="16">
        <v>1948.5</v>
      </c>
      <c r="D4" s="16">
        <v>1798</v>
      </c>
      <c r="E4" s="16">
        <v>1942</v>
      </c>
      <c r="F4" s="16">
        <v>1942</v>
      </c>
      <c r="G4" s="16">
        <v>72892000</v>
      </c>
      <c r="H4" s="16">
        <f t="shared" si="0"/>
        <v>67</v>
      </c>
      <c r="J4" s="18">
        <v>43836</v>
      </c>
      <c r="K4" s="16">
        <v>2309.5</v>
      </c>
      <c r="L4" s="16">
        <v>2475</v>
      </c>
      <c r="M4" s="16">
        <v>2301.5</v>
      </c>
      <c r="N4" s="16">
        <v>2361</v>
      </c>
      <c r="O4" s="16">
        <v>2361</v>
      </c>
      <c r="P4" s="16">
        <v>52704900</v>
      </c>
      <c r="Q4" s="16">
        <v>51.5</v>
      </c>
      <c r="R4" s="16">
        <f>Q4/K4*100</f>
        <v>2.2299198960814026</v>
      </c>
      <c r="S4" s="19">
        <f>S3/S2*100</f>
        <v>40</v>
      </c>
      <c r="T4" s="18">
        <v>43864</v>
      </c>
      <c r="U4" s="16">
        <v>2330</v>
      </c>
      <c r="V4" s="16">
        <v>2457.5</v>
      </c>
      <c r="W4" s="16">
        <v>2080</v>
      </c>
      <c r="X4" s="16">
        <v>2117</v>
      </c>
      <c r="Y4" s="16">
        <v>2117</v>
      </c>
      <c r="Z4" s="16">
        <v>42467900</v>
      </c>
      <c r="AA4" s="16">
        <v>-213</v>
      </c>
      <c r="AB4" s="16">
        <f>AA4/U4*100</f>
        <v>-9.1416309012875541</v>
      </c>
      <c r="AC4" s="19">
        <f>AC3/AC2*100</f>
        <v>40</v>
      </c>
      <c r="AD4" s="18">
        <v>43892</v>
      </c>
      <c r="AE4" s="16">
        <v>2077.5</v>
      </c>
      <c r="AF4" s="16">
        <v>2171.5</v>
      </c>
      <c r="AG4" s="16">
        <v>1551</v>
      </c>
      <c r="AH4" s="16">
        <v>1784.5</v>
      </c>
      <c r="AI4" s="16">
        <v>1784.5</v>
      </c>
      <c r="AJ4" s="16">
        <v>92862400</v>
      </c>
      <c r="AK4" s="16">
        <v>-293</v>
      </c>
      <c r="AL4" s="16">
        <f>AK4/AE4*100</f>
        <v>-14.103489771359806</v>
      </c>
      <c r="AM4" s="19">
        <f>AM3/AM2*100</f>
        <v>80</v>
      </c>
      <c r="AN4" s="18">
        <v>43922</v>
      </c>
      <c r="AO4" s="16">
        <v>1773.5</v>
      </c>
      <c r="AP4" s="16">
        <v>1903.5</v>
      </c>
      <c r="AQ4" s="16">
        <v>1632</v>
      </c>
      <c r="AR4" s="16">
        <v>1858.5</v>
      </c>
      <c r="AS4" s="16">
        <v>1858.5</v>
      </c>
      <c r="AT4" s="16">
        <v>46532000</v>
      </c>
      <c r="AU4" s="16">
        <v>85</v>
      </c>
      <c r="AV4" s="16">
        <f>AU4/AO4*100</f>
        <v>4.7927826332111643</v>
      </c>
      <c r="AW4" s="19">
        <f>AW3/AW2*100</f>
        <v>40</v>
      </c>
      <c r="AX4" s="18">
        <v>43952</v>
      </c>
      <c r="AY4" s="16">
        <v>1839.5</v>
      </c>
      <c r="AZ4" s="16">
        <v>2056</v>
      </c>
      <c r="BA4" s="16">
        <v>1780</v>
      </c>
      <c r="BB4" s="16">
        <v>2052.5</v>
      </c>
      <c r="BC4" s="16">
        <v>2052.5</v>
      </c>
      <c r="BD4" s="16">
        <v>44415200</v>
      </c>
      <c r="BE4" s="16">
        <v>213</v>
      </c>
      <c r="BF4" s="16">
        <f>BE4/AY4*100</f>
        <v>11.579233487360696</v>
      </c>
      <c r="BG4" s="19">
        <f>BG3/BG2*100</f>
        <v>60</v>
      </c>
      <c r="BH4" s="18">
        <v>43983</v>
      </c>
      <c r="BI4" s="16">
        <v>2031</v>
      </c>
      <c r="BJ4" s="16">
        <v>2182</v>
      </c>
      <c r="BK4" s="16">
        <v>2005.5</v>
      </c>
      <c r="BL4" s="16">
        <v>2052.5</v>
      </c>
      <c r="BM4" s="16">
        <v>2052.5</v>
      </c>
      <c r="BN4" s="16">
        <v>49360100</v>
      </c>
      <c r="BO4" s="16">
        <v>21.5</v>
      </c>
      <c r="BP4" s="16">
        <f>BO4/BI4*100</f>
        <v>1.0585918266863614</v>
      </c>
      <c r="BQ4" s="19">
        <f>BQ3/BQ2*100</f>
        <v>80</v>
      </c>
      <c r="BR4" s="18">
        <v>44013</v>
      </c>
      <c r="BS4" s="16">
        <v>2014</v>
      </c>
      <c r="BT4" s="16">
        <v>2164</v>
      </c>
      <c r="BU4" s="16">
        <v>1913.5</v>
      </c>
      <c r="BV4" s="16">
        <v>1918</v>
      </c>
      <c r="BW4" s="16">
        <v>1918</v>
      </c>
      <c r="BX4" s="16">
        <v>42421600</v>
      </c>
      <c r="BY4" s="16">
        <v>-96</v>
      </c>
      <c r="BZ4" s="16">
        <f>BY4/BS4*100</f>
        <v>-4.7666335650446872</v>
      </c>
      <c r="CA4" s="19">
        <f>CA3/CA2*100</f>
        <v>20</v>
      </c>
      <c r="CB4" s="18">
        <v>44046</v>
      </c>
      <c r="CC4" s="16">
        <v>1929</v>
      </c>
      <c r="CD4" s="16">
        <v>2162.5</v>
      </c>
      <c r="CE4" s="16">
        <v>1917</v>
      </c>
      <c r="CF4" s="16">
        <v>2096</v>
      </c>
      <c r="CG4" s="16">
        <v>2096</v>
      </c>
      <c r="CH4" s="16">
        <v>31265300</v>
      </c>
      <c r="CI4" s="16">
        <v>167</v>
      </c>
      <c r="CJ4" s="16">
        <f>CI4/CC4*100</f>
        <v>8.6573354069466042</v>
      </c>
      <c r="CK4" s="19">
        <f>CK3/CK2*100</f>
        <v>80</v>
      </c>
      <c r="CL4" s="18">
        <v>44075</v>
      </c>
      <c r="CM4" s="16">
        <v>2070.5</v>
      </c>
      <c r="CN4" s="16">
        <v>2110</v>
      </c>
      <c r="CO4" s="16">
        <v>1854.5</v>
      </c>
      <c r="CP4" s="16">
        <v>1857.5</v>
      </c>
      <c r="CQ4" s="16">
        <v>1857.5</v>
      </c>
      <c r="CR4" s="16">
        <v>46659700</v>
      </c>
      <c r="CS4" s="16">
        <v>-213</v>
      </c>
      <c r="CT4" s="16">
        <f>CS4/CM4*100</f>
        <v>-10.287370200434678</v>
      </c>
      <c r="CU4" s="19">
        <f>CU3/CU2*100</f>
        <v>40</v>
      </c>
      <c r="CV4" s="18">
        <v>44106</v>
      </c>
      <c r="CW4" s="16">
        <v>1887</v>
      </c>
      <c r="CX4" s="16">
        <v>1889</v>
      </c>
      <c r="CY4" s="16">
        <v>1720.5</v>
      </c>
      <c r="CZ4" s="16">
        <v>1726.5</v>
      </c>
      <c r="DA4" s="16">
        <v>1726.5</v>
      </c>
      <c r="DB4" s="16">
        <v>50459200</v>
      </c>
      <c r="DC4" s="16">
        <v>-160.5</v>
      </c>
      <c r="DD4" s="16">
        <f>DC4/CW4*100</f>
        <v>-8.5055643879173282</v>
      </c>
      <c r="DE4" s="19">
        <f>DE3/DE2*100</f>
        <v>60</v>
      </c>
      <c r="DF4" s="18">
        <v>44137</v>
      </c>
      <c r="DG4" s="16">
        <v>1748</v>
      </c>
      <c r="DH4" s="16">
        <v>1975.5</v>
      </c>
      <c r="DI4" s="16">
        <v>1739</v>
      </c>
      <c r="DJ4" s="16">
        <v>1878</v>
      </c>
      <c r="DK4" s="16">
        <v>1878</v>
      </c>
      <c r="DL4" s="16">
        <v>51629100</v>
      </c>
      <c r="DM4" s="16">
        <v>130</v>
      </c>
      <c r="DN4" s="16">
        <f>DM4/DG4*100</f>
        <v>7.4370709382151023</v>
      </c>
      <c r="DO4" s="19">
        <f>DO3/DO2*100</f>
        <v>80</v>
      </c>
      <c r="DP4" s="18">
        <v>44166</v>
      </c>
      <c r="DQ4" s="16">
        <v>1895</v>
      </c>
      <c r="DR4" s="16">
        <v>2133.5</v>
      </c>
      <c r="DS4" s="16">
        <v>1869</v>
      </c>
      <c r="DT4" s="16">
        <v>2100</v>
      </c>
      <c r="DU4" s="16">
        <v>2100</v>
      </c>
      <c r="DV4" s="16">
        <v>50132900</v>
      </c>
      <c r="DW4" s="16">
        <v>205</v>
      </c>
      <c r="DX4" s="16">
        <f>DW4/DQ4*100</f>
        <v>10.817941952506596</v>
      </c>
      <c r="DY4" s="19">
        <f>DY3/DY2*100</f>
        <v>40</v>
      </c>
    </row>
    <row r="5" spans="1:129">
      <c r="A5" s="17">
        <v>43192</v>
      </c>
      <c r="B5" s="16">
        <v>1931.5</v>
      </c>
      <c r="C5" s="16">
        <v>2005</v>
      </c>
      <c r="D5" s="16">
        <v>1912</v>
      </c>
      <c r="E5" s="16">
        <v>2004.5</v>
      </c>
      <c r="F5" s="16">
        <v>2004.5</v>
      </c>
      <c r="G5" s="16">
        <v>40140100</v>
      </c>
      <c r="H5" s="16">
        <f t="shared" si="0"/>
        <v>73</v>
      </c>
      <c r="J5" s="18">
        <v>44200</v>
      </c>
      <c r="K5" s="16">
        <v>2136</v>
      </c>
      <c r="L5" s="16">
        <v>2162.5</v>
      </c>
      <c r="M5" s="16">
        <v>2011.5</v>
      </c>
      <c r="N5" s="16">
        <v>2019</v>
      </c>
      <c r="O5" s="16">
        <v>2019</v>
      </c>
      <c r="P5" s="16">
        <v>47298300</v>
      </c>
      <c r="Q5" s="16">
        <v>-117</v>
      </c>
      <c r="R5" s="16">
        <f>Q5/K5*100</f>
        <v>-5.4775280898876408</v>
      </c>
      <c r="S5" s="16">
        <f>AVERAGE(R2:R6)</f>
        <v>-2.1655039787170973</v>
      </c>
      <c r="T5" s="18">
        <v>44228</v>
      </c>
      <c r="U5" s="16">
        <v>2017</v>
      </c>
      <c r="V5" s="16">
        <v>2169</v>
      </c>
      <c r="W5" s="16">
        <v>1990.5</v>
      </c>
      <c r="X5" s="16">
        <v>1997</v>
      </c>
      <c r="Y5" s="16">
        <v>1997</v>
      </c>
      <c r="Z5" s="16">
        <v>33086900</v>
      </c>
      <c r="AA5" s="16">
        <v>-20</v>
      </c>
      <c r="AB5" s="16">
        <f>AA5/U5*100</f>
        <v>-0.99157164105106599</v>
      </c>
      <c r="AC5" s="16">
        <f>AVERAGE(AB2:AB6)</f>
        <v>-2.2557077024253123</v>
      </c>
      <c r="AD5" s="18">
        <v>44256</v>
      </c>
      <c r="AE5" s="16">
        <v>2036.5</v>
      </c>
      <c r="AF5" s="16">
        <v>2438</v>
      </c>
      <c r="AG5" s="16">
        <v>2018.5</v>
      </c>
      <c r="AH5" s="16">
        <v>2374</v>
      </c>
      <c r="AI5" s="16">
        <v>2374</v>
      </c>
      <c r="AJ5" s="16">
        <v>49360700</v>
      </c>
      <c r="AK5" s="16">
        <v>337.5</v>
      </c>
      <c r="AL5" s="16">
        <f>AK5/AE5*100</f>
        <v>16.572550945249201</v>
      </c>
      <c r="AM5" s="16">
        <f>AVERAGE(AL2:AL6)</f>
        <v>3.1396872471954982</v>
      </c>
      <c r="AN5" s="18">
        <v>44287</v>
      </c>
      <c r="AO5" s="16">
        <v>2385.5</v>
      </c>
      <c r="AP5" s="16">
        <v>2394</v>
      </c>
      <c r="AQ5" s="16">
        <v>2205</v>
      </c>
      <c r="AR5" s="16">
        <v>2209</v>
      </c>
      <c r="AS5" s="16">
        <v>2209</v>
      </c>
      <c r="AT5" s="16">
        <v>32763600</v>
      </c>
      <c r="AU5" s="16">
        <v>-176.5</v>
      </c>
      <c r="AV5" s="16">
        <f>AU5/AO5*100</f>
        <v>-7.3988681618109409</v>
      </c>
      <c r="AW5" s="16">
        <f>AVERAGE(AV2:AV6)</f>
        <v>-1.2204128530311535</v>
      </c>
      <c r="AX5" s="18">
        <v>44322</v>
      </c>
      <c r="AY5" s="16">
        <v>2254</v>
      </c>
      <c r="AZ5" s="16">
        <v>2337.5</v>
      </c>
      <c r="BA5" s="16">
        <v>2214</v>
      </c>
      <c r="BB5" s="16">
        <v>2278</v>
      </c>
      <c r="BC5" s="16">
        <v>2278</v>
      </c>
      <c r="BD5" s="16">
        <v>30873800</v>
      </c>
      <c r="BE5" s="16">
        <v>24</v>
      </c>
      <c r="BF5" s="16">
        <f>BE5/AY5*100</f>
        <v>1.064773735581189</v>
      </c>
      <c r="BG5" s="16">
        <f>AVERAGE(BF2:BF6)</f>
        <v>2.1553776918508887</v>
      </c>
      <c r="BH5" s="18">
        <v>44348</v>
      </c>
      <c r="BI5" s="16">
        <v>2286</v>
      </c>
      <c r="BJ5" s="16">
        <v>2319.5</v>
      </c>
      <c r="BK5" s="16">
        <v>2144</v>
      </c>
      <c r="BL5" s="16">
        <v>2278.5</v>
      </c>
      <c r="BM5" s="16">
        <v>2278.5</v>
      </c>
      <c r="BN5" s="16">
        <v>39311100</v>
      </c>
      <c r="BO5" s="16">
        <v>-7.5</v>
      </c>
      <c r="BP5" s="16">
        <f>BO5/BI5*100</f>
        <v>-0.32808398950131235</v>
      </c>
      <c r="BQ5" s="16">
        <f>AVERAGE(BP2:BP6)</f>
        <v>1.7233404477537717</v>
      </c>
      <c r="BR5" s="18">
        <v>44378</v>
      </c>
      <c r="BS5" s="16">
        <v>2300</v>
      </c>
      <c r="BT5" s="16">
        <v>2367.5</v>
      </c>
      <c r="BU5" s="16">
        <v>2160</v>
      </c>
      <c r="BV5" s="16">
        <v>2160.5</v>
      </c>
      <c r="BW5" s="16">
        <v>2160.5</v>
      </c>
      <c r="BX5" s="16">
        <v>41438600</v>
      </c>
      <c r="BY5" s="16">
        <v>-139.5</v>
      </c>
      <c r="BZ5" s="16">
        <f>BY5/BS5*100</f>
        <v>-6.0652173913043477</v>
      </c>
      <c r="CA5" s="16">
        <f>AVERAGE(BZ2:BZ6)</f>
        <v>-2.5604999023145529</v>
      </c>
      <c r="CB5" s="18">
        <v>44410</v>
      </c>
      <c r="CC5" s="16">
        <v>2186.5</v>
      </c>
      <c r="CD5" s="16">
        <v>2233.5</v>
      </c>
      <c r="CE5" s="16">
        <v>2125</v>
      </c>
      <c r="CF5" s="16">
        <v>2193</v>
      </c>
      <c r="CG5" s="16">
        <v>2193</v>
      </c>
      <c r="CH5" s="16">
        <v>31884500</v>
      </c>
      <c r="CI5" s="16">
        <v>6.5</v>
      </c>
      <c r="CJ5" s="16">
        <f>CI5/CC5*100</f>
        <v>0.29727875600274412</v>
      </c>
      <c r="CK5" s="16">
        <f>AVERAGE(CJ2:CJ6)</f>
        <v>1.8375057788772082</v>
      </c>
      <c r="CL5" s="18">
        <v>44440</v>
      </c>
      <c r="CM5" s="16">
        <v>2182</v>
      </c>
      <c r="CN5" s="16">
        <v>2431.5</v>
      </c>
      <c r="CO5" s="16">
        <v>2178</v>
      </c>
      <c r="CP5" s="16">
        <v>2351.5</v>
      </c>
      <c r="CQ5" s="16">
        <v>2351.5</v>
      </c>
      <c r="CR5" s="16">
        <v>46177400</v>
      </c>
      <c r="CS5" s="16">
        <v>169.5</v>
      </c>
      <c r="CT5" s="16">
        <f>CS5/CM5*100</f>
        <v>7.7681026581118235</v>
      </c>
      <c r="CU5" s="16">
        <f>AVERAGE(CT2:CT6)</f>
        <v>0.81988700683973492</v>
      </c>
      <c r="CV5" s="18">
        <v>44470</v>
      </c>
      <c r="CW5" s="16">
        <v>2338.5</v>
      </c>
      <c r="CX5" s="16">
        <v>2438</v>
      </c>
      <c r="CY5" s="16">
        <v>2263</v>
      </c>
      <c r="CZ5" s="16">
        <v>2361.5</v>
      </c>
      <c r="DA5" s="16">
        <v>2361.5</v>
      </c>
      <c r="DB5" s="16">
        <v>33974900</v>
      </c>
      <c r="DC5" s="16">
        <v>23</v>
      </c>
      <c r="DD5" s="16">
        <f>DC5/CW5*100</f>
        <v>0.98353645499251652</v>
      </c>
      <c r="DE5" s="16">
        <f>AVERAGE(DD2:DD6)</f>
        <v>0.22066448592084703</v>
      </c>
      <c r="DF5" s="18">
        <v>44501</v>
      </c>
      <c r="DG5" s="16">
        <v>2405</v>
      </c>
      <c r="DH5" s="16">
        <v>2449</v>
      </c>
      <c r="DI5" s="16">
        <v>2199</v>
      </c>
      <c r="DJ5" s="16">
        <v>2210</v>
      </c>
      <c r="DK5" s="16">
        <v>2210</v>
      </c>
      <c r="DL5" s="16">
        <v>30194200</v>
      </c>
      <c r="DM5" s="16">
        <v>-195</v>
      </c>
      <c r="DN5" s="16">
        <f>DM5/DG5*100</f>
        <v>-8.1081081081081088</v>
      </c>
      <c r="DO5" s="16">
        <f>AVERAGE(DN2:DN6)</f>
        <v>1.7118954602854075</v>
      </c>
      <c r="DP5" s="18">
        <v>44531</v>
      </c>
      <c r="DQ5" s="16">
        <v>2209.5</v>
      </c>
      <c r="DR5" s="16">
        <v>2516.5</v>
      </c>
      <c r="DS5" s="16">
        <v>2207</v>
      </c>
      <c r="DT5" s="16">
        <v>2469</v>
      </c>
      <c r="DU5" s="16">
        <v>2469</v>
      </c>
      <c r="DV5" s="16">
        <v>39956800</v>
      </c>
      <c r="DW5" s="16">
        <v>259.5</v>
      </c>
      <c r="DX5" s="16">
        <f>DW5/DQ5*100</f>
        <v>11.744738628649015</v>
      </c>
      <c r="DY5" s="16">
        <f>AVERAGE(DX2:DX6)</f>
        <v>1.2111574227283826</v>
      </c>
    </row>
    <row r="6" spans="1:129">
      <c r="A6" s="17">
        <v>43221</v>
      </c>
      <c r="B6" s="16">
        <v>1986.5</v>
      </c>
      <c r="C6" s="16">
        <v>2027</v>
      </c>
      <c r="D6" s="16">
        <v>1930</v>
      </c>
      <c r="E6" s="16">
        <v>1942</v>
      </c>
      <c r="F6" s="16">
        <v>1942</v>
      </c>
      <c r="G6" s="16">
        <v>43668500</v>
      </c>
      <c r="H6" s="16">
        <f t="shared" si="0"/>
        <v>-44.5</v>
      </c>
      <c r="J6" s="18">
        <v>44565</v>
      </c>
      <c r="K6" s="16">
        <v>2491.5</v>
      </c>
      <c r="L6" s="16">
        <v>2567</v>
      </c>
      <c r="M6" s="16">
        <v>2251</v>
      </c>
      <c r="N6" s="16">
        <v>2314.5</v>
      </c>
      <c r="O6" s="16">
        <v>2314.5</v>
      </c>
      <c r="P6" s="16">
        <v>47137300</v>
      </c>
      <c r="Q6" s="16">
        <v>-177</v>
      </c>
      <c r="R6" s="16">
        <f>Q6/K6*100</f>
        <v>-7.1041541240216732</v>
      </c>
      <c r="S6" s="16">
        <f>MEDIAN(R2:R6)</f>
        <v>-3.127272727272727</v>
      </c>
      <c r="T6" s="18">
        <v>44593</v>
      </c>
      <c r="U6" s="16">
        <v>2294</v>
      </c>
      <c r="V6" s="16">
        <v>2428</v>
      </c>
      <c r="W6" s="16">
        <v>2263</v>
      </c>
      <c r="X6" s="16">
        <v>2346</v>
      </c>
      <c r="Y6" s="16">
        <v>2346</v>
      </c>
      <c r="Z6" s="16">
        <v>32758400</v>
      </c>
      <c r="AA6" s="16">
        <v>52</v>
      </c>
      <c r="AB6" s="16">
        <f>AA6/U6*100</f>
        <v>2.2667829119442024</v>
      </c>
      <c r="AC6" s="16">
        <f>MEDIAN(AB2:AB6)</f>
        <v>-0.99157164105106599</v>
      </c>
      <c r="AD6" s="18">
        <v>44621</v>
      </c>
      <c r="AE6" s="16">
        <v>2370.5</v>
      </c>
      <c r="AF6" s="16">
        <v>2473</v>
      </c>
      <c r="AG6" s="16">
        <v>2220.5</v>
      </c>
      <c r="AH6" s="16">
        <v>2371</v>
      </c>
      <c r="AI6" s="16">
        <v>2371</v>
      </c>
      <c r="AJ6" s="16">
        <v>47746300</v>
      </c>
      <c r="AK6" s="16">
        <v>0.5</v>
      </c>
      <c r="AL6" s="16">
        <f>AK6/AE6*100</f>
        <v>2.109259649862898E-2</v>
      </c>
      <c r="AM6" s="16">
        <f>MEDIAN(AL2:AL6)</f>
        <v>3.5733333333333333</v>
      </c>
      <c r="AN6" s="18">
        <v>44652</v>
      </c>
      <c r="AO6" s="16">
        <v>2354</v>
      </c>
      <c r="AP6" s="16">
        <v>2405</v>
      </c>
      <c r="AQ6" s="16">
        <v>2163.5</v>
      </c>
      <c r="AR6" s="16">
        <v>2259</v>
      </c>
      <c r="AS6" s="16">
        <v>2259</v>
      </c>
      <c r="AT6" s="16">
        <v>44958600</v>
      </c>
      <c r="AU6" s="16">
        <v>-95</v>
      </c>
      <c r="AV6" s="16">
        <f>AU6/AO6*100</f>
        <v>-4.0356839422259982</v>
      </c>
      <c r="AW6" s="16">
        <f>MEDIAN(AV2:AV6)</f>
        <v>-3.2397408207343417</v>
      </c>
      <c r="AX6" s="18">
        <v>44683</v>
      </c>
      <c r="AY6" s="16">
        <v>2216</v>
      </c>
      <c r="AZ6" s="16">
        <v>2317.5</v>
      </c>
      <c r="BA6" s="16">
        <v>2174</v>
      </c>
      <c r="BB6" s="16">
        <v>2282.5</v>
      </c>
      <c r="BC6" s="16">
        <v>2282.5</v>
      </c>
      <c r="BD6" s="16">
        <v>37844300</v>
      </c>
      <c r="BE6" s="16">
        <v>66.5</v>
      </c>
      <c r="BF6" s="16">
        <f>BE6/AY6*100</f>
        <v>3.0009025270758123</v>
      </c>
      <c r="BG6" s="16">
        <f>MEDIAN(BF2:BF6)</f>
        <v>1.064773735581189</v>
      </c>
      <c r="BH6" s="18">
        <v>44713</v>
      </c>
      <c r="BI6" s="16">
        <v>2296.5</v>
      </c>
      <c r="BJ6" s="16">
        <v>2429</v>
      </c>
      <c r="BK6" s="16">
        <v>2268</v>
      </c>
      <c r="BL6" s="16">
        <v>2376.5</v>
      </c>
      <c r="BM6" s="16">
        <v>2376.5</v>
      </c>
      <c r="BN6" s="16">
        <v>49186300</v>
      </c>
      <c r="BO6" s="16">
        <v>80</v>
      </c>
      <c r="BP6" s="16">
        <f>BO6/BI6*100</f>
        <v>3.4835619420857826</v>
      </c>
      <c r="BQ6" s="16">
        <f>MEDIAN(BP2:BP6)</f>
        <v>1.0585918266863614</v>
      </c>
      <c r="BR6" s="18">
        <v>44743</v>
      </c>
      <c r="BS6" s="16">
        <v>2380</v>
      </c>
      <c r="BT6" s="16">
        <v>2449.5</v>
      </c>
      <c r="BU6" s="16">
        <v>2246.5</v>
      </c>
      <c r="BV6" s="16">
        <v>2356</v>
      </c>
      <c r="BW6" s="16">
        <v>2356</v>
      </c>
      <c r="BX6" s="16">
        <v>45353400</v>
      </c>
      <c r="BY6" s="16">
        <v>-24</v>
      </c>
      <c r="BZ6" s="16">
        <f>BY6/BS6*100</f>
        <v>-1.0084033613445378</v>
      </c>
      <c r="CA6" s="16">
        <f>MEDIAN(BZ2:BZ6)</f>
        <v>-2.7365728900255752</v>
      </c>
      <c r="CB6" s="18">
        <v>44774</v>
      </c>
      <c r="CC6" s="16">
        <v>2358</v>
      </c>
      <c r="CD6" s="16">
        <v>2392.5</v>
      </c>
      <c r="CE6" s="16">
        <v>2262</v>
      </c>
      <c r="CF6" s="16">
        <v>2374</v>
      </c>
      <c r="CG6" s="16">
        <v>2374</v>
      </c>
      <c r="CH6" s="16">
        <v>37908300</v>
      </c>
      <c r="CI6" s="16">
        <v>16</v>
      </c>
      <c r="CJ6" s="16">
        <f>CI6/CC6*100</f>
        <v>0.67854113655640369</v>
      </c>
      <c r="CK6" s="16">
        <f>MEDIAN(CJ2:CJ6)</f>
        <v>0.67854113655640369</v>
      </c>
      <c r="CL6" s="18">
        <v>44805</v>
      </c>
      <c r="CM6" s="16">
        <v>2472</v>
      </c>
      <c r="CN6" s="16">
        <v>2580</v>
      </c>
      <c r="CO6" s="16">
        <v>2336</v>
      </c>
      <c r="CP6" s="16">
        <v>2401</v>
      </c>
      <c r="CQ6" s="16">
        <v>2401</v>
      </c>
      <c r="CR6" s="16">
        <v>92882400</v>
      </c>
      <c r="CS6" s="16">
        <v>-71</v>
      </c>
      <c r="CT6" s="16">
        <f>CS6/CM6*100</f>
        <v>-2.8721682847896437</v>
      </c>
      <c r="CU6" s="16">
        <f>MEDIAN(CT2:CT6)</f>
        <v>-2.8721682847896437</v>
      </c>
      <c r="CV6" s="18">
        <v>44837</v>
      </c>
      <c r="CW6" s="16">
        <v>2401</v>
      </c>
      <c r="CX6" s="16">
        <v>2506.5</v>
      </c>
      <c r="CY6" s="16">
        <v>2356.5</v>
      </c>
      <c r="CZ6" s="16">
        <v>2475</v>
      </c>
      <c r="DA6" s="16">
        <v>2475</v>
      </c>
      <c r="DB6" s="16">
        <v>47601900</v>
      </c>
      <c r="DC6" s="16">
        <v>74</v>
      </c>
      <c r="DD6" s="16">
        <f>DC6/CW6*100</f>
        <v>3.082049146189088</v>
      </c>
      <c r="DE6" s="16">
        <f>MEDIAN(DD2:DD6)</f>
        <v>0.98353645499251652</v>
      </c>
      <c r="DF6" s="18">
        <v>44866</v>
      </c>
      <c r="DG6" s="16">
        <v>2474.5</v>
      </c>
      <c r="DH6" s="16">
        <v>2594.5</v>
      </c>
      <c r="DI6" s="16">
        <v>2406</v>
      </c>
      <c r="DJ6" s="16">
        <v>2567</v>
      </c>
      <c r="DK6" s="16">
        <v>2567</v>
      </c>
      <c r="DL6" s="16">
        <v>32010000</v>
      </c>
      <c r="DM6" s="16">
        <v>92.5</v>
      </c>
      <c r="DN6" s="16">
        <f>DM6/DG6*100</f>
        <v>3.7381289149323091</v>
      </c>
      <c r="DO6" s="16">
        <f>MEDIAN(DN2:DN6)</f>
        <v>3.5087719298245612</v>
      </c>
      <c r="DP6" s="18">
        <v>44896</v>
      </c>
      <c r="DQ6" s="16">
        <v>2550</v>
      </c>
      <c r="DR6" s="16">
        <v>2556.5</v>
      </c>
      <c r="DS6" s="16">
        <v>2324</v>
      </c>
      <c r="DT6" s="16">
        <v>2333.5</v>
      </c>
      <c r="DU6" s="16">
        <v>2333.5</v>
      </c>
      <c r="DV6" s="16">
        <v>51136500</v>
      </c>
      <c r="DW6" s="16">
        <v>-216.5</v>
      </c>
      <c r="DX6" s="16">
        <f>DW6/DQ6*100</f>
        <v>-8.4901960784313726</v>
      </c>
      <c r="DY6" s="16">
        <f>MEDIAN(DX2:DX6)</f>
        <v>-2.3640167364016738</v>
      </c>
    </row>
    <row r="7" spans="1:129">
      <c r="A7" s="17">
        <v>43252</v>
      </c>
      <c r="B7" s="16">
        <v>1943</v>
      </c>
      <c r="C7" s="16">
        <v>2027</v>
      </c>
      <c r="D7" s="16">
        <v>1847</v>
      </c>
      <c r="E7" s="16">
        <v>1960</v>
      </c>
      <c r="F7" s="16">
        <v>1960</v>
      </c>
      <c r="G7" s="16">
        <v>56916700</v>
      </c>
      <c r="H7" s="16">
        <f t="shared" si="0"/>
        <v>17</v>
      </c>
    </row>
    <row r="8" spans="1:129">
      <c r="A8" s="17">
        <v>43283</v>
      </c>
      <c r="B8" s="16">
        <v>1955</v>
      </c>
      <c r="C8" s="16">
        <v>1968</v>
      </c>
      <c r="D8" s="16">
        <v>1875.5</v>
      </c>
      <c r="E8" s="16">
        <v>1901.5</v>
      </c>
      <c r="F8" s="16">
        <v>1901.5</v>
      </c>
      <c r="G8" s="16">
        <v>54465700</v>
      </c>
      <c r="H8" s="16">
        <f t="shared" si="0"/>
        <v>-53.5</v>
      </c>
    </row>
    <row r="9" spans="1:129">
      <c r="A9" s="17">
        <v>43313</v>
      </c>
      <c r="B9" s="16">
        <v>1890.5</v>
      </c>
      <c r="C9" s="16">
        <v>1892</v>
      </c>
      <c r="D9" s="16">
        <v>1801.5</v>
      </c>
      <c r="E9" s="16">
        <v>1813.5</v>
      </c>
      <c r="F9" s="16">
        <v>1813.5</v>
      </c>
      <c r="G9" s="16">
        <v>45152300</v>
      </c>
      <c r="H9" s="16">
        <f t="shared" si="0"/>
        <v>-77</v>
      </c>
    </row>
    <row r="10" spans="1:129">
      <c r="A10" s="17">
        <v>43346</v>
      </c>
      <c r="B10" s="16">
        <v>1808</v>
      </c>
      <c r="C10" s="16">
        <v>1808</v>
      </c>
      <c r="D10" s="16">
        <v>1648</v>
      </c>
      <c r="E10" s="16">
        <v>1732.5</v>
      </c>
      <c r="F10" s="16">
        <v>1732.5</v>
      </c>
      <c r="G10" s="16">
        <v>56334900</v>
      </c>
      <c r="H10" s="16">
        <f t="shared" si="0"/>
        <v>-75.5</v>
      </c>
    </row>
    <row r="11" spans="1:129">
      <c r="A11" s="17">
        <v>43374</v>
      </c>
      <c r="B11" s="16">
        <v>1734</v>
      </c>
      <c r="C11" s="16">
        <v>1737</v>
      </c>
      <c r="D11" s="16">
        <v>1593.5</v>
      </c>
      <c r="E11" s="16">
        <v>1662</v>
      </c>
      <c r="F11" s="16">
        <v>1662</v>
      </c>
      <c r="G11" s="16">
        <v>69125000</v>
      </c>
      <c r="H11" s="16">
        <f t="shared" si="0"/>
        <v>-72</v>
      </c>
    </row>
    <row r="12" spans="1:129">
      <c r="A12" s="17">
        <v>43405</v>
      </c>
      <c r="B12" s="16">
        <v>1653</v>
      </c>
      <c r="C12" s="16">
        <v>1726.5</v>
      </c>
      <c r="D12" s="16">
        <v>1634.5</v>
      </c>
      <c r="E12" s="16">
        <v>1711</v>
      </c>
      <c r="F12" s="16">
        <v>1711</v>
      </c>
      <c r="G12" s="16">
        <v>48317200</v>
      </c>
      <c r="H12" s="16">
        <f t="shared" si="0"/>
        <v>58</v>
      </c>
    </row>
    <row r="13" spans="1:129">
      <c r="A13" s="17">
        <v>43437</v>
      </c>
      <c r="B13" s="16">
        <v>1716</v>
      </c>
      <c r="C13" s="16">
        <v>1722</v>
      </c>
      <c r="D13" s="16">
        <v>1530</v>
      </c>
      <c r="E13" s="16">
        <v>1619</v>
      </c>
      <c r="F13" s="16">
        <v>1619</v>
      </c>
      <c r="G13" s="16">
        <v>51334600</v>
      </c>
      <c r="H13" s="16">
        <f t="shared" si="0"/>
        <v>-97</v>
      </c>
    </row>
    <row r="14" spans="1:129">
      <c r="A14" s="17">
        <v>43469</v>
      </c>
      <c r="B14" s="16">
        <v>1584</v>
      </c>
      <c r="C14" s="16">
        <v>1687</v>
      </c>
      <c r="D14" s="16">
        <v>1579</v>
      </c>
      <c r="E14" s="16">
        <v>1626</v>
      </c>
      <c r="F14" s="16">
        <v>1626</v>
      </c>
      <c r="G14" s="16">
        <v>58832900</v>
      </c>
      <c r="H14" s="16">
        <f t="shared" si="0"/>
        <v>42</v>
      </c>
    </row>
    <row r="15" spans="1:129">
      <c r="A15" s="17">
        <v>43497</v>
      </c>
      <c r="B15" s="16">
        <v>1629</v>
      </c>
      <c r="C15" s="16">
        <v>1683.5</v>
      </c>
      <c r="D15" s="16">
        <v>1583</v>
      </c>
      <c r="E15" s="16">
        <v>1673.5</v>
      </c>
      <c r="F15" s="16">
        <v>1673.5</v>
      </c>
      <c r="G15" s="16">
        <v>37988000</v>
      </c>
      <c r="H15" s="16">
        <f t="shared" si="0"/>
        <v>44.5</v>
      </c>
    </row>
    <row r="16" spans="1:129">
      <c r="A16" s="17">
        <v>43525</v>
      </c>
      <c r="B16" s="16">
        <v>1671</v>
      </c>
      <c r="C16" s="16">
        <v>1852</v>
      </c>
      <c r="D16" s="16">
        <v>1667.5</v>
      </c>
      <c r="E16" s="16">
        <v>1832</v>
      </c>
      <c r="F16" s="16">
        <v>1832</v>
      </c>
      <c r="G16" s="16">
        <v>58604200</v>
      </c>
      <c r="H16" s="16">
        <f t="shared" si="0"/>
        <v>161</v>
      </c>
    </row>
    <row r="17" spans="1:8">
      <c r="A17" s="17">
        <v>43556</v>
      </c>
      <c r="B17" s="16">
        <v>1852</v>
      </c>
      <c r="C17" s="16">
        <v>1857</v>
      </c>
      <c r="D17" s="16">
        <v>1761</v>
      </c>
      <c r="E17" s="16">
        <v>1792</v>
      </c>
      <c r="F17" s="16">
        <v>1792</v>
      </c>
      <c r="G17" s="16">
        <v>36720300</v>
      </c>
      <c r="H17" s="16">
        <f t="shared" si="0"/>
        <v>-60</v>
      </c>
    </row>
    <row r="18" spans="1:8">
      <c r="A18" s="17">
        <v>43592</v>
      </c>
      <c r="B18" s="16">
        <v>1788.5</v>
      </c>
      <c r="C18" s="16">
        <v>1799</v>
      </c>
      <c r="D18" s="16">
        <v>1700.5</v>
      </c>
      <c r="E18" s="16">
        <v>1741.5</v>
      </c>
      <c r="F18" s="16">
        <v>1741.5</v>
      </c>
      <c r="G18" s="16">
        <v>44930800</v>
      </c>
      <c r="H18" s="16">
        <f t="shared" si="0"/>
        <v>-47</v>
      </c>
    </row>
    <row r="19" spans="1:8">
      <c r="A19" s="17">
        <v>43619</v>
      </c>
      <c r="B19" s="16">
        <v>1715</v>
      </c>
      <c r="C19" s="16">
        <v>1813.5</v>
      </c>
      <c r="D19" s="16">
        <v>1715</v>
      </c>
      <c r="E19" s="16">
        <v>1775.5</v>
      </c>
      <c r="F19" s="16">
        <v>1775.5</v>
      </c>
      <c r="G19" s="16">
        <v>43070000</v>
      </c>
      <c r="H19" s="16">
        <f t="shared" si="0"/>
        <v>60.5</v>
      </c>
    </row>
    <row r="20" spans="1:8">
      <c r="A20" s="17">
        <v>43647</v>
      </c>
      <c r="B20" s="16">
        <v>1803.5</v>
      </c>
      <c r="C20" s="16">
        <v>1908</v>
      </c>
      <c r="D20" s="16">
        <v>1793.5</v>
      </c>
      <c r="E20" s="16">
        <v>1835.5</v>
      </c>
      <c r="F20" s="16">
        <v>1835.5</v>
      </c>
      <c r="G20" s="16">
        <v>48985900</v>
      </c>
      <c r="H20" s="16">
        <f t="shared" si="0"/>
        <v>32</v>
      </c>
    </row>
    <row r="21" spans="1:8">
      <c r="A21" s="17">
        <v>43678</v>
      </c>
      <c r="B21" s="16">
        <v>1819.5</v>
      </c>
      <c r="C21" s="16">
        <v>1885.5</v>
      </c>
      <c r="D21" s="16">
        <v>1753.5</v>
      </c>
      <c r="E21" s="16">
        <v>1885.5</v>
      </c>
      <c r="F21" s="16">
        <v>1885.5</v>
      </c>
      <c r="G21" s="16">
        <v>35992700</v>
      </c>
      <c r="H21" s="16">
        <f t="shared" si="0"/>
        <v>66</v>
      </c>
    </row>
    <row r="22" spans="1:8">
      <c r="A22" s="17">
        <v>43710</v>
      </c>
      <c r="B22" s="16">
        <v>1869.5</v>
      </c>
      <c r="C22" s="16">
        <v>2152</v>
      </c>
      <c r="D22" s="16">
        <v>1855.5</v>
      </c>
      <c r="E22" s="16">
        <v>2125</v>
      </c>
      <c r="F22" s="16">
        <v>2125</v>
      </c>
      <c r="G22" s="16">
        <v>67358400</v>
      </c>
      <c r="H22" s="16">
        <f t="shared" si="0"/>
        <v>255.5</v>
      </c>
    </row>
    <row r="23" spans="1:8">
      <c r="A23" s="17">
        <v>43739</v>
      </c>
      <c r="B23" s="16">
        <v>2135</v>
      </c>
      <c r="C23" s="16">
        <v>2388.5</v>
      </c>
      <c r="D23" s="16">
        <v>2096</v>
      </c>
      <c r="E23" s="16">
        <v>2342</v>
      </c>
      <c r="F23" s="16">
        <v>2342</v>
      </c>
      <c r="G23" s="16">
        <v>62431700</v>
      </c>
      <c r="H23" s="16">
        <f t="shared" si="0"/>
        <v>207</v>
      </c>
    </row>
    <row r="24" spans="1:8">
      <c r="A24" s="17">
        <v>43770</v>
      </c>
      <c r="B24" s="16">
        <v>2319</v>
      </c>
      <c r="C24" s="16">
        <v>2437</v>
      </c>
      <c r="D24" s="16">
        <v>2302.5</v>
      </c>
      <c r="E24" s="16">
        <v>2365</v>
      </c>
      <c r="F24" s="16">
        <v>2365</v>
      </c>
      <c r="G24" s="16">
        <v>46745000</v>
      </c>
      <c r="H24" s="16">
        <f t="shared" si="0"/>
        <v>46</v>
      </c>
    </row>
    <row r="25" spans="1:8">
      <c r="A25" s="17">
        <v>43801</v>
      </c>
      <c r="B25" s="16">
        <v>2390</v>
      </c>
      <c r="C25" s="16">
        <v>2417.5</v>
      </c>
      <c r="D25" s="16">
        <v>2320</v>
      </c>
      <c r="E25" s="16">
        <v>2333.5</v>
      </c>
      <c r="F25" s="16">
        <v>2333.5</v>
      </c>
      <c r="G25" s="16">
        <v>40282900</v>
      </c>
      <c r="H25" s="16">
        <f t="shared" si="0"/>
        <v>-56.5</v>
      </c>
    </row>
    <row r="26" spans="1:8">
      <c r="A26" s="17">
        <v>43836</v>
      </c>
      <c r="B26" s="16">
        <v>2309.5</v>
      </c>
      <c r="C26" s="16">
        <v>2475</v>
      </c>
      <c r="D26" s="16">
        <v>2301.5</v>
      </c>
      <c r="E26" s="16">
        <v>2361</v>
      </c>
      <c r="F26" s="16">
        <v>2361</v>
      </c>
      <c r="G26" s="16">
        <v>52704900</v>
      </c>
      <c r="H26" s="16">
        <f t="shared" si="0"/>
        <v>51.5</v>
      </c>
    </row>
    <row r="27" spans="1:8">
      <c r="A27" s="17">
        <v>43864</v>
      </c>
      <c r="B27" s="16">
        <v>2330</v>
      </c>
      <c r="C27" s="16">
        <v>2457.5</v>
      </c>
      <c r="D27" s="16">
        <v>2080</v>
      </c>
      <c r="E27" s="16">
        <v>2117</v>
      </c>
      <c r="F27" s="16">
        <v>2117</v>
      </c>
      <c r="G27" s="16">
        <v>42467900</v>
      </c>
      <c r="H27" s="16">
        <f t="shared" si="0"/>
        <v>-213</v>
      </c>
    </row>
    <row r="28" spans="1:8">
      <c r="A28" s="17">
        <v>43892</v>
      </c>
      <c r="B28" s="16">
        <v>2077.5</v>
      </c>
      <c r="C28" s="16">
        <v>2171.5</v>
      </c>
      <c r="D28" s="16">
        <v>1551</v>
      </c>
      <c r="E28" s="16">
        <v>1784.5</v>
      </c>
      <c r="F28" s="16">
        <v>1784.5</v>
      </c>
      <c r="G28" s="16">
        <v>92862400</v>
      </c>
      <c r="H28" s="16">
        <f t="shared" si="0"/>
        <v>-293</v>
      </c>
    </row>
    <row r="29" spans="1:8">
      <c r="A29" s="17">
        <v>43922</v>
      </c>
      <c r="B29" s="16">
        <v>1773.5</v>
      </c>
      <c r="C29" s="16">
        <v>1903.5</v>
      </c>
      <c r="D29" s="16">
        <v>1632</v>
      </c>
      <c r="E29" s="16">
        <v>1858.5</v>
      </c>
      <c r="F29" s="16">
        <v>1858.5</v>
      </c>
      <c r="G29" s="16">
        <v>46532000</v>
      </c>
      <c r="H29" s="16">
        <f t="shared" si="0"/>
        <v>85</v>
      </c>
    </row>
    <row r="30" spans="1:8">
      <c r="A30" s="17">
        <v>43952</v>
      </c>
      <c r="B30" s="16">
        <v>1839.5</v>
      </c>
      <c r="C30" s="16">
        <v>2056</v>
      </c>
      <c r="D30" s="16">
        <v>1780</v>
      </c>
      <c r="E30" s="16">
        <v>2052.5</v>
      </c>
      <c r="F30" s="16">
        <v>2052.5</v>
      </c>
      <c r="G30" s="16">
        <v>44415200</v>
      </c>
      <c r="H30" s="16">
        <f t="shared" si="0"/>
        <v>213</v>
      </c>
    </row>
    <row r="31" spans="1:8">
      <c r="A31" s="17">
        <v>43983</v>
      </c>
      <c r="B31" s="16">
        <v>2031</v>
      </c>
      <c r="C31" s="16">
        <v>2182</v>
      </c>
      <c r="D31" s="16">
        <v>2005.5</v>
      </c>
      <c r="E31" s="16">
        <v>2052.5</v>
      </c>
      <c r="F31" s="16">
        <v>2052.5</v>
      </c>
      <c r="G31" s="16">
        <v>49360100</v>
      </c>
      <c r="H31" s="16">
        <f t="shared" si="0"/>
        <v>21.5</v>
      </c>
    </row>
    <row r="32" spans="1:8">
      <c r="A32" s="17">
        <v>44013</v>
      </c>
      <c r="B32" s="16">
        <v>2014</v>
      </c>
      <c r="C32" s="16">
        <v>2164</v>
      </c>
      <c r="D32" s="16">
        <v>1913.5</v>
      </c>
      <c r="E32" s="16">
        <v>1918</v>
      </c>
      <c r="F32" s="16">
        <v>1918</v>
      </c>
      <c r="G32" s="16">
        <v>42421600</v>
      </c>
      <c r="H32" s="16">
        <f t="shared" si="0"/>
        <v>-96</v>
      </c>
    </row>
    <row r="33" spans="1:8">
      <c r="A33" s="17">
        <v>44046</v>
      </c>
      <c r="B33" s="16">
        <v>1929</v>
      </c>
      <c r="C33" s="16">
        <v>2162.5</v>
      </c>
      <c r="D33" s="16">
        <v>1917</v>
      </c>
      <c r="E33" s="16">
        <v>2096</v>
      </c>
      <c r="F33" s="16">
        <v>2096</v>
      </c>
      <c r="G33" s="16">
        <v>31265300</v>
      </c>
      <c r="H33" s="16">
        <f t="shared" si="0"/>
        <v>167</v>
      </c>
    </row>
    <row r="34" spans="1:8">
      <c r="A34" s="17">
        <v>44075</v>
      </c>
      <c r="B34" s="16">
        <v>2070.5</v>
      </c>
      <c r="C34" s="16">
        <v>2110</v>
      </c>
      <c r="D34" s="16">
        <v>1854.5</v>
      </c>
      <c r="E34" s="16">
        <v>1857.5</v>
      </c>
      <c r="F34" s="16">
        <v>1857.5</v>
      </c>
      <c r="G34" s="16">
        <v>46659700</v>
      </c>
      <c r="H34" s="16">
        <f t="shared" ref="H34:H61" si="1">E34-B34</f>
        <v>-213</v>
      </c>
    </row>
    <row r="35" spans="1:8">
      <c r="A35" s="17">
        <v>44106</v>
      </c>
      <c r="B35" s="16">
        <v>1887</v>
      </c>
      <c r="C35" s="16">
        <v>1889</v>
      </c>
      <c r="D35" s="16">
        <v>1720.5</v>
      </c>
      <c r="E35" s="16">
        <v>1726.5</v>
      </c>
      <c r="F35" s="16">
        <v>1726.5</v>
      </c>
      <c r="G35" s="16">
        <v>50459200</v>
      </c>
      <c r="H35" s="16">
        <f t="shared" si="1"/>
        <v>-160.5</v>
      </c>
    </row>
    <row r="36" spans="1:8">
      <c r="A36" s="17">
        <v>44137</v>
      </c>
      <c r="B36" s="16">
        <v>1748</v>
      </c>
      <c r="C36" s="16">
        <v>1975.5</v>
      </c>
      <c r="D36" s="16">
        <v>1739</v>
      </c>
      <c r="E36" s="16">
        <v>1878</v>
      </c>
      <c r="F36" s="16">
        <v>1878</v>
      </c>
      <c r="G36" s="16">
        <v>51629100</v>
      </c>
      <c r="H36" s="16">
        <f t="shared" si="1"/>
        <v>130</v>
      </c>
    </row>
    <row r="37" spans="1:8">
      <c r="A37" s="17">
        <v>44166</v>
      </c>
      <c r="B37" s="16">
        <v>1895</v>
      </c>
      <c r="C37" s="16">
        <v>2133.5</v>
      </c>
      <c r="D37" s="16">
        <v>1869</v>
      </c>
      <c r="E37" s="16">
        <v>2100</v>
      </c>
      <c r="F37" s="16">
        <v>2100</v>
      </c>
      <c r="G37" s="16">
        <v>50132900</v>
      </c>
      <c r="H37" s="16">
        <f t="shared" si="1"/>
        <v>205</v>
      </c>
    </row>
    <row r="38" spans="1:8">
      <c r="A38" s="17">
        <v>44200</v>
      </c>
      <c r="B38" s="16">
        <v>2136</v>
      </c>
      <c r="C38" s="16">
        <v>2162.5</v>
      </c>
      <c r="D38" s="16">
        <v>2011.5</v>
      </c>
      <c r="E38" s="16">
        <v>2019</v>
      </c>
      <c r="F38" s="16">
        <v>2019</v>
      </c>
      <c r="G38" s="16">
        <v>47298300</v>
      </c>
      <c r="H38" s="16">
        <f t="shared" si="1"/>
        <v>-117</v>
      </c>
    </row>
    <row r="39" spans="1:8">
      <c r="A39" s="17">
        <v>44228</v>
      </c>
      <c r="B39" s="16">
        <v>2017</v>
      </c>
      <c r="C39" s="16">
        <v>2169</v>
      </c>
      <c r="D39" s="16">
        <v>1990.5</v>
      </c>
      <c r="E39" s="16">
        <v>1997</v>
      </c>
      <c r="F39" s="16">
        <v>1997</v>
      </c>
      <c r="G39" s="16">
        <v>33086900</v>
      </c>
      <c r="H39" s="16">
        <f t="shared" si="1"/>
        <v>-20</v>
      </c>
    </row>
    <row r="40" spans="1:8">
      <c r="A40" s="17">
        <v>44256</v>
      </c>
      <c r="B40" s="16">
        <v>2036.5</v>
      </c>
      <c r="C40" s="16">
        <v>2438</v>
      </c>
      <c r="D40" s="16">
        <v>2018.5</v>
      </c>
      <c r="E40" s="16">
        <v>2374</v>
      </c>
      <c r="F40" s="16">
        <v>2374</v>
      </c>
      <c r="G40" s="16">
        <v>49360700</v>
      </c>
      <c r="H40" s="16">
        <f t="shared" si="1"/>
        <v>337.5</v>
      </c>
    </row>
    <row r="41" spans="1:8">
      <c r="A41" s="17">
        <v>44287</v>
      </c>
      <c r="B41" s="16">
        <v>2385.5</v>
      </c>
      <c r="C41" s="16">
        <v>2394</v>
      </c>
      <c r="D41" s="16">
        <v>2205</v>
      </c>
      <c r="E41" s="16">
        <v>2209</v>
      </c>
      <c r="F41" s="16">
        <v>2209</v>
      </c>
      <c r="G41" s="16">
        <v>32763600</v>
      </c>
      <c r="H41" s="16">
        <f t="shared" si="1"/>
        <v>-176.5</v>
      </c>
    </row>
    <row r="42" spans="1:8">
      <c r="A42" s="17">
        <v>44322</v>
      </c>
      <c r="B42" s="16">
        <v>2254</v>
      </c>
      <c r="C42" s="16">
        <v>2337.5</v>
      </c>
      <c r="D42" s="16">
        <v>2214</v>
      </c>
      <c r="E42" s="16">
        <v>2278</v>
      </c>
      <c r="F42" s="16">
        <v>2278</v>
      </c>
      <c r="G42" s="16">
        <v>30873800</v>
      </c>
      <c r="H42" s="16">
        <f t="shared" si="1"/>
        <v>24</v>
      </c>
    </row>
    <row r="43" spans="1:8">
      <c r="A43" s="17">
        <v>44348</v>
      </c>
      <c r="B43" s="16">
        <v>2286</v>
      </c>
      <c r="C43" s="16">
        <v>2319.5</v>
      </c>
      <c r="D43" s="16">
        <v>2144</v>
      </c>
      <c r="E43" s="16">
        <v>2278.5</v>
      </c>
      <c r="F43" s="16">
        <v>2278.5</v>
      </c>
      <c r="G43" s="16">
        <v>39311100</v>
      </c>
      <c r="H43" s="16">
        <f t="shared" si="1"/>
        <v>-7.5</v>
      </c>
    </row>
    <row r="44" spans="1:8">
      <c r="A44" s="17">
        <v>44378</v>
      </c>
      <c r="B44" s="16">
        <v>2300</v>
      </c>
      <c r="C44" s="16">
        <v>2367.5</v>
      </c>
      <c r="D44" s="16">
        <v>2160</v>
      </c>
      <c r="E44" s="16">
        <v>2160.5</v>
      </c>
      <c r="F44" s="16">
        <v>2160.5</v>
      </c>
      <c r="G44" s="16">
        <v>41438600</v>
      </c>
      <c r="H44" s="16">
        <f t="shared" si="1"/>
        <v>-139.5</v>
      </c>
    </row>
    <row r="45" spans="1:8">
      <c r="A45" s="17">
        <v>44410</v>
      </c>
      <c r="B45" s="16">
        <v>2186.5</v>
      </c>
      <c r="C45" s="16">
        <v>2233.5</v>
      </c>
      <c r="D45" s="16">
        <v>2125</v>
      </c>
      <c r="E45" s="16">
        <v>2193</v>
      </c>
      <c r="F45" s="16">
        <v>2193</v>
      </c>
      <c r="G45" s="16">
        <v>31884500</v>
      </c>
      <c r="H45" s="16">
        <f t="shared" si="1"/>
        <v>6.5</v>
      </c>
    </row>
    <row r="46" spans="1:8">
      <c r="A46" s="17">
        <v>44440</v>
      </c>
      <c r="B46" s="16">
        <v>2182</v>
      </c>
      <c r="C46" s="16">
        <v>2431.5</v>
      </c>
      <c r="D46" s="16">
        <v>2178</v>
      </c>
      <c r="E46" s="16">
        <v>2351.5</v>
      </c>
      <c r="F46" s="16">
        <v>2351.5</v>
      </c>
      <c r="G46" s="16">
        <v>46177400</v>
      </c>
      <c r="H46" s="16">
        <f t="shared" si="1"/>
        <v>169.5</v>
      </c>
    </row>
    <row r="47" spans="1:8">
      <c r="A47" s="17">
        <v>44470</v>
      </c>
      <c r="B47" s="16">
        <v>2338.5</v>
      </c>
      <c r="C47" s="16">
        <v>2438</v>
      </c>
      <c r="D47" s="16">
        <v>2263</v>
      </c>
      <c r="E47" s="16">
        <v>2361.5</v>
      </c>
      <c r="F47" s="16">
        <v>2361.5</v>
      </c>
      <c r="G47" s="16">
        <v>33974900</v>
      </c>
      <c r="H47" s="16">
        <f t="shared" si="1"/>
        <v>23</v>
      </c>
    </row>
    <row r="48" spans="1:8">
      <c r="A48" s="17">
        <v>44501</v>
      </c>
      <c r="B48" s="16">
        <v>2405</v>
      </c>
      <c r="C48" s="16">
        <v>2449</v>
      </c>
      <c r="D48" s="16">
        <v>2199</v>
      </c>
      <c r="E48" s="16">
        <v>2210</v>
      </c>
      <c r="F48" s="16">
        <v>2210</v>
      </c>
      <c r="G48" s="16">
        <v>30194200</v>
      </c>
      <c r="H48" s="16">
        <f t="shared" si="1"/>
        <v>-195</v>
      </c>
    </row>
    <row r="49" spans="1:8">
      <c r="A49" s="17">
        <v>44531</v>
      </c>
      <c r="B49" s="16">
        <v>2209.5</v>
      </c>
      <c r="C49" s="16">
        <v>2516.5</v>
      </c>
      <c r="D49" s="16">
        <v>2207</v>
      </c>
      <c r="E49" s="16">
        <v>2469</v>
      </c>
      <c r="F49" s="16">
        <v>2469</v>
      </c>
      <c r="G49" s="16">
        <v>39956800</v>
      </c>
      <c r="H49" s="16">
        <f t="shared" si="1"/>
        <v>259.5</v>
      </c>
    </row>
    <row r="50" spans="1:8">
      <c r="A50" s="17">
        <v>44565</v>
      </c>
      <c r="B50" s="16">
        <v>2491.5</v>
      </c>
      <c r="C50" s="16">
        <v>2567</v>
      </c>
      <c r="D50" s="16">
        <v>2251</v>
      </c>
      <c r="E50" s="16">
        <v>2314.5</v>
      </c>
      <c r="F50" s="16">
        <v>2314.5</v>
      </c>
      <c r="G50" s="16">
        <v>47137300</v>
      </c>
      <c r="H50" s="16">
        <f t="shared" si="1"/>
        <v>-177</v>
      </c>
    </row>
    <row r="51" spans="1:8">
      <c r="A51" s="17">
        <v>44593</v>
      </c>
      <c r="B51" s="16">
        <v>2294</v>
      </c>
      <c r="C51" s="16">
        <v>2428</v>
      </c>
      <c r="D51" s="16">
        <v>2263</v>
      </c>
      <c r="E51" s="16">
        <v>2346</v>
      </c>
      <c r="F51" s="16">
        <v>2346</v>
      </c>
      <c r="G51" s="16">
        <v>32758400</v>
      </c>
      <c r="H51" s="16">
        <f t="shared" si="1"/>
        <v>52</v>
      </c>
    </row>
    <row r="52" spans="1:8">
      <c r="A52" s="17">
        <v>44621</v>
      </c>
      <c r="B52" s="16">
        <v>2370.5</v>
      </c>
      <c r="C52" s="16">
        <v>2473</v>
      </c>
      <c r="D52" s="16">
        <v>2220.5</v>
      </c>
      <c r="E52" s="16">
        <v>2371</v>
      </c>
      <c r="F52" s="16">
        <v>2371</v>
      </c>
      <c r="G52" s="16">
        <v>47746300</v>
      </c>
      <c r="H52" s="16">
        <f t="shared" si="1"/>
        <v>0.5</v>
      </c>
    </row>
    <row r="53" spans="1:8">
      <c r="A53" s="17">
        <v>44652</v>
      </c>
      <c r="B53" s="16">
        <v>2354</v>
      </c>
      <c r="C53" s="16">
        <v>2405</v>
      </c>
      <c r="D53" s="16">
        <v>2163.5</v>
      </c>
      <c r="E53" s="16">
        <v>2259</v>
      </c>
      <c r="F53" s="16">
        <v>2259</v>
      </c>
      <c r="G53" s="16">
        <v>44958600</v>
      </c>
      <c r="H53" s="16">
        <f t="shared" si="1"/>
        <v>-95</v>
      </c>
    </row>
    <row r="54" spans="1:8">
      <c r="A54" s="17">
        <v>44683</v>
      </c>
      <c r="B54" s="16">
        <v>2216</v>
      </c>
      <c r="C54" s="16">
        <v>2317.5</v>
      </c>
      <c r="D54" s="16">
        <v>2174</v>
      </c>
      <c r="E54" s="16">
        <v>2282.5</v>
      </c>
      <c r="F54" s="16">
        <v>2282.5</v>
      </c>
      <c r="G54" s="16">
        <v>37844300</v>
      </c>
      <c r="H54" s="16">
        <f t="shared" si="1"/>
        <v>66.5</v>
      </c>
    </row>
    <row r="55" spans="1:8">
      <c r="A55" s="17">
        <v>44713</v>
      </c>
      <c r="B55" s="16">
        <v>2296.5</v>
      </c>
      <c r="C55" s="16">
        <v>2429</v>
      </c>
      <c r="D55" s="16">
        <v>2268</v>
      </c>
      <c r="E55" s="16">
        <v>2376.5</v>
      </c>
      <c r="F55" s="16">
        <v>2376.5</v>
      </c>
      <c r="G55" s="16">
        <v>49186300</v>
      </c>
      <c r="H55" s="16">
        <f t="shared" si="1"/>
        <v>80</v>
      </c>
    </row>
    <row r="56" spans="1:8">
      <c r="A56" s="17">
        <v>44743</v>
      </c>
      <c r="B56" s="16">
        <v>2380</v>
      </c>
      <c r="C56" s="16">
        <v>2449.5</v>
      </c>
      <c r="D56" s="16">
        <v>2246.5</v>
      </c>
      <c r="E56" s="16">
        <v>2356</v>
      </c>
      <c r="F56" s="16">
        <v>2356</v>
      </c>
      <c r="G56" s="16">
        <v>45353400</v>
      </c>
      <c r="H56" s="16">
        <f t="shared" si="1"/>
        <v>-24</v>
      </c>
    </row>
    <row r="57" spans="1:8">
      <c r="A57" s="17">
        <v>44774</v>
      </c>
      <c r="B57" s="16">
        <v>2358</v>
      </c>
      <c r="C57" s="16">
        <v>2392.5</v>
      </c>
      <c r="D57" s="16">
        <v>2262</v>
      </c>
      <c r="E57" s="16">
        <v>2374</v>
      </c>
      <c r="F57" s="16">
        <v>2374</v>
      </c>
      <c r="G57" s="16">
        <v>37908300</v>
      </c>
      <c r="H57" s="16">
        <f t="shared" si="1"/>
        <v>16</v>
      </c>
    </row>
    <row r="58" spans="1:8">
      <c r="A58" s="17">
        <v>44805</v>
      </c>
      <c r="B58" s="16">
        <v>2472</v>
      </c>
      <c r="C58" s="16">
        <v>2580</v>
      </c>
      <c r="D58" s="16">
        <v>2336</v>
      </c>
      <c r="E58" s="16">
        <v>2401</v>
      </c>
      <c r="F58" s="16">
        <v>2401</v>
      </c>
      <c r="G58" s="16">
        <v>92882400</v>
      </c>
      <c r="H58" s="16">
        <f t="shared" si="1"/>
        <v>-71</v>
      </c>
    </row>
    <row r="59" spans="1:8">
      <c r="A59" s="17">
        <v>44837</v>
      </c>
      <c r="B59" s="16">
        <v>2401</v>
      </c>
      <c r="C59" s="16">
        <v>2506.5</v>
      </c>
      <c r="D59" s="16">
        <v>2356.5</v>
      </c>
      <c r="E59" s="16">
        <v>2475</v>
      </c>
      <c r="F59" s="16">
        <v>2475</v>
      </c>
      <c r="G59" s="16">
        <v>47601900</v>
      </c>
      <c r="H59" s="16">
        <f t="shared" si="1"/>
        <v>74</v>
      </c>
    </row>
    <row r="60" spans="1:8">
      <c r="A60" s="17">
        <v>44866</v>
      </c>
      <c r="B60" s="16">
        <v>2474.5</v>
      </c>
      <c r="C60" s="16">
        <v>2594.5</v>
      </c>
      <c r="D60" s="16">
        <v>2406</v>
      </c>
      <c r="E60" s="16">
        <v>2567</v>
      </c>
      <c r="F60" s="16">
        <v>2567</v>
      </c>
      <c r="G60" s="16">
        <v>32010000</v>
      </c>
      <c r="H60" s="16">
        <f t="shared" si="1"/>
        <v>92.5</v>
      </c>
    </row>
    <row r="61" spans="1:8">
      <c r="A61" s="17">
        <v>44896</v>
      </c>
      <c r="B61" s="16">
        <v>2550</v>
      </c>
      <c r="C61" s="16">
        <v>2556.5</v>
      </c>
      <c r="D61" s="16">
        <v>2324</v>
      </c>
      <c r="E61" s="16">
        <v>2333.5</v>
      </c>
      <c r="F61" s="16">
        <v>2333.5</v>
      </c>
      <c r="G61" s="16">
        <v>51136500</v>
      </c>
      <c r="H61" s="16">
        <f t="shared" si="1"/>
        <v>-216.5</v>
      </c>
    </row>
  </sheetData>
  <phoneticPr fontId="32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E7AD9-353E-4121-B1F3-1F14939D90D9}">
  <sheetPr codeName="Sheet4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13520</v>
      </c>
      <c r="C2" s="16">
        <v>13850</v>
      </c>
      <c r="D2" s="16">
        <v>12540</v>
      </c>
      <c r="E2" s="16">
        <v>12540</v>
      </c>
      <c r="F2" s="16">
        <v>12540</v>
      </c>
      <c r="G2" s="16">
        <v>1054400</v>
      </c>
      <c r="H2" s="16">
        <f t="shared" ref="H2:H33" si="0">E2-B2</f>
        <v>-980</v>
      </c>
      <c r="J2" s="18" cm="1">
        <f t="array" ref="J2:Q6">_xlfn._xlws.FILTER(A2:H61,MONTH(A2:A61)=1,"")</f>
        <v>43104</v>
      </c>
      <c r="K2" s="16">
        <v>13520</v>
      </c>
      <c r="L2" s="16">
        <v>13850</v>
      </c>
      <c r="M2" s="16">
        <v>12540</v>
      </c>
      <c r="N2" s="16">
        <v>12540</v>
      </c>
      <c r="O2" s="16">
        <v>12540</v>
      </c>
      <c r="P2" s="16">
        <v>1054400</v>
      </c>
      <c r="Q2" s="16">
        <v>-980</v>
      </c>
      <c r="R2" s="16">
        <f>Q2/K2*100</f>
        <v>-7.2485207100591715</v>
      </c>
      <c r="S2" s="16">
        <f>COUNT(Q2:Q6)</f>
        <v>5</v>
      </c>
      <c r="T2" s="18" cm="1">
        <f t="array" ref="T2:AA6">_xlfn._xlws.FILTER(A2:H61,MONTH(A2:A61)=2,"")</f>
        <v>43132</v>
      </c>
      <c r="U2" s="16">
        <v>12590</v>
      </c>
      <c r="V2" s="16">
        <v>12790</v>
      </c>
      <c r="W2" s="16">
        <v>11240</v>
      </c>
      <c r="X2" s="16">
        <v>12100</v>
      </c>
      <c r="Y2" s="16">
        <v>12100</v>
      </c>
      <c r="Z2" s="16">
        <v>1027500</v>
      </c>
      <c r="AA2" s="16">
        <v>-490</v>
      </c>
      <c r="AB2" s="16">
        <f>AA2/U2*100</f>
        <v>-3.8919777601270846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12010</v>
      </c>
      <c r="AF2" s="16">
        <v>12010</v>
      </c>
      <c r="AG2" s="16">
        <v>9920</v>
      </c>
      <c r="AH2" s="16">
        <v>10710</v>
      </c>
      <c r="AI2" s="16">
        <v>10710</v>
      </c>
      <c r="AJ2" s="16">
        <v>1312700</v>
      </c>
      <c r="AK2" s="16">
        <v>-1300</v>
      </c>
      <c r="AL2" s="16">
        <f>AK2/AE2*100</f>
        <v>-10.824313072439635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10840</v>
      </c>
      <c r="AP2" s="16">
        <v>11150</v>
      </c>
      <c r="AQ2" s="16">
        <v>10290</v>
      </c>
      <c r="AR2" s="16">
        <v>10470</v>
      </c>
      <c r="AS2" s="16">
        <v>10470</v>
      </c>
      <c r="AT2" s="16">
        <v>1794900</v>
      </c>
      <c r="AU2" s="16">
        <v>-370</v>
      </c>
      <c r="AV2" s="16">
        <f>AU2/AO2*100</f>
        <v>-3.4132841328413286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10500</v>
      </c>
      <c r="AZ2" s="16">
        <v>10920</v>
      </c>
      <c r="BA2" s="16">
        <v>10300</v>
      </c>
      <c r="BB2" s="16">
        <v>10380</v>
      </c>
      <c r="BC2" s="16">
        <v>10380</v>
      </c>
      <c r="BD2" s="16">
        <v>875400</v>
      </c>
      <c r="BE2" s="16">
        <v>-120</v>
      </c>
      <c r="BF2" s="16">
        <f>BE2/AY2*100</f>
        <v>-1.1428571428571428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10360</v>
      </c>
      <c r="BJ2" s="16">
        <v>10700</v>
      </c>
      <c r="BK2" s="16">
        <v>9570</v>
      </c>
      <c r="BL2" s="16">
        <v>9780</v>
      </c>
      <c r="BM2" s="16">
        <v>9780</v>
      </c>
      <c r="BN2" s="16">
        <v>1111400</v>
      </c>
      <c r="BO2" s="16">
        <v>-580</v>
      </c>
      <c r="BP2" s="16">
        <f>BO2/BI2*100</f>
        <v>-5.5984555984555984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9670</v>
      </c>
      <c r="BT2" s="16">
        <v>9690</v>
      </c>
      <c r="BU2" s="16">
        <v>8190</v>
      </c>
      <c r="BV2" s="16">
        <v>8600</v>
      </c>
      <c r="BW2" s="16">
        <v>8600</v>
      </c>
      <c r="BX2" s="16">
        <v>1252300</v>
      </c>
      <c r="BY2" s="16">
        <v>-1070</v>
      </c>
      <c r="BZ2" s="16">
        <f>BY2/BS2*100</f>
        <v>-11.065149948293691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8600</v>
      </c>
      <c r="CD2" s="16">
        <v>8630</v>
      </c>
      <c r="CE2" s="16">
        <v>7520</v>
      </c>
      <c r="CF2" s="16">
        <v>7870</v>
      </c>
      <c r="CG2" s="16">
        <v>7870</v>
      </c>
      <c r="CH2" s="16">
        <v>987400</v>
      </c>
      <c r="CI2" s="16">
        <v>-730</v>
      </c>
      <c r="CJ2" s="16">
        <f>CI2/CC2*100</f>
        <v>-8.4883720930232549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7800</v>
      </c>
      <c r="CN2" s="16">
        <v>7820</v>
      </c>
      <c r="CO2" s="16">
        <v>6330</v>
      </c>
      <c r="CP2" s="16">
        <v>7450</v>
      </c>
      <c r="CQ2" s="16">
        <v>7450</v>
      </c>
      <c r="CR2" s="16">
        <v>1413700</v>
      </c>
      <c r="CS2" s="16">
        <v>-350</v>
      </c>
      <c r="CT2" s="16">
        <f>CS2/CM2*100</f>
        <v>-4.4871794871794872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7440</v>
      </c>
      <c r="CX2" s="16">
        <v>7590</v>
      </c>
      <c r="CY2" s="16">
        <v>7050</v>
      </c>
      <c r="CZ2" s="16">
        <v>7300</v>
      </c>
      <c r="DA2" s="16">
        <v>7300</v>
      </c>
      <c r="DB2" s="16">
        <v>1234700</v>
      </c>
      <c r="DC2" s="16">
        <v>-140</v>
      </c>
      <c r="DD2" s="16">
        <f>DC2/CW2*100</f>
        <v>-1.881720430107527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7290</v>
      </c>
      <c r="DH2" s="16">
        <v>7980</v>
      </c>
      <c r="DI2" s="16">
        <v>7280</v>
      </c>
      <c r="DJ2" s="16">
        <v>7780</v>
      </c>
      <c r="DK2" s="16">
        <v>7780</v>
      </c>
      <c r="DL2" s="16">
        <v>720000</v>
      </c>
      <c r="DM2" s="16">
        <v>490</v>
      </c>
      <c r="DN2" s="16">
        <f>DM2/DG2*100</f>
        <v>6.7215363511659811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7810</v>
      </c>
      <c r="DR2" s="16">
        <v>7860</v>
      </c>
      <c r="DS2" s="16">
        <v>5740</v>
      </c>
      <c r="DT2" s="16">
        <v>6510</v>
      </c>
      <c r="DU2" s="16">
        <v>6510</v>
      </c>
      <c r="DV2" s="16">
        <v>966900</v>
      </c>
      <c r="DW2" s="16">
        <v>-1300</v>
      </c>
      <c r="DX2" s="16">
        <f>DW2/DQ2*100</f>
        <v>-16.645326504481435</v>
      </c>
      <c r="DY2" s="16">
        <f>COUNT(DW2:DW6)</f>
        <v>5</v>
      </c>
    </row>
    <row r="3" spans="1:129">
      <c r="A3" s="17">
        <v>43132</v>
      </c>
      <c r="B3" s="16">
        <v>12590</v>
      </c>
      <c r="C3" s="16">
        <v>12790</v>
      </c>
      <c r="D3" s="16">
        <v>11240</v>
      </c>
      <c r="E3" s="16">
        <v>12100</v>
      </c>
      <c r="F3" s="16">
        <v>12100</v>
      </c>
      <c r="G3" s="16">
        <v>1027500</v>
      </c>
      <c r="H3" s="16">
        <f t="shared" si="0"/>
        <v>-490</v>
      </c>
      <c r="J3" s="18">
        <v>43469</v>
      </c>
      <c r="K3" s="16">
        <v>6310</v>
      </c>
      <c r="L3" s="16">
        <v>6760</v>
      </c>
      <c r="M3" s="16">
        <v>6270</v>
      </c>
      <c r="N3" s="16">
        <v>6410</v>
      </c>
      <c r="O3" s="16">
        <v>6410</v>
      </c>
      <c r="P3" s="16">
        <v>621900</v>
      </c>
      <c r="Q3" s="16">
        <v>100</v>
      </c>
      <c r="R3" s="16">
        <f>Q3/K3*100</f>
        <v>1.5847860538827259</v>
      </c>
      <c r="S3" s="16">
        <f>COUNTIF(Q2:Q6,"&gt;0")</f>
        <v>2</v>
      </c>
      <c r="T3" s="18">
        <v>43497</v>
      </c>
      <c r="U3" s="16">
        <v>6410</v>
      </c>
      <c r="V3" s="16">
        <v>6940</v>
      </c>
      <c r="W3" s="16">
        <v>6230</v>
      </c>
      <c r="X3" s="16">
        <v>6850</v>
      </c>
      <c r="Y3" s="16">
        <v>6850</v>
      </c>
      <c r="Z3" s="16">
        <v>466400</v>
      </c>
      <c r="AA3" s="16">
        <v>440</v>
      </c>
      <c r="AB3" s="16">
        <f>AA3/U3*100</f>
        <v>6.8642745709828397</v>
      </c>
      <c r="AC3" s="16">
        <f>COUNTIF(AA2:AA6,"&gt;0")</f>
        <v>3</v>
      </c>
      <c r="AD3" s="18">
        <v>43525</v>
      </c>
      <c r="AE3" s="16">
        <v>6900</v>
      </c>
      <c r="AF3" s="16">
        <v>7400</v>
      </c>
      <c r="AG3" s="16">
        <v>6720</v>
      </c>
      <c r="AH3" s="16">
        <v>7180</v>
      </c>
      <c r="AI3" s="16">
        <v>7180</v>
      </c>
      <c r="AJ3" s="16">
        <v>1091300</v>
      </c>
      <c r="AK3" s="16">
        <v>280</v>
      </c>
      <c r="AL3" s="16">
        <f>AK3/AE3*100</f>
        <v>4.057971014492753</v>
      </c>
      <c r="AM3" s="16">
        <f>COUNTIF(AK2:AK6,"&gt;0")</f>
        <v>3</v>
      </c>
      <c r="AN3" s="18">
        <v>43556</v>
      </c>
      <c r="AO3" s="16">
        <v>7220</v>
      </c>
      <c r="AP3" s="16">
        <v>7790</v>
      </c>
      <c r="AQ3" s="16">
        <v>6740</v>
      </c>
      <c r="AR3" s="16">
        <v>6780</v>
      </c>
      <c r="AS3" s="16">
        <v>6780</v>
      </c>
      <c r="AT3" s="16">
        <v>2664000</v>
      </c>
      <c r="AU3" s="16">
        <v>-440</v>
      </c>
      <c r="AV3" s="16">
        <f>AU3/AO3*100</f>
        <v>-6.094182825484765</v>
      </c>
      <c r="AW3" s="16">
        <f>COUNTIF(AU2:AU6,"&gt;0")</f>
        <v>0</v>
      </c>
      <c r="AX3" s="18">
        <v>43592</v>
      </c>
      <c r="AY3" s="16">
        <v>6720</v>
      </c>
      <c r="AZ3" s="16">
        <v>6720</v>
      </c>
      <c r="BA3" s="16">
        <v>5930</v>
      </c>
      <c r="BB3" s="16">
        <v>6330</v>
      </c>
      <c r="BC3" s="16">
        <v>6330</v>
      </c>
      <c r="BD3" s="16">
        <v>962100</v>
      </c>
      <c r="BE3" s="16">
        <v>-390</v>
      </c>
      <c r="BF3" s="16">
        <f>BE3/AY3*100</f>
        <v>-5.8035714285714288</v>
      </c>
      <c r="BG3" s="16">
        <f>COUNTIF(BE2:BE6,"&gt;0")</f>
        <v>1</v>
      </c>
      <c r="BH3" s="18">
        <v>43619</v>
      </c>
      <c r="BI3" s="16">
        <v>6280</v>
      </c>
      <c r="BJ3" s="16">
        <v>6750</v>
      </c>
      <c r="BK3" s="16">
        <v>6020</v>
      </c>
      <c r="BL3" s="16">
        <v>6090</v>
      </c>
      <c r="BM3" s="16">
        <v>6090</v>
      </c>
      <c r="BN3" s="16">
        <v>818900</v>
      </c>
      <c r="BO3" s="16">
        <v>-190</v>
      </c>
      <c r="BP3" s="16">
        <f>BO3/BI3*100</f>
        <v>-3.0254777070063694</v>
      </c>
      <c r="BQ3" s="16">
        <f>COUNTIF(BO2:BO6,"&gt;0")</f>
        <v>1</v>
      </c>
      <c r="BR3" s="18">
        <v>43647</v>
      </c>
      <c r="BS3" s="16">
        <v>6190</v>
      </c>
      <c r="BT3" s="16">
        <v>6620</v>
      </c>
      <c r="BU3" s="16">
        <v>6130</v>
      </c>
      <c r="BV3" s="16">
        <v>6260</v>
      </c>
      <c r="BW3" s="16">
        <v>6260</v>
      </c>
      <c r="BX3" s="16">
        <v>667600</v>
      </c>
      <c r="BY3" s="16">
        <v>70</v>
      </c>
      <c r="BZ3" s="16">
        <f>BY3/BS3*100</f>
        <v>1.1308562197092082</v>
      </c>
      <c r="CA3" s="16">
        <f>COUNTIF(BY2:BY6,"&gt;0")</f>
        <v>2</v>
      </c>
      <c r="CB3" s="18">
        <v>43678</v>
      </c>
      <c r="CC3" s="16">
        <v>6220</v>
      </c>
      <c r="CD3" s="16">
        <v>6330</v>
      </c>
      <c r="CE3" s="16">
        <v>5900</v>
      </c>
      <c r="CF3" s="16">
        <v>6250</v>
      </c>
      <c r="CG3" s="16">
        <v>6250</v>
      </c>
      <c r="CH3" s="16">
        <v>560300</v>
      </c>
      <c r="CI3" s="16">
        <v>30</v>
      </c>
      <c r="CJ3" s="16">
        <f>CI3/CC3*100</f>
        <v>0.48231511254019299</v>
      </c>
      <c r="CK3" s="16">
        <f>COUNTIF(CI2:CI6,"&gt;0")</f>
        <v>4</v>
      </c>
      <c r="CL3" s="18">
        <v>43710</v>
      </c>
      <c r="CM3" s="16">
        <v>6220</v>
      </c>
      <c r="CN3" s="16">
        <v>6850</v>
      </c>
      <c r="CO3" s="16">
        <v>6040</v>
      </c>
      <c r="CP3" s="16">
        <v>6630</v>
      </c>
      <c r="CQ3" s="16">
        <v>6630</v>
      </c>
      <c r="CR3" s="16">
        <v>675800</v>
      </c>
      <c r="CS3" s="16">
        <v>410</v>
      </c>
      <c r="CT3" s="16">
        <f>CS3/CM3*100</f>
        <v>6.5916398713826361</v>
      </c>
      <c r="CU3" s="16">
        <f>COUNTIF(CS2:CS6,"&gt;0")</f>
        <v>2</v>
      </c>
      <c r="CV3" s="18">
        <v>43739</v>
      </c>
      <c r="CW3" s="16">
        <v>6730</v>
      </c>
      <c r="CX3" s="16">
        <v>7120</v>
      </c>
      <c r="CY3" s="16">
        <v>6620</v>
      </c>
      <c r="CZ3" s="16">
        <v>6960</v>
      </c>
      <c r="DA3" s="16">
        <v>6960</v>
      </c>
      <c r="DB3" s="16">
        <v>651300</v>
      </c>
      <c r="DC3" s="16">
        <v>230</v>
      </c>
      <c r="DD3" s="16">
        <f>DC3/CW3*100</f>
        <v>3.4175334323922733</v>
      </c>
      <c r="DE3" s="16">
        <f>COUNTIF(DC2:DC6,"&gt;0")</f>
        <v>1</v>
      </c>
      <c r="DF3" s="18">
        <v>43770</v>
      </c>
      <c r="DG3" s="16">
        <v>6950</v>
      </c>
      <c r="DH3" s="16">
        <v>7370</v>
      </c>
      <c r="DI3" s="16">
        <v>6910</v>
      </c>
      <c r="DJ3" s="16">
        <v>7300</v>
      </c>
      <c r="DK3" s="16">
        <v>7300</v>
      </c>
      <c r="DL3" s="16">
        <v>400700</v>
      </c>
      <c r="DM3" s="16">
        <v>350</v>
      </c>
      <c r="DN3" s="16">
        <f>DM3/DG3*100</f>
        <v>5.0359712230215825</v>
      </c>
      <c r="DO3" s="16">
        <f>COUNTIF(DM2:DM6,"&gt;0")</f>
        <v>4</v>
      </c>
      <c r="DP3" s="18">
        <v>43801</v>
      </c>
      <c r="DQ3" s="16">
        <v>7270</v>
      </c>
      <c r="DR3" s="16">
        <v>7530</v>
      </c>
      <c r="DS3" s="16">
        <v>7200</v>
      </c>
      <c r="DT3" s="16">
        <v>7370</v>
      </c>
      <c r="DU3" s="16">
        <v>7370</v>
      </c>
      <c r="DV3" s="16">
        <v>375900</v>
      </c>
      <c r="DW3" s="16">
        <v>100</v>
      </c>
      <c r="DX3" s="16">
        <f>DW3/DQ3*100</f>
        <v>1.3755158184319118</v>
      </c>
      <c r="DY3" s="16">
        <f>COUNTIF(DW2:DW6,"&gt;0")</f>
        <v>3</v>
      </c>
    </row>
    <row r="4" spans="1:129">
      <c r="A4" s="17">
        <v>43160</v>
      </c>
      <c r="B4" s="16">
        <v>12010</v>
      </c>
      <c r="C4" s="16">
        <v>12010</v>
      </c>
      <c r="D4" s="16">
        <v>9920</v>
      </c>
      <c r="E4" s="16">
        <v>10710</v>
      </c>
      <c r="F4" s="16">
        <v>10710</v>
      </c>
      <c r="G4" s="16">
        <v>1312700</v>
      </c>
      <c r="H4" s="16">
        <f t="shared" si="0"/>
        <v>-1300</v>
      </c>
      <c r="J4" s="18">
        <v>43836</v>
      </c>
      <c r="K4" s="16">
        <v>7330</v>
      </c>
      <c r="L4" s="16">
        <v>7730</v>
      </c>
      <c r="M4" s="16">
        <v>7310</v>
      </c>
      <c r="N4" s="16">
        <v>7580</v>
      </c>
      <c r="O4" s="16">
        <v>7580</v>
      </c>
      <c r="P4" s="16">
        <v>372400</v>
      </c>
      <c r="Q4" s="16">
        <v>250</v>
      </c>
      <c r="R4" s="16">
        <f>Q4/K4*100</f>
        <v>3.4106412005457027</v>
      </c>
      <c r="S4" s="19">
        <f>S3/S2*100</f>
        <v>40</v>
      </c>
      <c r="T4" s="18">
        <v>43864</v>
      </c>
      <c r="U4" s="16">
        <v>7430</v>
      </c>
      <c r="V4" s="16">
        <v>8350</v>
      </c>
      <c r="W4" s="16">
        <v>7420</v>
      </c>
      <c r="X4" s="16">
        <v>7480</v>
      </c>
      <c r="Y4" s="16">
        <v>7480</v>
      </c>
      <c r="Z4" s="16">
        <v>494200</v>
      </c>
      <c r="AA4" s="16">
        <v>50</v>
      </c>
      <c r="AB4" s="16">
        <f>AA4/U4*100</f>
        <v>0.67294751009421261</v>
      </c>
      <c r="AC4" s="19">
        <f>AC3/AC2*100</f>
        <v>60</v>
      </c>
      <c r="AD4" s="18">
        <v>43892</v>
      </c>
      <c r="AE4" s="16">
        <v>7330</v>
      </c>
      <c r="AF4" s="16">
        <v>8190</v>
      </c>
      <c r="AG4" s="16">
        <v>5970</v>
      </c>
      <c r="AH4" s="16">
        <v>7990</v>
      </c>
      <c r="AI4" s="16">
        <v>7990</v>
      </c>
      <c r="AJ4" s="16">
        <v>1275200</v>
      </c>
      <c r="AK4" s="16">
        <v>660</v>
      </c>
      <c r="AL4" s="16">
        <f>AK4/AE4*100</f>
        <v>9.0040927694406552</v>
      </c>
      <c r="AM4" s="19">
        <f>AM3/AM2*100</f>
        <v>60</v>
      </c>
      <c r="AN4" s="18">
        <v>43922</v>
      </c>
      <c r="AO4" s="16">
        <v>7930</v>
      </c>
      <c r="AP4" s="16">
        <v>7960</v>
      </c>
      <c r="AQ4" s="16">
        <v>7060</v>
      </c>
      <c r="AR4" s="16">
        <v>7400</v>
      </c>
      <c r="AS4" s="16">
        <v>7400</v>
      </c>
      <c r="AT4" s="16">
        <v>2031900</v>
      </c>
      <c r="AU4" s="16">
        <v>-530</v>
      </c>
      <c r="AV4" s="16">
        <f>AU4/AO4*100</f>
        <v>-6.6834804539722565</v>
      </c>
      <c r="AW4" s="19">
        <f>AW3/AW2*100</f>
        <v>0</v>
      </c>
      <c r="AX4" s="18">
        <v>43952</v>
      </c>
      <c r="AY4" s="16">
        <v>7350</v>
      </c>
      <c r="AZ4" s="16">
        <v>7490</v>
      </c>
      <c r="BA4" s="16">
        <v>6950</v>
      </c>
      <c r="BB4" s="16">
        <v>7390</v>
      </c>
      <c r="BC4" s="16">
        <v>7390</v>
      </c>
      <c r="BD4" s="16">
        <v>683900</v>
      </c>
      <c r="BE4" s="16">
        <v>40</v>
      </c>
      <c r="BF4" s="16">
        <f>BE4/AY4*100</f>
        <v>0.54421768707482987</v>
      </c>
      <c r="BG4" s="19">
        <f>BG3/BG2*100</f>
        <v>20</v>
      </c>
      <c r="BH4" s="18">
        <v>43983</v>
      </c>
      <c r="BI4" s="16">
        <v>7450</v>
      </c>
      <c r="BJ4" s="16">
        <v>7520</v>
      </c>
      <c r="BK4" s="16">
        <v>7000</v>
      </c>
      <c r="BL4" s="16">
        <v>7030</v>
      </c>
      <c r="BM4" s="16">
        <v>7030</v>
      </c>
      <c r="BN4" s="16">
        <v>562200</v>
      </c>
      <c r="BO4" s="16">
        <v>-420</v>
      </c>
      <c r="BP4" s="16">
        <f>BO4/BI4*100</f>
        <v>-5.6375838926174495</v>
      </c>
      <c r="BQ4" s="19">
        <f>BQ3/BQ2*100</f>
        <v>20</v>
      </c>
      <c r="BR4" s="18">
        <v>44013</v>
      </c>
      <c r="BS4" s="16">
        <v>7050</v>
      </c>
      <c r="BT4" s="16">
        <v>7310</v>
      </c>
      <c r="BU4" s="16">
        <v>6720</v>
      </c>
      <c r="BV4" s="16">
        <v>6720</v>
      </c>
      <c r="BW4" s="16">
        <v>6720</v>
      </c>
      <c r="BX4" s="16">
        <v>495100</v>
      </c>
      <c r="BY4" s="16">
        <v>-330</v>
      </c>
      <c r="BZ4" s="16">
        <f>BY4/BS4*100</f>
        <v>-4.6808510638297873</v>
      </c>
      <c r="CA4" s="19">
        <f>CA3/CA2*100</f>
        <v>40</v>
      </c>
      <c r="CB4" s="18">
        <v>44046</v>
      </c>
      <c r="CC4" s="16">
        <v>6730</v>
      </c>
      <c r="CD4" s="16">
        <v>7000</v>
      </c>
      <c r="CE4" s="16">
        <v>6500</v>
      </c>
      <c r="CF4" s="16">
        <v>6900</v>
      </c>
      <c r="CG4" s="16">
        <v>6900</v>
      </c>
      <c r="CH4" s="16">
        <v>522700</v>
      </c>
      <c r="CI4" s="16">
        <v>170</v>
      </c>
      <c r="CJ4" s="16">
        <f>CI4/CC4*100</f>
        <v>2.526002971768202</v>
      </c>
      <c r="CK4" s="19">
        <f>CK3/CK2*100</f>
        <v>80</v>
      </c>
      <c r="CL4" s="18">
        <v>44075</v>
      </c>
      <c r="CM4" s="16">
        <v>6880</v>
      </c>
      <c r="CN4" s="16">
        <v>8180</v>
      </c>
      <c r="CO4" s="16">
        <v>6860</v>
      </c>
      <c r="CP4" s="16">
        <v>7770</v>
      </c>
      <c r="CQ4" s="16">
        <v>7770</v>
      </c>
      <c r="CR4" s="16">
        <v>653200</v>
      </c>
      <c r="CS4" s="16">
        <v>890</v>
      </c>
      <c r="CT4" s="16">
        <f>CS4/CM4*100</f>
        <v>12.936046511627907</v>
      </c>
      <c r="CU4" s="19">
        <f>CU3/CU2*100</f>
        <v>40</v>
      </c>
      <c r="CV4" s="18">
        <v>44106</v>
      </c>
      <c r="CW4" s="16">
        <v>7920</v>
      </c>
      <c r="CX4" s="16">
        <v>8290</v>
      </c>
      <c r="CY4" s="16">
        <v>7750</v>
      </c>
      <c r="CZ4" s="16">
        <v>7850</v>
      </c>
      <c r="DA4" s="16">
        <v>7850</v>
      </c>
      <c r="DB4" s="16">
        <v>362800</v>
      </c>
      <c r="DC4" s="16">
        <v>-70</v>
      </c>
      <c r="DD4" s="16">
        <f>DC4/CW4*100</f>
        <v>-0.88383838383838376</v>
      </c>
      <c r="DE4" s="19">
        <f>DE3/DE2*100</f>
        <v>20</v>
      </c>
      <c r="DF4" s="18">
        <v>44137</v>
      </c>
      <c r="DG4" s="16">
        <v>7850</v>
      </c>
      <c r="DH4" s="16">
        <v>8480</v>
      </c>
      <c r="DI4" s="16">
        <v>7800</v>
      </c>
      <c r="DJ4" s="16">
        <v>8090</v>
      </c>
      <c r="DK4" s="16">
        <v>8090</v>
      </c>
      <c r="DL4" s="16">
        <v>642400</v>
      </c>
      <c r="DM4" s="16">
        <v>240</v>
      </c>
      <c r="DN4" s="16">
        <f>DM4/DG4*100</f>
        <v>3.0573248407643314</v>
      </c>
      <c r="DO4" s="19">
        <f>DO3/DO2*100</f>
        <v>80</v>
      </c>
      <c r="DP4" s="18">
        <v>44166</v>
      </c>
      <c r="DQ4" s="16">
        <v>8100</v>
      </c>
      <c r="DR4" s="16">
        <v>8330</v>
      </c>
      <c r="DS4" s="16">
        <v>7620</v>
      </c>
      <c r="DT4" s="16">
        <v>8180</v>
      </c>
      <c r="DU4" s="16">
        <v>8180</v>
      </c>
      <c r="DV4" s="16">
        <v>456700</v>
      </c>
      <c r="DW4" s="16">
        <v>80</v>
      </c>
      <c r="DX4" s="16">
        <f>DW4/DQ4*100</f>
        <v>0.98765432098765427</v>
      </c>
      <c r="DY4" s="19">
        <f>DY3/DY2*100</f>
        <v>60</v>
      </c>
    </row>
    <row r="5" spans="1:129">
      <c r="A5" s="17">
        <v>43192</v>
      </c>
      <c r="B5" s="16">
        <v>10840</v>
      </c>
      <c r="C5" s="16">
        <v>11150</v>
      </c>
      <c r="D5" s="16">
        <v>10290</v>
      </c>
      <c r="E5" s="16">
        <v>10470</v>
      </c>
      <c r="F5" s="16">
        <v>10470</v>
      </c>
      <c r="G5" s="16">
        <v>1794900</v>
      </c>
      <c r="H5" s="16">
        <f t="shared" si="0"/>
        <v>-370</v>
      </c>
      <c r="J5" s="18">
        <v>44200</v>
      </c>
      <c r="K5" s="16">
        <v>8130</v>
      </c>
      <c r="L5" s="16">
        <v>8320</v>
      </c>
      <c r="M5" s="16">
        <v>7850</v>
      </c>
      <c r="N5" s="16">
        <v>8130</v>
      </c>
      <c r="O5" s="16">
        <v>8130</v>
      </c>
      <c r="P5" s="16">
        <v>398600</v>
      </c>
      <c r="Q5" s="16">
        <v>0</v>
      </c>
      <c r="R5" s="16">
        <f>Q5/K5*100</f>
        <v>0</v>
      </c>
      <c r="S5" s="16">
        <f>AVERAGE(R2:R6)</f>
        <v>-0.93482921744193814</v>
      </c>
      <c r="T5" s="18">
        <v>44228</v>
      </c>
      <c r="U5" s="16">
        <v>8170</v>
      </c>
      <c r="V5" s="16">
        <v>8880</v>
      </c>
      <c r="W5" s="16">
        <v>8170</v>
      </c>
      <c r="X5" s="16">
        <v>8360</v>
      </c>
      <c r="Y5" s="16">
        <v>8360</v>
      </c>
      <c r="Z5" s="16">
        <v>311400</v>
      </c>
      <c r="AA5" s="16">
        <v>190</v>
      </c>
      <c r="AB5" s="16">
        <f>AA5/U5*100</f>
        <v>2.3255813953488373</v>
      </c>
      <c r="AC5" s="16">
        <f>AVERAGE(AB2:AB6)</f>
        <v>0.57582825626615752</v>
      </c>
      <c r="AD5" s="18">
        <v>44256</v>
      </c>
      <c r="AE5" s="16">
        <v>8430</v>
      </c>
      <c r="AF5" s="16">
        <v>11280</v>
      </c>
      <c r="AG5" s="16">
        <v>8430</v>
      </c>
      <c r="AH5" s="16">
        <v>10810</v>
      </c>
      <c r="AI5" s="16">
        <v>10810</v>
      </c>
      <c r="AJ5" s="16">
        <v>749500</v>
      </c>
      <c r="AK5" s="16">
        <v>2380</v>
      </c>
      <c r="AL5" s="16">
        <f>AK5/AE5*100</f>
        <v>28.23250296559905</v>
      </c>
      <c r="AM5" s="16">
        <f>AVERAGE(AL2:AL6)</f>
        <v>5.8108263345471052</v>
      </c>
      <c r="AN5" s="18">
        <v>44287</v>
      </c>
      <c r="AO5" s="16">
        <v>10930</v>
      </c>
      <c r="AP5" s="16">
        <v>11070</v>
      </c>
      <c r="AQ5" s="16">
        <v>9650</v>
      </c>
      <c r="AR5" s="16">
        <v>9760</v>
      </c>
      <c r="AS5" s="16">
        <v>9760</v>
      </c>
      <c r="AT5" s="16">
        <v>1588100</v>
      </c>
      <c r="AU5" s="16">
        <v>-1170</v>
      </c>
      <c r="AV5" s="16">
        <f>AU5/AO5*100</f>
        <v>-10.704483074107959</v>
      </c>
      <c r="AW5" s="16">
        <f>AVERAGE(AV2:AV6)</f>
        <v>-6.1346416528368177</v>
      </c>
      <c r="AX5" s="18">
        <v>44322</v>
      </c>
      <c r="AY5" s="16">
        <v>9790</v>
      </c>
      <c r="AZ5" s="16">
        <v>10080</v>
      </c>
      <c r="BA5" s="16">
        <v>9330</v>
      </c>
      <c r="BB5" s="16">
        <v>9540</v>
      </c>
      <c r="BC5" s="16">
        <v>9540</v>
      </c>
      <c r="BD5" s="16">
        <v>520900</v>
      </c>
      <c r="BE5" s="16">
        <v>-250</v>
      </c>
      <c r="BF5" s="16">
        <f>BE5/AY5*100</f>
        <v>-2.5536261491317673</v>
      </c>
      <c r="BG5" s="16">
        <f>AVERAGE(BF2:BF6)</f>
        <v>-1.9297355360273556</v>
      </c>
      <c r="BH5" s="18">
        <v>44348</v>
      </c>
      <c r="BI5" s="16">
        <v>9610</v>
      </c>
      <c r="BJ5" s="16">
        <v>10340</v>
      </c>
      <c r="BK5" s="16">
        <v>9530</v>
      </c>
      <c r="BL5" s="16">
        <v>10150</v>
      </c>
      <c r="BM5" s="16">
        <v>10150</v>
      </c>
      <c r="BN5" s="16">
        <v>716200</v>
      </c>
      <c r="BO5" s="16">
        <v>540</v>
      </c>
      <c r="BP5" s="16">
        <f>BO5/BI5*100</f>
        <v>5.6191467221644125</v>
      </c>
      <c r="BQ5" s="16">
        <f>AVERAGE(BP2:BP6)</f>
        <v>-4.0449878566508906</v>
      </c>
      <c r="BR5" s="18">
        <v>44378</v>
      </c>
      <c r="BS5" s="16">
        <v>10150</v>
      </c>
      <c r="BT5" s="16">
        <v>10500</v>
      </c>
      <c r="BU5" s="16">
        <v>9870</v>
      </c>
      <c r="BV5" s="16">
        <v>9890</v>
      </c>
      <c r="BW5" s="16">
        <v>9890</v>
      </c>
      <c r="BX5" s="16">
        <v>504600</v>
      </c>
      <c r="BY5" s="16">
        <v>-260</v>
      </c>
      <c r="BZ5" s="16">
        <f>BY5/BS5*100</f>
        <v>-2.5615763546798029</v>
      </c>
      <c r="CA5" s="16">
        <f>AVERAGE(BZ2:BZ6)</f>
        <v>-0.45220544861466438</v>
      </c>
      <c r="CB5" s="18">
        <v>44410</v>
      </c>
      <c r="CC5" s="16">
        <v>9980</v>
      </c>
      <c r="CD5" s="16">
        <v>10530</v>
      </c>
      <c r="CE5" s="16">
        <v>9620</v>
      </c>
      <c r="CF5" s="16">
        <v>10480</v>
      </c>
      <c r="CG5" s="16">
        <v>10480</v>
      </c>
      <c r="CH5" s="16">
        <v>339300</v>
      </c>
      <c r="CI5" s="16">
        <v>500</v>
      </c>
      <c r="CJ5" s="16">
        <f>CI5/CC5*100</f>
        <v>5.0100200400801604</v>
      </c>
      <c r="CK5" s="16">
        <f>AVERAGE(CJ2:CJ6)</f>
        <v>-7.1509605875421517E-2</v>
      </c>
      <c r="CL5" s="18">
        <v>44440</v>
      </c>
      <c r="CM5" s="16">
        <v>10570</v>
      </c>
      <c r="CN5" s="16">
        <v>11150</v>
      </c>
      <c r="CO5" s="16">
        <v>9840</v>
      </c>
      <c r="CP5" s="16">
        <v>9930</v>
      </c>
      <c r="CQ5" s="16">
        <v>9930</v>
      </c>
      <c r="CR5" s="16">
        <v>519300</v>
      </c>
      <c r="CS5" s="16">
        <v>-640</v>
      </c>
      <c r="CT5" s="16">
        <f>CS5/CM5*100</f>
        <v>-6.0548722800378432</v>
      </c>
      <c r="CU5" s="16">
        <f>AVERAGE(CT2:CT6)</f>
        <v>0.27463557367767366</v>
      </c>
      <c r="CV5" s="18">
        <v>44470</v>
      </c>
      <c r="CW5" s="16">
        <v>9890</v>
      </c>
      <c r="CX5" s="16">
        <v>10000</v>
      </c>
      <c r="CY5" s="16">
        <v>9200</v>
      </c>
      <c r="CZ5" s="16">
        <v>9290</v>
      </c>
      <c r="DA5" s="16">
        <v>9290</v>
      </c>
      <c r="DB5" s="16">
        <v>419900</v>
      </c>
      <c r="DC5" s="16">
        <v>-600</v>
      </c>
      <c r="DD5" s="16">
        <f>DC5/CW5*100</f>
        <v>-6.0667340748230529</v>
      </c>
      <c r="DE5" s="16">
        <f>AVERAGE(DD2:DD6)</f>
        <v>-1.3345242183193633</v>
      </c>
      <c r="DF5" s="18">
        <v>44501</v>
      </c>
      <c r="DG5" s="16">
        <v>9480</v>
      </c>
      <c r="DH5" s="16">
        <v>9690</v>
      </c>
      <c r="DI5" s="16">
        <v>8920</v>
      </c>
      <c r="DJ5" s="16">
        <v>8950</v>
      </c>
      <c r="DK5" s="16">
        <v>8950</v>
      </c>
      <c r="DL5" s="16">
        <v>358200</v>
      </c>
      <c r="DM5" s="16">
        <v>-530</v>
      </c>
      <c r="DN5" s="16">
        <f>DM5/DG5*100</f>
        <v>-5.590717299578059</v>
      </c>
      <c r="DO5" s="16">
        <f>AVERAGE(DN2:DN6)</f>
        <v>2.1773038414890893</v>
      </c>
      <c r="DP5" s="18">
        <v>44531</v>
      </c>
      <c r="DQ5" s="16">
        <v>8950</v>
      </c>
      <c r="DR5" s="16">
        <v>9590</v>
      </c>
      <c r="DS5" s="16">
        <v>8860</v>
      </c>
      <c r="DT5" s="16">
        <v>9450</v>
      </c>
      <c r="DU5" s="16">
        <v>9450</v>
      </c>
      <c r="DV5" s="16">
        <v>501100</v>
      </c>
      <c r="DW5" s="16">
        <v>500</v>
      </c>
      <c r="DX5" s="16">
        <f>DW5/DQ5*100</f>
        <v>5.5865921787709496</v>
      </c>
      <c r="DY5" s="16">
        <f>AVERAGE(DX2:DX6)</f>
        <v>-3.0958967568561739</v>
      </c>
    </row>
    <row r="6" spans="1:129">
      <c r="A6" s="17">
        <v>43221</v>
      </c>
      <c r="B6" s="16">
        <v>10500</v>
      </c>
      <c r="C6" s="16">
        <v>10920</v>
      </c>
      <c r="D6" s="16">
        <v>10300</v>
      </c>
      <c r="E6" s="16">
        <v>10380</v>
      </c>
      <c r="F6" s="16">
        <v>10380</v>
      </c>
      <c r="G6" s="16">
        <v>875400</v>
      </c>
      <c r="H6" s="16">
        <f t="shared" si="0"/>
        <v>-120</v>
      </c>
      <c r="J6" s="18">
        <v>44565</v>
      </c>
      <c r="K6" s="16">
        <v>9500</v>
      </c>
      <c r="L6" s="16">
        <v>9850</v>
      </c>
      <c r="M6" s="16">
        <v>8740</v>
      </c>
      <c r="N6" s="16">
        <v>9270</v>
      </c>
      <c r="O6" s="16">
        <v>9270</v>
      </c>
      <c r="P6" s="16">
        <v>655400</v>
      </c>
      <c r="Q6" s="16">
        <v>-230</v>
      </c>
      <c r="R6" s="16">
        <f>Q6/K6*100</f>
        <v>-2.4210526315789473</v>
      </c>
      <c r="S6" s="16">
        <f>MEDIAN(R2:R6)</f>
        <v>0</v>
      </c>
      <c r="T6" s="18">
        <v>44593</v>
      </c>
      <c r="U6" s="16">
        <v>9380</v>
      </c>
      <c r="V6" s="16">
        <v>9520</v>
      </c>
      <c r="W6" s="16">
        <v>8950</v>
      </c>
      <c r="X6" s="16">
        <v>9090</v>
      </c>
      <c r="Y6" s="16">
        <v>9090</v>
      </c>
      <c r="Z6" s="16">
        <v>279400</v>
      </c>
      <c r="AA6" s="16">
        <v>-290</v>
      </c>
      <c r="AB6" s="16">
        <f>AA6/U6*100</f>
        <v>-3.091684434968017</v>
      </c>
      <c r="AC6" s="16">
        <f>MEDIAN(AB2:AB6)</f>
        <v>0.67294751009421261</v>
      </c>
      <c r="AD6" s="18">
        <v>44621</v>
      </c>
      <c r="AE6" s="16">
        <v>9180</v>
      </c>
      <c r="AF6" s="16">
        <v>9180</v>
      </c>
      <c r="AG6" s="16">
        <v>8110</v>
      </c>
      <c r="AH6" s="16">
        <v>9050</v>
      </c>
      <c r="AI6" s="16">
        <v>9050</v>
      </c>
      <c r="AJ6" s="16">
        <v>608300</v>
      </c>
      <c r="AK6" s="16">
        <v>-130</v>
      </c>
      <c r="AL6" s="16">
        <f>AK6/AE6*100</f>
        <v>-1.4161220043572984</v>
      </c>
      <c r="AM6" s="16">
        <f>MEDIAN(AL2:AL6)</f>
        <v>4.057971014492753</v>
      </c>
      <c r="AN6" s="18">
        <v>44652</v>
      </c>
      <c r="AO6" s="16">
        <v>9000</v>
      </c>
      <c r="AP6" s="16">
        <v>9270</v>
      </c>
      <c r="AQ6" s="16">
        <v>8240</v>
      </c>
      <c r="AR6" s="16">
        <v>8660</v>
      </c>
      <c r="AS6" s="16">
        <v>8660</v>
      </c>
      <c r="AT6" s="16">
        <v>2092300</v>
      </c>
      <c r="AU6" s="16">
        <v>-340</v>
      </c>
      <c r="AV6" s="16">
        <f>AU6/AO6*100</f>
        <v>-3.7777777777777777</v>
      </c>
      <c r="AW6" s="16">
        <f>MEDIAN(AV2:AV6)</f>
        <v>-6.094182825484765</v>
      </c>
      <c r="AX6" s="18">
        <v>44683</v>
      </c>
      <c r="AY6" s="16">
        <v>8660</v>
      </c>
      <c r="AZ6" s="16">
        <v>8880</v>
      </c>
      <c r="BA6" s="16">
        <v>8260</v>
      </c>
      <c r="BB6" s="16">
        <v>8600</v>
      </c>
      <c r="BC6" s="16">
        <v>8600</v>
      </c>
      <c r="BD6" s="16">
        <v>625300</v>
      </c>
      <c r="BE6" s="16">
        <v>-60</v>
      </c>
      <c r="BF6" s="16">
        <f>BE6/AY6*100</f>
        <v>-0.69284064665127021</v>
      </c>
      <c r="BG6" s="16">
        <f>MEDIAN(BF2:BF6)</f>
        <v>-1.1428571428571428</v>
      </c>
      <c r="BH6" s="18">
        <v>44713</v>
      </c>
      <c r="BI6" s="16">
        <v>8720</v>
      </c>
      <c r="BJ6" s="16">
        <v>8860</v>
      </c>
      <c r="BK6" s="16">
        <v>6980</v>
      </c>
      <c r="BL6" s="16">
        <v>7710</v>
      </c>
      <c r="BM6" s="16">
        <v>7710</v>
      </c>
      <c r="BN6" s="16">
        <v>890300</v>
      </c>
      <c r="BO6" s="16">
        <v>-1010</v>
      </c>
      <c r="BP6" s="16">
        <f>BO6/BI6*100</f>
        <v>-11.582568807339449</v>
      </c>
      <c r="BQ6" s="16">
        <f>MEDIAN(BP2:BP6)</f>
        <v>-5.5984555984555984</v>
      </c>
      <c r="BR6" s="18">
        <v>44743</v>
      </c>
      <c r="BS6" s="16">
        <v>7710</v>
      </c>
      <c r="BT6" s="16">
        <v>8950</v>
      </c>
      <c r="BU6" s="16">
        <v>7550</v>
      </c>
      <c r="BV6" s="16">
        <v>8860</v>
      </c>
      <c r="BW6" s="16">
        <v>8860</v>
      </c>
      <c r="BX6" s="16">
        <v>593000</v>
      </c>
      <c r="BY6" s="16">
        <v>1150</v>
      </c>
      <c r="BZ6" s="16">
        <f>BY6/BS6*100</f>
        <v>14.915693904020753</v>
      </c>
      <c r="CA6" s="16">
        <f>MEDIAN(BZ2:BZ6)</f>
        <v>-2.5615763546798029</v>
      </c>
      <c r="CB6" s="18">
        <v>44774</v>
      </c>
      <c r="CC6" s="16">
        <v>8890</v>
      </c>
      <c r="CD6" s="16">
        <v>9370</v>
      </c>
      <c r="CE6" s="16">
        <v>8540</v>
      </c>
      <c r="CF6" s="16">
        <v>8900</v>
      </c>
      <c r="CG6" s="16">
        <v>8900</v>
      </c>
      <c r="CH6" s="16">
        <v>568800</v>
      </c>
      <c r="CI6" s="16">
        <v>10</v>
      </c>
      <c r="CJ6" s="16">
        <f>CI6/CC6*100</f>
        <v>0.11248593925759282</v>
      </c>
      <c r="CK6" s="16">
        <f>MEDIAN(CJ2:CJ6)</f>
        <v>0.48231511254019299</v>
      </c>
      <c r="CL6" s="18">
        <v>44805</v>
      </c>
      <c r="CM6" s="16">
        <v>8670</v>
      </c>
      <c r="CN6" s="16">
        <v>8900</v>
      </c>
      <c r="CO6" s="16">
        <v>7750</v>
      </c>
      <c r="CP6" s="16">
        <v>8010</v>
      </c>
      <c r="CQ6" s="16">
        <v>8010</v>
      </c>
      <c r="CR6" s="16">
        <v>662500</v>
      </c>
      <c r="CS6" s="16">
        <v>-660</v>
      </c>
      <c r="CT6" s="16">
        <f>CS6/CM6*100</f>
        <v>-7.6124567474048446</v>
      </c>
      <c r="CU6" s="16">
        <f>MEDIAN(CT2:CT6)</f>
        <v>-4.4871794871794872</v>
      </c>
      <c r="CV6" s="18">
        <v>44837</v>
      </c>
      <c r="CW6" s="16">
        <v>7950</v>
      </c>
      <c r="CX6" s="16">
        <v>8360</v>
      </c>
      <c r="CY6" s="16">
        <v>7740</v>
      </c>
      <c r="CZ6" s="16">
        <v>7850</v>
      </c>
      <c r="DA6" s="16">
        <v>7850</v>
      </c>
      <c r="DB6" s="16">
        <v>604600</v>
      </c>
      <c r="DC6" s="16">
        <v>-100</v>
      </c>
      <c r="DD6" s="16">
        <f>DC6/CW6*100</f>
        <v>-1.257861635220126</v>
      </c>
      <c r="DE6" s="16">
        <f>MEDIAN(DD2:DD6)</f>
        <v>-1.257861635220126</v>
      </c>
      <c r="DF6" s="18">
        <v>44866</v>
      </c>
      <c r="DG6" s="16">
        <v>7820</v>
      </c>
      <c r="DH6" s="16">
        <v>8240</v>
      </c>
      <c r="DI6" s="16">
        <v>7560</v>
      </c>
      <c r="DJ6" s="16">
        <v>7950</v>
      </c>
      <c r="DK6" s="16">
        <v>7950</v>
      </c>
      <c r="DL6" s="16">
        <v>358800</v>
      </c>
      <c r="DM6" s="16">
        <v>130</v>
      </c>
      <c r="DN6" s="16">
        <f>DM6/DG6*100</f>
        <v>1.6624040920716114</v>
      </c>
      <c r="DO6" s="16">
        <f>MEDIAN(DN2:DN6)</f>
        <v>3.0573248407643314</v>
      </c>
      <c r="DP6" s="18">
        <v>44896</v>
      </c>
      <c r="DQ6" s="16">
        <v>7960</v>
      </c>
      <c r="DR6" s="16">
        <v>7960</v>
      </c>
      <c r="DS6" s="16">
        <v>7170</v>
      </c>
      <c r="DT6" s="16">
        <v>7420</v>
      </c>
      <c r="DU6" s="16">
        <v>7420</v>
      </c>
      <c r="DV6" s="16">
        <v>529500</v>
      </c>
      <c r="DW6" s="16">
        <v>-540</v>
      </c>
      <c r="DX6" s="16">
        <f>DW6/DQ6*100</f>
        <v>-6.78391959798995</v>
      </c>
      <c r="DY6" s="16">
        <f>MEDIAN(DX2:DX6)</f>
        <v>0.98765432098765427</v>
      </c>
    </row>
    <row r="7" spans="1:129">
      <c r="A7" s="17">
        <v>43252</v>
      </c>
      <c r="B7" s="16">
        <v>10360</v>
      </c>
      <c r="C7" s="16">
        <v>10700</v>
      </c>
      <c r="D7" s="16">
        <v>9570</v>
      </c>
      <c r="E7" s="16">
        <v>9780</v>
      </c>
      <c r="F7" s="16">
        <v>9780</v>
      </c>
      <c r="G7" s="16">
        <v>1111400</v>
      </c>
      <c r="H7" s="16">
        <f t="shared" si="0"/>
        <v>-580</v>
      </c>
    </row>
    <row r="8" spans="1:129">
      <c r="A8" s="17">
        <v>43283</v>
      </c>
      <c r="B8" s="16">
        <v>9670</v>
      </c>
      <c r="C8" s="16">
        <v>9690</v>
      </c>
      <c r="D8" s="16">
        <v>8190</v>
      </c>
      <c r="E8" s="16">
        <v>8600</v>
      </c>
      <c r="F8" s="16">
        <v>8600</v>
      </c>
      <c r="G8" s="16">
        <v>1252300</v>
      </c>
      <c r="H8" s="16">
        <f t="shared" si="0"/>
        <v>-1070</v>
      </c>
    </row>
    <row r="9" spans="1:129">
      <c r="A9" s="17">
        <v>43313</v>
      </c>
      <c r="B9" s="16">
        <v>8600</v>
      </c>
      <c r="C9" s="16">
        <v>8630</v>
      </c>
      <c r="D9" s="16">
        <v>7520</v>
      </c>
      <c r="E9" s="16">
        <v>7870</v>
      </c>
      <c r="F9" s="16">
        <v>7870</v>
      </c>
      <c r="G9" s="16">
        <v>987400</v>
      </c>
      <c r="H9" s="16">
        <f t="shared" si="0"/>
        <v>-730</v>
      </c>
    </row>
    <row r="10" spans="1:129">
      <c r="A10" s="17">
        <v>43346</v>
      </c>
      <c r="B10" s="16">
        <v>7800</v>
      </c>
      <c r="C10" s="16">
        <v>7820</v>
      </c>
      <c r="D10" s="16">
        <v>6330</v>
      </c>
      <c r="E10" s="16">
        <v>7450</v>
      </c>
      <c r="F10" s="16">
        <v>7450</v>
      </c>
      <c r="G10" s="16">
        <v>1413700</v>
      </c>
      <c r="H10" s="16">
        <f t="shared" si="0"/>
        <v>-350</v>
      </c>
    </row>
    <row r="11" spans="1:129">
      <c r="A11" s="17">
        <v>43374</v>
      </c>
      <c r="B11" s="16">
        <v>7440</v>
      </c>
      <c r="C11" s="16">
        <v>7590</v>
      </c>
      <c r="D11" s="16">
        <v>7050</v>
      </c>
      <c r="E11" s="16">
        <v>7300</v>
      </c>
      <c r="F11" s="16">
        <v>7300</v>
      </c>
      <c r="G11" s="16">
        <v>1234700</v>
      </c>
      <c r="H11" s="16">
        <f t="shared" si="0"/>
        <v>-140</v>
      </c>
    </row>
    <row r="12" spans="1:129">
      <c r="A12" s="17">
        <v>43405</v>
      </c>
      <c r="B12" s="16">
        <v>7290</v>
      </c>
      <c r="C12" s="16">
        <v>7980</v>
      </c>
      <c r="D12" s="16">
        <v>7280</v>
      </c>
      <c r="E12" s="16">
        <v>7780</v>
      </c>
      <c r="F12" s="16">
        <v>7780</v>
      </c>
      <c r="G12" s="16">
        <v>720000</v>
      </c>
      <c r="H12" s="16">
        <f t="shared" si="0"/>
        <v>490</v>
      </c>
    </row>
    <row r="13" spans="1:129">
      <c r="A13" s="17">
        <v>43437</v>
      </c>
      <c r="B13" s="16">
        <v>7810</v>
      </c>
      <c r="C13" s="16">
        <v>7860</v>
      </c>
      <c r="D13" s="16">
        <v>5740</v>
      </c>
      <c r="E13" s="16">
        <v>6510</v>
      </c>
      <c r="F13" s="16">
        <v>6510</v>
      </c>
      <c r="G13" s="16">
        <v>966900</v>
      </c>
      <c r="H13" s="16">
        <f t="shared" si="0"/>
        <v>-1300</v>
      </c>
    </row>
    <row r="14" spans="1:129">
      <c r="A14" s="17">
        <v>43469</v>
      </c>
      <c r="B14" s="16">
        <v>6310</v>
      </c>
      <c r="C14" s="16">
        <v>6760</v>
      </c>
      <c r="D14" s="16">
        <v>6270</v>
      </c>
      <c r="E14" s="16">
        <v>6410</v>
      </c>
      <c r="F14" s="16">
        <v>6410</v>
      </c>
      <c r="G14" s="16">
        <v>621900</v>
      </c>
      <c r="H14" s="16">
        <f t="shared" si="0"/>
        <v>100</v>
      </c>
    </row>
    <row r="15" spans="1:129">
      <c r="A15" s="17">
        <v>43497</v>
      </c>
      <c r="B15" s="16">
        <v>6410</v>
      </c>
      <c r="C15" s="16">
        <v>6940</v>
      </c>
      <c r="D15" s="16">
        <v>6230</v>
      </c>
      <c r="E15" s="16">
        <v>6850</v>
      </c>
      <c r="F15" s="16">
        <v>6850</v>
      </c>
      <c r="G15" s="16">
        <v>466400</v>
      </c>
      <c r="H15" s="16">
        <f t="shared" si="0"/>
        <v>440</v>
      </c>
    </row>
    <row r="16" spans="1:129">
      <c r="A16" s="17">
        <v>43525</v>
      </c>
      <c r="B16" s="16">
        <v>6900</v>
      </c>
      <c r="C16" s="16">
        <v>7400</v>
      </c>
      <c r="D16" s="16">
        <v>6720</v>
      </c>
      <c r="E16" s="16">
        <v>7180</v>
      </c>
      <c r="F16" s="16">
        <v>7180</v>
      </c>
      <c r="G16" s="16">
        <v>1091300</v>
      </c>
      <c r="H16" s="16">
        <f t="shared" si="0"/>
        <v>280</v>
      </c>
    </row>
    <row r="17" spans="1:8">
      <c r="A17" s="17">
        <v>43556</v>
      </c>
      <c r="B17" s="16">
        <v>7220</v>
      </c>
      <c r="C17" s="16">
        <v>7790</v>
      </c>
      <c r="D17" s="16">
        <v>6740</v>
      </c>
      <c r="E17" s="16">
        <v>6780</v>
      </c>
      <c r="F17" s="16">
        <v>6780</v>
      </c>
      <c r="G17" s="16">
        <v>2664000</v>
      </c>
      <c r="H17" s="16">
        <f t="shared" si="0"/>
        <v>-440</v>
      </c>
    </row>
    <row r="18" spans="1:8">
      <c r="A18" s="17">
        <v>43592</v>
      </c>
      <c r="B18" s="16">
        <v>6720</v>
      </c>
      <c r="C18" s="16">
        <v>6720</v>
      </c>
      <c r="D18" s="16">
        <v>5930</v>
      </c>
      <c r="E18" s="16">
        <v>6330</v>
      </c>
      <c r="F18" s="16">
        <v>6330</v>
      </c>
      <c r="G18" s="16">
        <v>962100</v>
      </c>
      <c r="H18" s="16">
        <f t="shared" si="0"/>
        <v>-390</v>
      </c>
    </row>
    <row r="19" spans="1:8">
      <c r="A19" s="17">
        <v>43619</v>
      </c>
      <c r="B19" s="16">
        <v>6280</v>
      </c>
      <c r="C19" s="16">
        <v>6750</v>
      </c>
      <c r="D19" s="16">
        <v>6020</v>
      </c>
      <c r="E19" s="16">
        <v>6090</v>
      </c>
      <c r="F19" s="16">
        <v>6090</v>
      </c>
      <c r="G19" s="16">
        <v>818900</v>
      </c>
      <c r="H19" s="16">
        <f t="shared" si="0"/>
        <v>-190</v>
      </c>
    </row>
    <row r="20" spans="1:8">
      <c r="A20" s="17">
        <v>43647</v>
      </c>
      <c r="B20" s="16">
        <v>6190</v>
      </c>
      <c r="C20" s="16">
        <v>6620</v>
      </c>
      <c r="D20" s="16">
        <v>6130</v>
      </c>
      <c r="E20" s="16">
        <v>6260</v>
      </c>
      <c r="F20" s="16">
        <v>6260</v>
      </c>
      <c r="G20" s="16">
        <v>667600</v>
      </c>
      <c r="H20" s="16">
        <f t="shared" si="0"/>
        <v>70</v>
      </c>
    </row>
    <row r="21" spans="1:8">
      <c r="A21" s="17">
        <v>43678</v>
      </c>
      <c r="B21" s="16">
        <v>6220</v>
      </c>
      <c r="C21" s="16">
        <v>6330</v>
      </c>
      <c r="D21" s="16">
        <v>5900</v>
      </c>
      <c r="E21" s="16">
        <v>6250</v>
      </c>
      <c r="F21" s="16">
        <v>6250</v>
      </c>
      <c r="G21" s="16">
        <v>560300</v>
      </c>
      <c r="H21" s="16">
        <f t="shared" si="0"/>
        <v>30</v>
      </c>
    </row>
    <row r="22" spans="1:8">
      <c r="A22" s="17">
        <v>43710</v>
      </c>
      <c r="B22" s="16">
        <v>6220</v>
      </c>
      <c r="C22" s="16">
        <v>6850</v>
      </c>
      <c r="D22" s="16">
        <v>6040</v>
      </c>
      <c r="E22" s="16">
        <v>6630</v>
      </c>
      <c r="F22" s="16">
        <v>6630</v>
      </c>
      <c r="G22" s="16">
        <v>675800</v>
      </c>
      <c r="H22" s="16">
        <f t="shared" si="0"/>
        <v>410</v>
      </c>
    </row>
    <row r="23" spans="1:8">
      <c r="A23" s="17">
        <v>43739</v>
      </c>
      <c r="B23" s="16">
        <v>6730</v>
      </c>
      <c r="C23" s="16">
        <v>7120</v>
      </c>
      <c r="D23" s="16">
        <v>6620</v>
      </c>
      <c r="E23" s="16">
        <v>6960</v>
      </c>
      <c r="F23" s="16">
        <v>6960</v>
      </c>
      <c r="G23" s="16">
        <v>651300</v>
      </c>
      <c r="H23" s="16">
        <f t="shared" si="0"/>
        <v>230</v>
      </c>
    </row>
    <row r="24" spans="1:8">
      <c r="A24" s="17">
        <v>43770</v>
      </c>
      <c r="B24" s="16">
        <v>6950</v>
      </c>
      <c r="C24" s="16">
        <v>7370</v>
      </c>
      <c r="D24" s="16">
        <v>6910</v>
      </c>
      <c r="E24" s="16">
        <v>7300</v>
      </c>
      <c r="F24" s="16">
        <v>7300</v>
      </c>
      <c r="G24" s="16">
        <v>400700</v>
      </c>
      <c r="H24" s="16">
        <f t="shared" si="0"/>
        <v>350</v>
      </c>
    </row>
    <row r="25" spans="1:8">
      <c r="A25" s="17">
        <v>43801</v>
      </c>
      <c r="B25" s="16">
        <v>7270</v>
      </c>
      <c r="C25" s="16">
        <v>7530</v>
      </c>
      <c r="D25" s="16">
        <v>7200</v>
      </c>
      <c r="E25" s="16">
        <v>7370</v>
      </c>
      <c r="F25" s="16">
        <v>7370</v>
      </c>
      <c r="G25" s="16">
        <v>375900</v>
      </c>
      <c r="H25" s="16">
        <f t="shared" si="0"/>
        <v>100</v>
      </c>
    </row>
    <row r="26" spans="1:8">
      <c r="A26" s="17">
        <v>43836</v>
      </c>
      <c r="B26" s="16">
        <v>7330</v>
      </c>
      <c r="C26" s="16">
        <v>7730</v>
      </c>
      <c r="D26" s="16">
        <v>7310</v>
      </c>
      <c r="E26" s="16">
        <v>7580</v>
      </c>
      <c r="F26" s="16">
        <v>7580</v>
      </c>
      <c r="G26" s="16">
        <v>372400</v>
      </c>
      <c r="H26" s="16">
        <f t="shared" si="0"/>
        <v>250</v>
      </c>
    </row>
    <row r="27" spans="1:8">
      <c r="A27" s="17">
        <v>43864</v>
      </c>
      <c r="B27" s="16">
        <v>7430</v>
      </c>
      <c r="C27" s="16">
        <v>8350</v>
      </c>
      <c r="D27" s="16">
        <v>7420</v>
      </c>
      <c r="E27" s="16">
        <v>7480</v>
      </c>
      <c r="F27" s="16">
        <v>7480</v>
      </c>
      <c r="G27" s="16">
        <v>494200</v>
      </c>
      <c r="H27" s="16">
        <f t="shared" si="0"/>
        <v>50</v>
      </c>
    </row>
    <row r="28" spans="1:8">
      <c r="A28" s="17">
        <v>43892</v>
      </c>
      <c r="B28" s="16">
        <v>7330</v>
      </c>
      <c r="C28" s="16">
        <v>8190</v>
      </c>
      <c r="D28" s="16">
        <v>5970</v>
      </c>
      <c r="E28" s="16">
        <v>7990</v>
      </c>
      <c r="F28" s="16">
        <v>7990</v>
      </c>
      <c r="G28" s="16">
        <v>1275200</v>
      </c>
      <c r="H28" s="16">
        <f t="shared" si="0"/>
        <v>660</v>
      </c>
    </row>
    <row r="29" spans="1:8">
      <c r="A29" s="17">
        <v>43922</v>
      </c>
      <c r="B29" s="16">
        <v>7930</v>
      </c>
      <c r="C29" s="16">
        <v>7960</v>
      </c>
      <c r="D29" s="16">
        <v>7060</v>
      </c>
      <c r="E29" s="16">
        <v>7400</v>
      </c>
      <c r="F29" s="16">
        <v>7400</v>
      </c>
      <c r="G29" s="16">
        <v>2031900</v>
      </c>
      <c r="H29" s="16">
        <f t="shared" si="0"/>
        <v>-530</v>
      </c>
    </row>
    <row r="30" spans="1:8">
      <c r="A30" s="17">
        <v>43952</v>
      </c>
      <c r="B30" s="16">
        <v>7350</v>
      </c>
      <c r="C30" s="16">
        <v>7490</v>
      </c>
      <c r="D30" s="16">
        <v>6950</v>
      </c>
      <c r="E30" s="16">
        <v>7390</v>
      </c>
      <c r="F30" s="16">
        <v>7390</v>
      </c>
      <c r="G30" s="16">
        <v>683900</v>
      </c>
      <c r="H30" s="16">
        <f t="shared" si="0"/>
        <v>40</v>
      </c>
    </row>
    <row r="31" spans="1:8">
      <c r="A31" s="17">
        <v>43983</v>
      </c>
      <c r="B31" s="16">
        <v>7450</v>
      </c>
      <c r="C31" s="16">
        <v>7520</v>
      </c>
      <c r="D31" s="16">
        <v>7000</v>
      </c>
      <c r="E31" s="16">
        <v>7030</v>
      </c>
      <c r="F31" s="16">
        <v>7030</v>
      </c>
      <c r="G31" s="16">
        <v>562200</v>
      </c>
      <c r="H31" s="16">
        <f t="shared" si="0"/>
        <v>-420</v>
      </c>
    </row>
    <row r="32" spans="1:8">
      <c r="A32" s="17">
        <v>44013</v>
      </c>
      <c r="B32" s="16">
        <v>7050</v>
      </c>
      <c r="C32" s="16">
        <v>7310</v>
      </c>
      <c r="D32" s="16">
        <v>6720</v>
      </c>
      <c r="E32" s="16">
        <v>6720</v>
      </c>
      <c r="F32" s="16">
        <v>6720</v>
      </c>
      <c r="G32" s="16">
        <v>495100</v>
      </c>
      <c r="H32" s="16">
        <f t="shared" si="0"/>
        <v>-330</v>
      </c>
    </row>
    <row r="33" spans="1:8">
      <c r="A33" s="17">
        <v>44046</v>
      </c>
      <c r="B33" s="16">
        <v>6730</v>
      </c>
      <c r="C33" s="16">
        <v>7000</v>
      </c>
      <c r="D33" s="16">
        <v>6500</v>
      </c>
      <c r="E33" s="16">
        <v>6900</v>
      </c>
      <c r="F33" s="16">
        <v>6900</v>
      </c>
      <c r="G33" s="16">
        <v>522700</v>
      </c>
      <c r="H33" s="16">
        <f t="shared" si="0"/>
        <v>170</v>
      </c>
    </row>
    <row r="34" spans="1:8">
      <c r="A34" s="17">
        <v>44075</v>
      </c>
      <c r="B34" s="16">
        <v>6880</v>
      </c>
      <c r="C34" s="16">
        <v>8180</v>
      </c>
      <c r="D34" s="16">
        <v>6860</v>
      </c>
      <c r="E34" s="16">
        <v>7770</v>
      </c>
      <c r="F34" s="16">
        <v>7770</v>
      </c>
      <c r="G34" s="16">
        <v>653200</v>
      </c>
      <c r="H34" s="16">
        <f t="shared" ref="H34:H61" si="1">E34-B34</f>
        <v>890</v>
      </c>
    </row>
    <row r="35" spans="1:8">
      <c r="A35" s="17">
        <v>44106</v>
      </c>
      <c r="B35" s="16">
        <v>7920</v>
      </c>
      <c r="C35" s="16">
        <v>8290</v>
      </c>
      <c r="D35" s="16">
        <v>7750</v>
      </c>
      <c r="E35" s="16">
        <v>7850</v>
      </c>
      <c r="F35" s="16">
        <v>7850</v>
      </c>
      <c r="G35" s="16">
        <v>362800</v>
      </c>
      <c r="H35" s="16">
        <f t="shared" si="1"/>
        <v>-70</v>
      </c>
    </row>
    <row r="36" spans="1:8">
      <c r="A36" s="17">
        <v>44137</v>
      </c>
      <c r="B36" s="16">
        <v>7850</v>
      </c>
      <c r="C36" s="16">
        <v>8480</v>
      </c>
      <c r="D36" s="16">
        <v>7800</v>
      </c>
      <c r="E36" s="16">
        <v>8090</v>
      </c>
      <c r="F36" s="16">
        <v>8090</v>
      </c>
      <c r="G36" s="16">
        <v>642400</v>
      </c>
      <c r="H36" s="16">
        <f t="shared" si="1"/>
        <v>240</v>
      </c>
    </row>
    <row r="37" spans="1:8">
      <c r="A37" s="17">
        <v>44166</v>
      </c>
      <c r="B37" s="16">
        <v>8100</v>
      </c>
      <c r="C37" s="16">
        <v>8330</v>
      </c>
      <c r="D37" s="16">
        <v>7620</v>
      </c>
      <c r="E37" s="16">
        <v>8180</v>
      </c>
      <c r="F37" s="16">
        <v>8180</v>
      </c>
      <c r="G37" s="16">
        <v>456700</v>
      </c>
      <c r="H37" s="16">
        <f t="shared" si="1"/>
        <v>80</v>
      </c>
    </row>
    <row r="38" spans="1:8">
      <c r="A38" s="17">
        <v>44200</v>
      </c>
      <c r="B38" s="16">
        <v>8130</v>
      </c>
      <c r="C38" s="16">
        <v>8320</v>
      </c>
      <c r="D38" s="16">
        <v>7850</v>
      </c>
      <c r="E38" s="16">
        <v>8130</v>
      </c>
      <c r="F38" s="16">
        <v>8130</v>
      </c>
      <c r="G38" s="16">
        <v>398600</v>
      </c>
      <c r="H38" s="16">
        <f t="shared" si="1"/>
        <v>0</v>
      </c>
    </row>
    <row r="39" spans="1:8">
      <c r="A39" s="17">
        <v>44228</v>
      </c>
      <c r="B39" s="16">
        <v>8170</v>
      </c>
      <c r="C39" s="16">
        <v>8880</v>
      </c>
      <c r="D39" s="16">
        <v>8170</v>
      </c>
      <c r="E39" s="16">
        <v>8360</v>
      </c>
      <c r="F39" s="16">
        <v>8360</v>
      </c>
      <c r="G39" s="16">
        <v>311400</v>
      </c>
      <c r="H39" s="16">
        <f t="shared" si="1"/>
        <v>190</v>
      </c>
    </row>
    <row r="40" spans="1:8">
      <c r="A40" s="17">
        <v>44256</v>
      </c>
      <c r="B40" s="16">
        <v>8430</v>
      </c>
      <c r="C40" s="16">
        <v>11280</v>
      </c>
      <c r="D40" s="16">
        <v>8430</v>
      </c>
      <c r="E40" s="16">
        <v>10810</v>
      </c>
      <c r="F40" s="16">
        <v>10810</v>
      </c>
      <c r="G40" s="16">
        <v>749500</v>
      </c>
      <c r="H40" s="16">
        <f t="shared" si="1"/>
        <v>2380</v>
      </c>
    </row>
    <row r="41" spans="1:8">
      <c r="A41" s="17">
        <v>44287</v>
      </c>
      <c r="B41" s="16">
        <v>10930</v>
      </c>
      <c r="C41" s="16">
        <v>11070</v>
      </c>
      <c r="D41" s="16">
        <v>9650</v>
      </c>
      <c r="E41" s="16">
        <v>9760</v>
      </c>
      <c r="F41" s="16">
        <v>9760</v>
      </c>
      <c r="G41" s="16">
        <v>1588100</v>
      </c>
      <c r="H41" s="16">
        <f t="shared" si="1"/>
        <v>-1170</v>
      </c>
    </row>
    <row r="42" spans="1:8">
      <c r="A42" s="17">
        <v>44322</v>
      </c>
      <c r="B42" s="16">
        <v>9790</v>
      </c>
      <c r="C42" s="16">
        <v>10080</v>
      </c>
      <c r="D42" s="16">
        <v>9330</v>
      </c>
      <c r="E42" s="16">
        <v>9540</v>
      </c>
      <c r="F42" s="16">
        <v>9540</v>
      </c>
      <c r="G42" s="16">
        <v>520900</v>
      </c>
      <c r="H42" s="16">
        <f t="shared" si="1"/>
        <v>-250</v>
      </c>
    </row>
    <row r="43" spans="1:8">
      <c r="A43" s="17">
        <v>44348</v>
      </c>
      <c r="B43" s="16">
        <v>9610</v>
      </c>
      <c r="C43" s="16">
        <v>10340</v>
      </c>
      <c r="D43" s="16">
        <v>9530</v>
      </c>
      <c r="E43" s="16">
        <v>10150</v>
      </c>
      <c r="F43" s="16">
        <v>10150</v>
      </c>
      <c r="G43" s="16">
        <v>716200</v>
      </c>
      <c r="H43" s="16">
        <f t="shared" si="1"/>
        <v>540</v>
      </c>
    </row>
    <row r="44" spans="1:8">
      <c r="A44" s="17">
        <v>44378</v>
      </c>
      <c r="B44" s="16">
        <v>10150</v>
      </c>
      <c r="C44" s="16">
        <v>10500</v>
      </c>
      <c r="D44" s="16">
        <v>9870</v>
      </c>
      <c r="E44" s="16">
        <v>9890</v>
      </c>
      <c r="F44" s="16">
        <v>9890</v>
      </c>
      <c r="G44" s="16">
        <v>504600</v>
      </c>
      <c r="H44" s="16">
        <f t="shared" si="1"/>
        <v>-260</v>
      </c>
    </row>
    <row r="45" spans="1:8">
      <c r="A45" s="17">
        <v>44410</v>
      </c>
      <c r="B45" s="16">
        <v>9980</v>
      </c>
      <c r="C45" s="16">
        <v>10530</v>
      </c>
      <c r="D45" s="16">
        <v>9620</v>
      </c>
      <c r="E45" s="16">
        <v>10480</v>
      </c>
      <c r="F45" s="16">
        <v>10480</v>
      </c>
      <c r="G45" s="16">
        <v>339300</v>
      </c>
      <c r="H45" s="16">
        <f t="shared" si="1"/>
        <v>500</v>
      </c>
    </row>
    <row r="46" spans="1:8">
      <c r="A46" s="17">
        <v>44440</v>
      </c>
      <c r="B46" s="16">
        <v>10570</v>
      </c>
      <c r="C46" s="16">
        <v>11150</v>
      </c>
      <c r="D46" s="16">
        <v>9840</v>
      </c>
      <c r="E46" s="16">
        <v>9930</v>
      </c>
      <c r="F46" s="16">
        <v>9930</v>
      </c>
      <c r="G46" s="16">
        <v>519300</v>
      </c>
      <c r="H46" s="16">
        <f t="shared" si="1"/>
        <v>-640</v>
      </c>
    </row>
    <row r="47" spans="1:8">
      <c r="A47" s="17">
        <v>44470</v>
      </c>
      <c r="B47" s="16">
        <v>9890</v>
      </c>
      <c r="C47" s="16">
        <v>10000</v>
      </c>
      <c r="D47" s="16">
        <v>9200</v>
      </c>
      <c r="E47" s="16">
        <v>9290</v>
      </c>
      <c r="F47" s="16">
        <v>9290</v>
      </c>
      <c r="G47" s="16">
        <v>419900</v>
      </c>
      <c r="H47" s="16">
        <f t="shared" si="1"/>
        <v>-600</v>
      </c>
    </row>
    <row r="48" spans="1:8">
      <c r="A48" s="17">
        <v>44501</v>
      </c>
      <c r="B48" s="16">
        <v>9480</v>
      </c>
      <c r="C48" s="16">
        <v>9690</v>
      </c>
      <c r="D48" s="16">
        <v>8920</v>
      </c>
      <c r="E48" s="16">
        <v>8950</v>
      </c>
      <c r="F48" s="16">
        <v>8950</v>
      </c>
      <c r="G48" s="16">
        <v>358200</v>
      </c>
      <c r="H48" s="16">
        <f t="shared" si="1"/>
        <v>-530</v>
      </c>
    </row>
    <row r="49" spans="1:8">
      <c r="A49" s="17">
        <v>44531</v>
      </c>
      <c r="B49" s="16">
        <v>8950</v>
      </c>
      <c r="C49" s="16">
        <v>9590</v>
      </c>
      <c r="D49" s="16">
        <v>8860</v>
      </c>
      <c r="E49" s="16">
        <v>9450</v>
      </c>
      <c r="F49" s="16">
        <v>9450</v>
      </c>
      <c r="G49" s="16">
        <v>501100</v>
      </c>
      <c r="H49" s="16">
        <f t="shared" si="1"/>
        <v>500</v>
      </c>
    </row>
    <row r="50" spans="1:8">
      <c r="A50" s="17">
        <v>44565</v>
      </c>
      <c r="B50" s="16">
        <v>9500</v>
      </c>
      <c r="C50" s="16">
        <v>9850</v>
      </c>
      <c r="D50" s="16">
        <v>8740</v>
      </c>
      <c r="E50" s="16">
        <v>9270</v>
      </c>
      <c r="F50" s="16">
        <v>9270</v>
      </c>
      <c r="G50" s="16">
        <v>655400</v>
      </c>
      <c r="H50" s="16">
        <f t="shared" si="1"/>
        <v>-230</v>
      </c>
    </row>
    <row r="51" spans="1:8">
      <c r="A51" s="17">
        <v>44593</v>
      </c>
      <c r="B51" s="16">
        <v>9380</v>
      </c>
      <c r="C51" s="16">
        <v>9520</v>
      </c>
      <c r="D51" s="16">
        <v>8950</v>
      </c>
      <c r="E51" s="16">
        <v>9090</v>
      </c>
      <c r="F51" s="16">
        <v>9090</v>
      </c>
      <c r="G51" s="16">
        <v>279400</v>
      </c>
      <c r="H51" s="16">
        <f t="shared" si="1"/>
        <v>-290</v>
      </c>
    </row>
    <row r="52" spans="1:8">
      <c r="A52" s="17">
        <v>44621</v>
      </c>
      <c r="B52" s="16">
        <v>9180</v>
      </c>
      <c r="C52" s="16">
        <v>9180</v>
      </c>
      <c r="D52" s="16">
        <v>8110</v>
      </c>
      <c r="E52" s="16">
        <v>9050</v>
      </c>
      <c r="F52" s="16">
        <v>9050</v>
      </c>
      <c r="G52" s="16">
        <v>608300</v>
      </c>
      <c r="H52" s="16">
        <f t="shared" si="1"/>
        <v>-130</v>
      </c>
    </row>
    <row r="53" spans="1:8">
      <c r="A53" s="17">
        <v>44652</v>
      </c>
      <c r="B53" s="16">
        <v>9000</v>
      </c>
      <c r="C53" s="16">
        <v>9270</v>
      </c>
      <c r="D53" s="16">
        <v>8240</v>
      </c>
      <c r="E53" s="16">
        <v>8660</v>
      </c>
      <c r="F53" s="16">
        <v>8660</v>
      </c>
      <c r="G53" s="16">
        <v>2092300</v>
      </c>
      <c r="H53" s="16">
        <f t="shared" si="1"/>
        <v>-340</v>
      </c>
    </row>
    <row r="54" spans="1:8">
      <c r="A54" s="17">
        <v>44683</v>
      </c>
      <c r="B54" s="16">
        <v>8660</v>
      </c>
      <c r="C54" s="16">
        <v>8880</v>
      </c>
      <c r="D54" s="16">
        <v>8260</v>
      </c>
      <c r="E54" s="16">
        <v>8600</v>
      </c>
      <c r="F54" s="16">
        <v>8600</v>
      </c>
      <c r="G54" s="16">
        <v>625300</v>
      </c>
      <c r="H54" s="16">
        <f t="shared" si="1"/>
        <v>-60</v>
      </c>
    </row>
    <row r="55" spans="1:8">
      <c r="A55" s="17">
        <v>44713</v>
      </c>
      <c r="B55" s="16">
        <v>8720</v>
      </c>
      <c r="C55" s="16">
        <v>8860</v>
      </c>
      <c r="D55" s="16">
        <v>6980</v>
      </c>
      <c r="E55" s="16">
        <v>7710</v>
      </c>
      <c r="F55" s="16">
        <v>7710</v>
      </c>
      <c r="G55" s="16">
        <v>890300</v>
      </c>
      <c r="H55" s="16">
        <f t="shared" si="1"/>
        <v>-1010</v>
      </c>
    </row>
    <row r="56" spans="1:8">
      <c r="A56" s="17">
        <v>44743</v>
      </c>
      <c r="B56" s="16">
        <v>7710</v>
      </c>
      <c r="C56" s="16">
        <v>8950</v>
      </c>
      <c r="D56" s="16">
        <v>7550</v>
      </c>
      <c r="E56" s="16">
        <v>8860</v>
      </c>
      <c r="F56" s="16">
        <v>8860</v>
      </c>
      <c r="G56" s="16">
        <v>593000</v>
      </c>
      <c r="H56" s="16">
        <f t="shared" si="1"/>
        <v>1150</v>
      </c>
    </row>
    <row r="57" spans="1:8">
      <c r="A57" s="17">
        <v>44774</v>
      </c>
      <c r="B57" s="16">
        <v>8890</v>
      </c>
      <c r="C57" s="16">
        <v>9370</v>
      </c>
      <c r="D57" s="16">
        <v>8540</v>
      </c>
      <c r="E57" s="16">
        <v>8900</v>
      </c>
      <c r="F57" s="16">
        <v>8900</v>
      </c>
      <c r="G57" s="16">
        <v>568800</v>
      </c>
      <c r="H57" s="16">
        <f t="shared" si="1"/>
        <v>10</v>
      </c>
    </row>
    <row r="58" spans="1:8">
      <c r="A58" s="17">
        <v>44805</v>
      </c>
      <c r="B58" s="16">
        <v>8670</v>
      </c>
      <c r="C58" s="16">
        <v>8900</v>
      </c>
      <c r="D58" s="16">
        <v>7750</v>
      </c>
      <c r="E58" s="16">
        <v>8010</v>
      </c>
      <c r="F58" s="16">
        <v>8010</v>
      </c>
      <c r="G58" s="16">
        <v>662500</v>
      </c>
      <c r="H58" s="16">
        <f t="shared" si="1"/>
        <v>-660</v>
      </c>
    </row>
    <row r="59" spans="1:8">
      <c r="A59" s="17">
        <v>44837</v>
      </c>
      <c r="B59" s="16">
        <v>7950</v>
      </c>
      <c r="C59" s="16">
        <v>8360</v>
      </c>
      <c r="D59" s="16">
        <v>7740</v>
      </c>
      <c r="E59" s="16">
        <v>7850</v>
      </c>
      <c r="F59" s="16">
        <v>7850</v>
      </c>
      <c r="G59" s="16">
        <v>604600</v>
      </c>
      <c r="H59" s="16">
        <f t="shared" si="1"/>
        <v>-100</v>
      </c>
    </row>
    <row r="60" spans="1:8">
      <c r="A60" s="17">
        <v>44866</v>
      </c>
      <c r="B60" s="16">
        <v>7820</v>
      </c>
      <c r="C60" s="16">
        <v>8240</v>
      </c>
      <c r="D60" s="16">
        <v>7560</v>
      </c>
      <c r="E60" s="16">
        <v>7950</v>
      </c>
      <c r="F60" s="16">
        <v>7950</v>
      </c>
      <c r="G60" s="16">
        <v>358800</v>
      </c>
      <c r="H60" s="16">
        <f t="shared" si="1"/>
        <v>130</v>
      </c>
    </row>
    <row r="61" spans="1:8">
      <c r="A61" s="17">
        <v>44896</v>
      </c>
      <c r="B61" s="16">
        <v>7960</v>
      </c>
      <c r="C61" s="16">
        <v>7960</v>
      </c>
      <c r="D61" s="16">
        <v>7170</v>
      </c>
      <c r="E61" s="16">
        <v>7420</v>
      </c>
      <c r="F61" s="16">
        <v>7420</v>
      </c>
      <c r="G61" s="16">
        <v>529500</v>
      </c>
      <c r="H61" s="16">
        <f t="shared" si="1"/>
        <v>-540</v>
      </c>
    </row>
  </sheetData>
  <phoneticPr fontId="32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8576D-2541-4CD1-A24E-A483436E8F85}">
  <sheetPr codeName="Sheet3"/>
  <dimension ref="A1:DY7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44767</v>
      </c>
      <c r="B2" s="16">
        <v>1780</v>
      </c>
      <c r="C2" s="16">
        <v>1805</v>
      </c>
      <c r="D2" s="16">
        <v>1670</v>
      </c>
      <c r="E2" s="16">
        <v>1700</v>
      </c>
      <c r="F2" s="16">
        <v>1700</v>
      </c>
      <c r="G2" s="16">
        <v>25000</v>
      </c>
      <c r="H2" s="16">
        <f t="shared" ref="H2:H7" si="0">E2-B2</f>
        <v>-80</v>
      </c>
      <c r="J2" s="18" t="str" cm="1">
        <f t="array" ref="J2">_xlfn._xlws.FILTER(A2:H7,MONTH(A2:A7)=1,"")</f>
        <v/>
      </c>
      <c r="S2" s="16">
        <f>COUNT(Q2:Q1048576)</f>
        <v>0</v>
      </c>
      <c r="T2" s="18" t="str" cm="1">
        <f t="array" ref="T2">_xlfn._xlws.FILTER(A2:H7,MONTH(A2:A7)=2,"")</f>
        <v/>
      </c>
      <c r="AC2" s="16">
        <f>COUNT(AA2:AA1048576)</f>
        <v>0</v>
      </c>
      <c r="AD2" s="18" t="str" cm="1">
        <f t="array" ref="AD2">_xlfn._xlws.FILTER(A2:H7,MONTH(A2:A7)=3,"")</f>
        <v/>
      </c>
      <c r="AM2" s="16">
        <f>COUNT(AK2:AK1048576)</f>
        <v>0</v>
      </c>
      <c r="AN2" s="18" t="str" cm="1">
        <f t="array" ref="AN2">_xlfn._xlws.FILTER(A2:H7,MONTH(A2:A7)=4,"")</f>
        <v/>
      </c>
      <c r="AW2" s="16">
        <f>COUNT(AU2:AU1048576)</f>
        <v>0</v>
      </c>
      <c r="AX2" s="18" t="str" cm="1">
        <f t="array" ref="AX2">_xlfn._xlws.FILTER(A2:H7,MONTH(A2:A7)=5,"")</f>
        <v/>
      </c>
      <c r="BG2" s="16">
        <f>COUNT(BE2:BE1048576)</f>
        <v>0</v>
      </c>
      <c r="BH2" s="18" t="str" cm="1">
        <f t="array" ref="BH2">_xlfn._xlws.FILTER(A2:H7,MONTH(A2:A7)=6,"")</f>
        <v/>
      </c>
      <c r="BQ2" s="16">
        <f>COUNT(BO2:BO1048576)</f>
        <v>0</v>
      </c>
      <c r="BR2" s="18" cm="1">
        <f t="array" ref="BR2:BY2">_xlfn._xlws.FILTER(A2:H7,MONTH(A2:A7)=7,"")</f>
        <v>44767</v>
      </c>
      <c r="BS2" s="16">
        <v>1780</v>
      </c>
      <c r="BT2" s="16">
        <v>1805</v>
      </c>
      <c r="BU2" s="16">
        <v>1670</v>
      </c>
      <c r="BV2" s="16">
        <v>1700</v>
      </c>
      <c r="BW2" s="16">
        <v>1700</v>
      </c>
      <c r="BX2" s="16">
        <v>25000</v>
      </c>
      <c r="BY2" s="16">
        <v>-80</v>
      </c>
      <c r="BZ2" s="16">
        <f>BY2/BS2*100</f>
        <v>-4.4943820224719104</v>
      </c>
      <c r="CA2" s="16">
        <f>COUNT(BY2:BY1048576)</f>
        <v>1</v>
      </c>
      <c r="CB2" s="18" cm="1">
        <f t="array" ref="CB2:CI2">_xlfn._xlws.FILTER(A2:H7,MONTH(A2:A7)=8,"")</f>
        <v>44774</v>
      </c>
      <c r="CC2" s="16">
        <v>1681</v>
      </c>
      <c r="CD2" s="16">
        <v>1730</v>
      </c>
      <c r="CE2" s="16">
        <v>1481</v>
      </c>
      <c r="CF2" s="16">
        <v>1560</v>
      </c>
      <c r="CG2" s="16">
        <v>1560</v>
      </c>
      <c r="CH2" s="16">
        <v>45200</v>
      </c>
      <c r="CI2" s="16">
        <v>-121</v>
      </c>
      <c r="CJ2" s="16">
        <f>CI2/CC2*100</f>
        <v>-7.1980963712076145</v>
      </c>
      <c r="CK2" s="16">
        <f>COUNT(CI2:CI1048576)</f>
        <v>1</v>
      </c>
      <c r="CL2" s="18" cm="1">
        <f t="array" ref="CL2:CS2">_xlfn._xlws.FILTER(A2:H7,MONTH(A2:A7)=9,"")</f>
        <v>44805</v>
      </c>
      <c r="CM2" s="16">
        <v>1600</v>
      </c>
      <c r="CN2" s="16">
        <v>1950</v>
      </c>
      <c r="CO2" s="16">
        <v>1468</v>
      </c>
      <c r="CP2" s="16">
        <v>1521</v>
      </c>
      <c r="CQ2" s="16">
        <v>1521</v>
      </c>
      <c r="CR2" s="16">
        <v>207600</v>
      </c>
      <c r="CS2" s="16">
        <v>-79</v>
      </c>
      <c r="CT2" s="16">
        <f>CS2/CM2*100</f>
        <v>-4.9375</v>
      </c>
      <c r="CU2" s="16">
        <f>COUNT(CS2:CS1048576)</f>
        <v>1</v>
      </c>
      <c r="CV2" s="18" cm="1">
        <f t="array" ref="CV2:DC2">_xlfn._xlws.FILTER(A2:H7,MONTH(A2:A7)=10,"")</f>
        <v>44837</v>
      </c>
      <c r="CW2" s="16">
        <v>1481</v>
      </c>
      <c r="CX2" s="16">
        <v>1541</v>
      </c>
      <c r="CY2" s="16">
        <v>1450</v>
      </c>
      <c r="CZ2" s="16">
        <v>1499</v>
      </c>
      <c r="DA2" s="16">
        <v>1499</v>
      </c>
      <c r="DB2" s="16">
        <v>41500</v>
      </c>
      <c r="DC2" s="16">
        <v>18</v>
      </c>
      <c r="DD2" s="16">
        <f>DC2/CW2*100</f>
        <v>1.2153950033760972</v>
      </c>
      <c r="DE2" s="16">
        <f>COUNT(DC2:DC1048576)</f>
        <v>1</v>
      </c>
      <c r="DF2" s="18" cm="1">
        <f t="array" ref="DF2:DM2">_xlfn._xlws.FILTER(A2:H7,MONTH(A2:A7)=11,"")</f>
        <v>44866</v>
      </c>
      <c r="DG2" s="16">
        <v>1495</v>
      </c>
      <c r="DH2" s="16">
        <v>1502</v>
      </c>
      <c r="DI2" s="16">
        <v>1411</v>
      </c>
      <c r="DJ2" s="16">
        <v>1453</v>
      </c>
      <c r="DK2" s="16">
        <v>1453</v>
      </c>
      <c r="DL2" s="16">
        <v>35500</v>
      </c>
      <c r="DM2" s="16">
        <v>-42</v>
      </c>
      <c r="DN2" s="16">
        <f>DM2/DG2*100</f>
        <v>-2.8093645484949836</v>
      </c>
      <c r="DO2" s="16">
        <f>COUNT(DM2:DM1048576)</f>
        <v>1</v>
      </c>
      <c r="DP2" s="18" cm="1">
        <f t="array" ref="DP2:DW2">_xlfn._xlws.FILTER(A2:H7,MONTH(A2:A7)=12,"")</f>
        <v>44896</v>
      </c>
      <c r="DQ2" s="16">
        <v>1448</v>
      </c>
      <c r="DR2" s="16">
        <v>2000</v>
      </c>
      <c r="DS2" s="16">
        <v>1442</v>
      </c>
      <c r="DT2" s="16">
        <v>1987</v>
      </c>
      <c r="DU2" s="16">
        <v>1987</v>
      </c>
      <c r="DV2" s="16">
        <v>417100</v>
      </c>
      <c r="DW2" s="16">
        <v>539</v>
      </c>
      <c r="DX2" s="16">
        <f>DW2/DQ2*100</f>
        <v>37.223756906077348</v>
      </c>
      <c r="DY2" s="16">
        <f>COUNT(DW2:DW1048576)</f>
        <v>1</v>
      </c>
    </row>
    <row r="3" spans="1:129">
      <c r="A3" s="17">
        <v>44774</v>
      </c>
      <c r="B3" s="16">
        <v>1681</v>
      </c>
      <c r="C3" s="16">
        <v>1730</v>
      </c>
      <c r="D3" s="16">
        <v>1481</v>
      </c>
      <c r="E3" s="16">
        <v>1560</v>
      </c>
      <c r="F3" s="16">
        <v>1560</v>
      </c>
      <c r="G3" s="16">
        <v>45200</v>
      </c>
      <c r="H3" s="16">
        <f t="shared" si="0"/>
        <v>-121</v>
      </c>
      <c r="S3" s="16">
        <f>COUNTIF(Q2:Q1048576,"&gt;0")</f>
        <v>0</v>
      </c>
      <c r="AC3" s="16">
        <f>COUNTIF(AA2:AA1048576,"&gt;0")</f>
        <v>0</v>
      </c>
      <c r="AM3" s="16">
        <f>COUNTIF(AK2:AK1048576,"&gt;0")</f>
        <v>0</v>
      </c>
      <c r="AW3" s="16">
        <f>COUNTIF(AU2:AU1048576,"&gt;0")</f>
        <v>0</v>
      </c>
      <c r="BG3" s="16">
        <f>COUNTIF(BE2:BE1048576,"&gt;0")</f>
        <v>0</v>
      </c>
      <c r="BQ3" s="16">
        <f>COUNTIF(BO2:BO1048576,"&gt;0")</f>
        <v>0</v>
      </c>
      <c r="CA3" s="16">
        <f>COUNTIF(BY2:BY1048576,"&gt;0")</f>
        <v>0</v>
      </c>
      <c r="CK3" s="16">
        <f>COUNTIF(CI2:CI1048576,"&gt;0")</f>
        <v>0</v>
      </c>
      <c r="CU3" s="16">
        <f>COUNTIF(CS2:CS1048576,"&gt;0")</f>
        <v>0</v>
      </c>
      <c r="DE3" s="16">
        <f>COUNTIF(DC2:DC1048576,"&gt;0")</f>
        <v>1</v>
      </c>
      <c r="DO3" s="16">
        <f>COUNTIF(DM2:DM1048576,"&gt;0")</f>
        <v>0</v>
      </c>
      <c r="DY3" s="16">
        <f>COUNTIF(DW2:DW1048576,"&gt;0")</f>
        <v>1</v>
      </c>
    </row>
    <row r="4" spans="1:129">
      <c r="A4" s="17">
        <v>44805</v>
      </c>
      <c r="B4" s="16">
        <v>1600</v>
      </c>
      <c r="C4" s="16">
        <v>1950</v>
      </c>
      <c r="D4" s="16">
        <v>1468</v>
      </c>
      <c r="E4" s="16">
        <v>1521</v>
      </c>
      <c r="F4" s="16">
        <v>1521</v>
      </c>
      <c r="G4" s="16">
        <v>207600</v>
      </c>
      <c r="H4" s="16">
        <f t="shared" si="0"/>
        <v>-79</v>
      </c>
      <c r="S4" s="19" t="e">
        <f>S3/S2*100</f>
        <v>#DIV/0!</v>
      </c>
      <c r="AC4" s="19" t="e">
        <f>AC3/AC2*100</f>
        <v>#DIV/0!</v>
      </c>
      <c r="AM4" s="19" t="e">
        <f>AM3/AM2*100</f>
        <v>#DIV/0!</v>
      </c>
      <c r="AW4" s="19" t="e">
        <f>AW3/AW2*100</f>
        <v>#DIV/0!</v>
      </c>
      <c r="BG4" s="19" t="e">
        <f>BG3/BG2*100</f>
        <v>#DIV/0!</v>
      </c>
      <c r="BQ4" s="19" t="e">
        <f>BQ3/BQ2*100</f>
        <v>#DIV/0!</v>
      </c>
      <c r="CA4" s="19">
        <f>CA3/CA2*100</f>
        <v>0</v>
      </c>
      <c r="CK4" s="19">
        <f>CK3/CK2*100</f>
        <v>0</v>
      </c>
      <c r="CU4" s="19">
        <f>CU3/CU2*100</f>
        <v>0</v>
      </c>
      <c r="DE4" s="19">
        <f>DE3/DE2*100</f>
        <v>100</v>
      </c>
      <c r="DO4" s="19">
        <f>DO3/DO2*100</f>
        <v>0</v>
      </c>
      <c r="DY4" s="19">
        <f>DY3/DY2*100</f>
        <v>100</v>
      </c>
    </row>
    <row r="5" spans="1:129">
      <c r="A5" s="17">
        <v>44837</v>
      </c>
      <c r="B5" s="16">
        <v>1481</v>
      </c>
      <c r="C5" s="16">
        <v>1541</v>
      </c>
      <c r="D5" s="16">
        <v>1450</v>
      </c>
      <c r="E5" s="16">
        <v>1499</v>
      </c>
      <c r="F5" s="16">
        <v>1499</v>
      </c>
      <c r="G5" s="16">
        <v>41500</v>
      </c>
      <c r="H5" s="16">
        <f t="shared" si="0"/>
        <v>18</v>
      </c>
      <c r="S5" s="16">
        <v>0</v>
      </c>
      <c r="AC5" s="16">
        <v>0</v>
      </c>
      <c r="AM5" s="16">
        <v>0</v>
      </c>
      <c r="AW5" s="16">
        <v>0</v>
      </c>
      <c r="BG5" s="16">
        <v>0</v>
      </c>
      <c r="BQ5" s="16">
        <v>0</v>
      </c>
      <c r="CA5" s="16">
        <v>0</v>
      </c>
      <c r="CK5" s="16">
        <v>0</v>
      </c>
      <c r="CU5" s="16">
        <v>0</v>
      </c>
      <c r="DE5" s="16">
        <v>0</v>
      </c>
      <c r="DO5" s="16">
        <v>0</v>
      </c>
      <c r="DY5" s="16">
        <v>0</v>
      </c>
    </row>
    <row r="6" spans="1:129">
      <c r="A6" s="17">
        <v>44866</v>
      </c>
      <c r="B6" s="16">
        <v>1495</v>
      </c>
      <c r="C6" s="16">
        <v>1502</v>
      </c>
      <c r="D6" s="16">
        <v>1411</v>
      </c>
      <c r="E6" s="16">
        <v>1453</v>
      </c>
      <c r="F6" s="16">
        <v>1453</v>
      </c>
      <c r="G6" s="16">
        <v>35500</v>
      </c>
      <c r="H6" s="16">
        <f t="shared" si="0"/>
        <v>-42</v>
      </c>
      <c r="S6" s="16">
        <v>0</v>
      </c>
      <c r="AC6" s="16">
        <v>0</v>
      </c>
      <c r="AM6" s="16">
        <v>0</v>
      </c>
      <c r="AW6" s="16">
        <v>0</v>
      </c>
      <c r="BG6" s="16">
        <v>0</v>
      </c>
      <c r="BQ6" s="16">
        <v>0</v>
      </c>
      <c r="CA6" s="16">
        <v>0</v>
      </c>
      <c r="CK6" s="16">
        <v>0</v>
      </c>
      <c r="CU6" s="16">
        <v>0</v>
      </c>
      <c r="DE6" s="16">
        <v>0</v>
      </c>
      <c r="DO6" s="16">
        <v>0</v>
      </c>
      <c r="DY6" s="16">
        <v>0</v>
      </c>
    </row>
    <row r="7" spans="1:129">
      <c r="A7" s="17">
        <v>44896</v>
      </c>
      <c r="B7" s="16">
        <v>1448</v>
      </c>
      <c r="C7" s="16">
        <v>2000</v>
      </c>
      <c r="D7" s="16">
        <v>1442</v>
      </c>
      <c r="E7" s="16">
        <v>1987</v>
      </c>
      <c r="F7" s="16">
        <v>1987</v>
      </c>
      <c r="G7" s="16">
        <v>417100</v>
      </c>
      <c r="H7" s="16">
        <f t="shared" si="0"/>
        <v>539</v>
      </c>
    </row>
  </sheetData>
  <phoneticPr fontId="32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1ED47-02E0-4B58-AA31-57A9D5326430}">
  <sheetPr codeName="Sheet2"/>
  <dimension ref="A1:DY61"/>
  <sheetViews>
    <sheetView workbookViewId="0"/>
  </sheetViews>
  <sheetFormatPr defaultRowHeight="18.75"/>
  <cols>
    <col min="1" max="9" width="9" style="16"/>
    <col min="10" max="10" width="9" style="18"/>
    <col min="11" max="19" width="9" style="16"/>
    <col min="20" max="20" width="9" style="18"/>
    <col min="21" max="29" width="9" style="16"/>
    <col min="30" max="30" width="9" style="18"/>
    <col min="31" max="39" width="9" style="16"/>
    <col min="40" max="40" width="9" style="18"/>
    <col min="41" max="49" width="9" style="16"/>
    <col min="50" max="50" width="9" style="18"/>
    <col min="51" max="59" width="9" style="16"/>
    <col min="60" max="60" width="9" style="18"/>
    <col min="61" max="69" width="9" style="16"/>
    <col min="70" max="70" width="9" style="18"/>
    <col min="71" max="79" width="9" style="16"/>
    <col min="80" max="80" width="9" style="18"/>
    <col min="81" max="89" width="9" style="16"/>
    <col min="90" max="90" width="9" style="18"/>
    <col min="91" max="99" width="9" style="16"/>
    <col min="100" max="100" width="9" style="18"/>
    <col min="101" max="109" width="9" style="16"/>
    <col min="110" max="110" width="9" style="18"/>
    <col min="111" max="119" width="9" style="16"/>
    <col min="120" max="120" width="9" style="18"/>
    <col min="121" max="16384" width="9" style="16"/>
  </cols>
  <sheetData>
    <row r="1" spans="1:129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I1" s="3" t="str">
        <f>HYPERLINK("#分析!A1", "Home")</f>
        <v>Home</v>
      </c>
    </row>
    <row r="2" spans="1:129">
      <c r="A2" s="17">
        <v>43104</v>
      </c>
      <c r="B2" s="16">
        <v>2199</v>
      </c>
      <c r="C2" s="16">
        <v>2340</v>
      </c>
      <c r="D2" s="16">
        <v>1987</v>
      </c>
      <c r="E2" s="16">
        <v>2089</v>
      </c>
      <c r="F2" s="16">
        <v>2089</v>
      </c>
      <c r="G2" s="16">
        <v>1930600</v>
      </c>
      <c r="H2" s="16">
        <f t="shared" ref="H2:H33" si="0">E2-B2</f>
        <v>-110</v>
      </c>
      <c r="J2" s="18" cm="1">
        <f t="array" ref="J2:Q6">_xlfn._xlws.FILTER(A2:H61,MONTH(A2:A61)=1,"")</f>
        <v>43104</v>
      </c>
      <c r="K2" s="16">
        <v>2199</v>
      </c>
      <c r="L2" s="16">
        <v>2340</v>
      </c>
      <c r="M2" s="16">
        <v>1987</v>
      </c>
      <c r="N2" s="16">
        <v>2089</v>
      </c>
      <c r="O2" s="16">
        <v>2089</v>
      </c>
      <c r="P2" s="16">
        <v>1930600</v>
      </c>
      <c r="Q2" s="16">
        <v>-110</v>
      </c>
      <c r="R2" s="16">
        <f>Q2/K2*100</f>
        <v>-5.0022737608003638</v>
      </c>
      <c r="S2" s="16">
        <f>COUNT(Q2:Q6)</f>
        <v>5</v>
      </c>
      <c r="T2" s="18" cm="1">
        <f t="array" ref="T2:AA6">_xlfn._xlws.FILTER(A2:H61,MONTH(A2:A61)=2,"")</f>
        <v>43132</v>
      </c>
      <c r="U2" s="16">
        <v>2089</v>
      </c>
      <c r="V2" s="16">
        <v>2094</v>
      </c>
      <c r="W2" s="16">
        <v>1690</v>
      </c>
      <c r="X2" s="16">
        <v>1924</v>
      </c>
      <c r="Y2" s="16">
        <v>1924</v>
      </c>
      <c r="Z2" s="16">
        <v>796900</v>
      </c>
      <c r="AA2" s="16">
        <v>-165</v>
      </c>
      <c r="AB2" s="16">
        <f>AA2/U2*100</f>
        <v>-7.8985160363810438</v>
      </c>
      <c r="AC2" s="16">
        <f>COUNT(AA2:AA6)</f>
        <v>5</v>
      </c>
      <c r="AD2" s="18" cm="1">
        <f t="array" ref="AD2:AK6">_xlfn._xlws.FILTER(A2:H61,MONTH(A2:A61)=3,"")</f>
        <v>43160</v>
      </c>
      <c r="AE2" s="16">
        <v>1904</v>
      </c>
      <c r="AF2" s="16">
        <v>1919</v>
      </c>
      <c r="AG2" s="16">
        <v>1600</v>
      </c>
      <c r="AH2" s="16">
        <v>1622</v>
      </c>
      <c r="AI2" s="16">
        <v>1622</v>
      </c>
      <c r="AJ2" s="16">
        <v>658200</v>
      </c>
      <c r="AK2" s="16">
        <v>-282</v>
      </c>
      <c r="AL2" s="16">
        <f>AK2/AE2*100</f>
        <v>-14.8109243697479</v>
      </c>
      <c r="AM2" s="16">
        <f>COUNT(AK2:AK6)</f>
        <v>5</v>
      </c>
      <c r="AN2" s="18" cm="1">
        <f t="array" ref="AN2:AU6">_xlfn._xlws.FILTER(A2:H61,MONTH(A2:A61)=4,"")</f>
        <v>43192</v>
      </c>
      <c r="AO2" s="16">
        <v>1627</v>
      </c>
      <c r="AP2" s="16">
        <v>1642</v>
      </c>
      <c r="AQ2" s="16">
        <v>1480</v>
      </c>
      <c r="AR2" s="16">
        <v>1590</v>
      </c>
      <c r="AS2" s="16">
        <v>1590</v>
      </c>
      <c r="AT2" s="16">
        <v>1002000</v>
      </c>
      <c r="AU2" s="16">
        <v>-37</v>
      </c>
      <c r="AV2" s="16">
        <f>AU2/AO2*100</f>
        <v>-2.2741241548862936</v>
      </c>
      <c r="AW2" s="16">
        <f>COUNT(AU2:AU6)</f>
        <v>5</v>
      </c>
      <c r="AX2" s="18" cm="1">
        <f t="array" ref="AX2:BE6">_xlfn._xlws.FILTER(A2:H61,MONTH(A2:A61)=5,"")</f>
        <v>43221</v>
      </c>
      <c r="AY2" s="16">
        <v>1599</v>
      </c>
      <c r="AZ2" s="16">
        <v>1686</v>
      </c>
      <c r="BA2" s="16">
        <v>1487</v>
      </c>
      <c r="BB2" s="16">
        <v>1494</v>
      </c>
      <c r="BC2" s="16">
        <v>1494</v>
      </c>
      <c r="BD2" s="16">
        <v>646300</v>
      </c>
      <c r="BE2" s="16">
        <v>-105</v>
      </c>
      <c r="BF2" s="16">
        <f>BE2/AY2*100</f>
        <v>-6.5666041275797378</v>
      </c>
      <c r="BG2" s="16">
        <f>COUNT(BE2:BE6)</f>
        <v>5</v>
      </c>
      <c r="BH2" s="18" cm="1">
        <f t="array" ref="BH2:BO6">_xlfn._xlws.FILTER(A2:H61,MONTH(A2:A61)=6,"")</f>
        <v>43252</v>
      </c>
      <c r="BI2" s="16">
        <v>1494</v>
      </c>
      <c r="BJ2" s="16">
        <v>1579</v>
      </c>
      <c r="BK2" s="16">
        <v>1252</v>
      </c>
      <c r="BL2" s="16">
        <v>1360</v>
      </c>
      <c r="BM2" s="16">
        <v>1360</v>
      </c>
      <c r="BN2" s="16">
        <v>783000</v>
      </c>
      <c r="BO2" s="16">
        <v>-134</v>
      </c>
      <c r="BP2" s="16">
        <f>BO2/BI2*100</f>
        <v>-8.9692101740294525</v>
      </c>
      <c r="BQ2" s="16">
        <f>COUNT(BO2:BO6)</f>
        <v>5</v>
      </c>
      <c r="BR2" s="18" cm="1">
        <f t="array" ref="BR2:BY6">_xlfn._xlws.FILTER(A2:H61,MONTH(A2:A61)=7,"")</f>
        <v>43283</v>
      </c>
      <c r="BS2" s="16">
        <v>1360</v>
      </c>
      <c r="BT2" s="16">
        <v>1724</v>
      </c>
      <c r="BU2" s="16">
        <v>1227</v>
      </c>
      <c r="BV2" s="16">
        <v>1368</v>
      </c>
      <c r="BW2" s="16">
        <v>1368</v>
      </c>
      <c r="BX2" s="16">
        <v>3672800</v>
      </c>
      <c r="BY2" s="16">
        <v>8</v>
      </c>
      <c r="BZ2" s="16">
        <f>BY2/BS2*100</f>
        <v>0.58823529411764708</v>
      </c>
      <c r="CA2" s="16">
        <f>COUNT(BY2:BY6)</f>
        <v>5</v>
      </c>
      <c r="CB2" s="18" cm="1">
        <f t="array" ref="CB2:CI6">_xlfn._xlws.FILTER(A2:H61,MONTH(A2:A61)=8,"")</f>
        <v>43313</v>
      </c>
      <c r="CC2" s="16">
        <v>1378</v>
      </c>
      <c r="CD2" s="16">
        <v>1378</v>
      </c>
      <c r="CE2" s="16">
        <v>1199</v>
      </c>
      <c r="CF2" s="16">
        <v>1296</v>
      </c>
      <c r="CG2" s="16">
        <v>1296</v>
      </c>
      <c r="CH2" s="16">
        <v>819300</v>
      </c>
      <c r="CI2" s="16">
        <v>-82</v>
      </c>
      <c r="CJ2" s="16">
        <f>CI2/CC2*100</f>
        <v>-5.9506531204644411</v>
      </c>
      <c r="CK2" s="16">
        <f>COUNT(CI2:CI6)</f>
        <v>5</v>
      </c>
      <c r="CL2" s="18" cm="1">
        <f t="array" ref="CL2:CS6">_xlfn._xlws.FILTER(A2:H61,MONTH(A2:A61)=9,"")</f>
        <v>43346</v>
      </c>
      <c r="CM2" s="16">
        <v>1296</v>
      </c>
      <c r="CN2" s="16">
        <v>1608</v>
      </c>
      <c r="CO2" s="16">
        <v>1204</v>
      </c>
      <c r="CP2" s="16">
        <v>1511</v>
      </c>
      <c r="CQ2" s="16">
        <v>1511</v>
      </c>
      <c r="CR2" s="16">
        <v>1133800</v>
      </c>
      <c r="CS2" s="16">
        <v>215</v>
      </c>
      <c r="CT2" s="16">
        <f>CS2/CM2*100</f>
        <v>16.589506172839506</v>
      </c>
      <c r="CU2" s="16">
        <f>COUNT(CS2:CS6)</f>
        <v>5</v>
      </c>
      <c r="CV2" s="18" cm="1">
        <f t="array" ref="CV2:DC6">_xlfn._xlws.FILTER(A2:H61,MONTH(A2:A61)=10,"")</f>
        <v>43374</v>
      </c>
      <c r="CW2" s="16">
        <v>1506</v>
      </c>
      <c r="CX2" s="16">
        <v>1613</v>
      </c>
      <c r="CY2" s="16">
        <v>1220</v>
      </c>
      <c r="CZ2" s="16">
        <v>1489</v>
      </c>
      <c r="DA2" s="16">
        <v>1489</v>
      </c>
      <c r="DB2" s="16">
        <v>1090100</v>
      </c>
      <c r="DC2" s="16">
        <v>-17</v>
      </c>
      <c r="DD2" s="16">
        <f>DC2/CW2*100</f>
        <v>-1.1288180610889775</v>
      </c>
      <c r="DE2" s="16">
        <f>COUNT(DC2:DC6)</f>
        <v>5</v>
      </c>
      <c r="DF2" s="18" cm="1">
        <f t="array" ref="DF2:DM6">_xlfn._xlws.FILTER(A2:H61,MONTH(A2:A61)=11,"")</f>
        <v>43405</v>
      </c>
      <c r="DG2" s="16">
        <v>1497</v>
      </c>
      <c r="DH2" s="16">
        <v>1576</v>
      </c>
      <c r="DI2" s="16">
        <v>1376</v>
      </c>
      <c r="DJ2" s="16">
        <v>1565</v>
      </c>
      <c r="DK2" s="16">
        <v>1565</v>
      </c>
      <c r="DL2" s="16">
        <v>535300</v>
      </c>
      <c r="DM2" s="16">
        <v>68</v>
      </c>
      <c r="DN2" s="16">
        <f>DM2/DG2*100</f>
        <v>4.5424181696726791</v>
      </c>
      <c r="DO2" s="16">
        <f>COUNT(DM2:DM6)</f>
        <v>5</v>
      </c>
      <c r="DP2" s="18" cm="1">
        <f t="array" ref="DP2:DW6">_xlfn._xlws.FILTER(A2:H61,MONTH(A2:A61)=12,"")</f>
        <v>43437</v>
      </c>
      <c r="DQ2" s="16">
        <v>1575</v>
      </c>
      <c r="DR2" s="16">
        <v>1697</v>
      </c>
      <c r="DS2" s="16">
        <v>1215</v>
      </c>
      <c r="DT2" s="16">
        <v>1420</v>
      </c>
      <c r="DU2" s="16">
        <v>1420</v>
      </c>
      <c r="DV2" s="16">
        <v>1543300</v>
      </c>
      <c r="DW2" s="16">
        <v>-155</v>
      </c>
      <c r="DX2" s="16">
        <f>DW2/DQ2*100</f>
        <v>-9.8412698412698418</v>
      </c>
      <c r="DY2" s="16">
        <f>COUNT(DW2:DW6)</f>
        <v>5</v>
      </c>
    </row>
    <row r="3" spans="1:129">
      <c r="A3" s="17">
        <v>43132</v>
      </c>
      <c r="B3" s="16">
        <v>2089</v>
      </c>
      <c r="C3" s="16">
        <v>2094</v>
      </c>
      <c r="D3" s="16">
        <v>1690</v>
      </c>
      <c r="E3" s="16">
        <v>1924</v>
      </c>
      <c r="F3" s="16">
        <v>1924</v>
      </c>
      <c r="G3" s="16">
        <v>796900</v>
      </c>
      <c r="H3" s="16">
        <f t="shared" si="0"/>
        <v>-165</v>
      </c>
      <c r="J3" s="18">
        <v>43469</v>
      </c>
      <c r="K3" s="16">
        <v>1369</v>
      </c>
      <c r="L3" s="16">
        <v>1539</v>
      </c>
      <c r="M3" s="16">
        <v>1358</v>
      </c>
      <c r="N3" s="16">
        <v>1407</v>
      </c>
      <c r="O3" s="16">
        <v>1407</v>
      </c>
      <c r="P3" s="16">
        <v>847400</v>
      </c>
      <c r="Q3" s="16">
        <v>38</v>
      </c>
      <c r="R3" s="16">
        <f>Q3/K3*100</f>
        <v>2.7757487216946677</v>
      </c>
      <c r="S3" s="16">
        <f>COUNTIF(Q2:Q6,"&gt;0")</f>
        <v>1</v>
      </c>
      <c r="T3" s="18">
        <v>43497</v>
      </c>
      <c r="U3" s="16">
        <v>1406</v>
      </c>
      <c r="V3" s="16">
        <v>1409</v>
      </c>
      <c r="W3" s="16">
        <v>1300</v>
      </c>
      <c r="X3" s="16">
        <v>1344</v>
      </c>
      <c r="Y3" s="16">
        <v>1344</v>
      </c>
      <c r="Z3" s="16">
        <v>309700</v>
      </c>
      <c r="AA3" s="16">
        <v>-62</v>
      </c>
      <c r="AB3" s="16">
        <f>AA3/U3*100</f>
        <v>-4.4096728307254622</v>
      </c>
      <c r="AC3" s="16">
        <f>COUNTIF(AA2:AA6,"&gt;0")</f>
        <v>1</v>
      </c>
      <c r="AD3" s="18">
        <v>43525</v>
      </c>
      <c r="AE3" s="16">
        <v>1355</v>
      </c>
      <c r="AF3" s="16">
        <v>1440</v>
      </c>
      <c r="AG3" s="16">
        <v>1261</v>
      </c>
      <c r="AH3" s="16">
        <v>1424</v>
      </c>
      <c r="AI3" s="16">
        <v>1424</v>
      </c>
      <c r="AJ3" s="16">
        <v>452800</v>
      </c>
      <c r="AK3" s="16">
        <v>69</v>
      </c>
      <c r="AL3" s="16">
        <f>AK3/AE3*100</f>
        <v>5.0922509225092245</v>
      </c>
      <c r="AM3" s="16">
        <f>COUNTIF(AK2:AK6,"&gt;0")</f>
        <v>2</v>
      </c>
      <c r="AN3" s="18">
        <v>43556</v>
      </c>
      <c r="AO3" s="16">
        <v>1428</v>
      </c>
      <c r="AP3" s="16">
        <v>1455</v>
      </c>
      <c r="AQ3" s="16">
        <v>1305</v>
      </c>
      <c r="AR3" s="16">
        <v>1338</v>
      </c>
      <c r="AS3" s="16">
        <v>1338</v>
      </c>
      <c r="AT3" s="16">
        <v>210400</v>
      </c>
      <c r="AU3" s="16">
        <v>-90</v>
      </c>
      <c r="AV3" s="16">
        <f>AU3/AO3*100</f>
        <v>-6.3025210084033612</v>
      </c>
      <c r="AW3" s="16">
        <f>COUNTIF(AU2:AU6,"&gt;0")</f>
        <v>1</v>
      </c>
      <c r="AX3" s="18">
        <v>43592</v>
      </c>
      <c r="AY3" s="16">
        <v>1335</v>
      </c>
      <c r="AZ3" s="16">
        <v>1370</v>
      </c>
      <c r="BA3" s="16">
        <v>1234</v>
      </c>
      <c r="BB3" s="16">
        <v>1252</v>
      </c>
      <c r="BC3" s="16">
        <v>1252</v>
      </c>
      <c r="BD3" s="16">
        <v>173800</v>
      </c>
      <c r="BE3" s="16">
        <v>-83</v>
      </c>
      <c r="BF3" s="16">
        <f>BE3/AY3*100</f>
        <v>-6.2172284644194757</v>
      </c>
      <c r="BG3" s="16">
        <f>COUNTIF(BE2:BE6,"&gt;0")</f>
        <v>2</v>
      </c>
      <c r="BH3" s="18">
        <v>43619</v>
      </c>
      <c r="BI3" s="16">
        <v>1241</v>
      </c>
      <c r="BJ3" s="16">
        <v>1419</v>
      </c>
      <c r="BK3" s="16">
        <v>1212</v>
      </c>
      <c r="BL3" s="16">
        <v>1291</v>
      </c>
      <c r="BM3" s="16">
        <v>1291</v>
      </c>
      <c r="BN3" s="16">
        <v>331600</v>
      </c>
      <c r="BO3" s="16">
        <v>50</v>
      </c>
      <c r="BP3" s="16">
        <f>BO3/BI3*100</f>
        <v>4.0290088638195005</v>
      </c>
      <c r="BQ3" s="16">
        <f>COUNTIF(BO2:BO6,"&gt;0")</f>
        <v>2</v>
      </c>
      <c r="BR3" s="18">
        <v>43647</v>
      </c>
      <c r="BS3" s="16">
        <v>1301</v>
      </c>
      <c r="BT3" s="16">
        <v>1407</v>
      </c>
      <c r="BU3" s="16">
        <v>1262</v>
      </c>
      <c r="BV3" s="16">
        <v>1330</v>
      </c>
      <c r="BW3" s="16">
        <v>1330</v>
      </c>
      <c r="BX3" s="16">
        <v>388100</v>
      </c>
      <c r="BY3" s="16">
        <v>29</v>
      </c>
      <c r="BZ3" s="16">
        <f>BY3/BS3*100</f>
        <v>2.2290545734050733</v>
      </c>
      <c r="CA3" s="16">
        <f>COUNTIF(BY2:BY6,"&gt;0")</f>
        <v>3</v>
      </c>
      <c r="CB3" s="18">
        <v>43678</v>
      </c>
      <c r="CC3" s="16">
        <v>1318</v>
      </c>
      <c r="CD3" s="16">
        <v>1341</v>
      </c>
      <c r="CE3" s="16">
        <v>1205</v>
      </c>
      <c r="CF3" s="16">
        <v>1274</v>
      </c>
      <c r="CG3" s="16">
        <v>1274</v>
      </c>
      <c r="CH3" s="16">
        <v>330800</v>
      </c>
      <c r="CI3" s="16">
        <v>-44</v>
      </c>
      <c r="CJ3" s="16">
        <f>CI3/CC3*100</f>
        <v>-3.3383915022761759</v>
      </c>
      <c r="CK3" s="16">
        <f>COUNTIF(CI2:CI6,"&gt;0")</f>
        <v>2</v>
      </c>
      <c r="CL3" s="18">
        <v>43710</v>
      </c>
      <c r="CM3" s="16">
        <v>1280</v>
      </c>
      <c r="CN3" s="16">
        <v>1344</v>
      </c>
      <c r="CO3" s="16">
        <v>1198</v>
      </c>
      <c r="CP3" s="16">
        <v>1229</v>
      </c>
      <c r="CQ3" s="16">
        <v>1229</v>
      </c>
      <c r="CR3" s="16">
        <v>408300</v>
      </c>
      <c r="CS3" s="16">
        <v>-51</v>
      </c>
      <c r="CT3" s="16">
        <f>CS3/CM3*100</f>
        <v>-3.9843749999999996</v>
      </c>
      <c r="CU3" s="16">
        <f>COUNTIF(CS2:CS6,"&gt;0")</f>
        <v>3</v>
      </c>
      <c r="CV3" s="18">
        <v>43739</v>
      </c>
      <c r="CW3" s="16">
        <v>1238</v>
      </c>
      <c r="CX3" s="16">
        <v>1271</v>
      </c>
      <c r="CY3" s="16">
        <v>1202</v>
      </c>
      <c r="CZ3" s="16">
        <v>1233</v>
      </c>
      <c r="DA3" s="16">
        <v>1233</v>
      </c>
      <c r="DB3" s="16">
        <v>256400</v>
      </c>
      <c r="DC3" s="16">
        <v>-5</v>
      </c>
      <c r="DD3" s="16">
        <f>DC3/CW3*100</f>
        <v>-0.40387722132471726</v>
      </c>
      <c r="DE3" s="16">
        <f>COUNTIF(DC2:DC6,"&gt;0")</f>
        <v>2</v>
      </c>
      <c r="DF3" s="18">
        <v>43770</v>
      </c>
      <c r="DG3" s="16">
        <v>1232</v>
      </c>
      <c r="DH3" s="16">
        <v>1286</v>
      </c>
      <c r="DI3" s="16">
        <v>1221</v>
      </c>
      <c r="DJ3" s="16">
        <v>1266</v>
      </c>
      <c r="DK3" s="16">
        <v>1266</v>
      </c>
      <c r="DL3" s="16">
        <v>231400</v>
      </c>
      <c r="DM3" s="16">
        <v>34</v>
      </c>
      <c r="DN3" s="16">
        <f>DM3/DG3*100</f>
        <v>2.7597402597402598</v>
      </c>
      <c r="DO3" s="16">
        <f>COUNTIF(DM2:DM6,"&gt;0")</f>
        <v>4</v>
      </c>
      <c r="DP3" s="18">
        <v>43801</v>
      </c>
      <c r="DQ3" s="16">
        <v>1277</v>
      </c>
      <c r="DR3" s="16">
        <v>1325</v>
      </c>
      <c r="DS3" s="16">
        <v>1210</v>
      </c>
      <c r="DT3" s="16">
        <v>1271</v>
      </c>
      <c r="DU3" s="16">
        <v>1271</v>
      </c>
      <c r="DV3" s="16">
        <v>817600</v>
      </c>
      <c r="DW3" s="16">
        <v>-6</v>
      </c>
      <c r="DX3" s="16">
        <f>DW3/DQ3*100</f>
        <v>-0.46985121378230232</v>
      </c>
      <c r="DY3" s="16">
        <f>COUNTIF(DW2:DW6,"&gt;0")</f>
        <v>2</v>
      </c>
    </row>
    <row r="4" spans="1:129">
      <c r="A4" s="17">
        <v>43160</v>
      </c>
      <c r="B4" s="16">
        <v>1904</v>
      </c>
      <c r="C4" s="16">
        <v>1919</v>
      </c>
      <c r="D4" s="16">
        <v>1600</v>
      </c>
      <c r="E4" s="16">
        <v>1622</v>
      </c>
      <c r="F4" s="16">
        <v>1622</v>
      </c>
      <c r="G4" s="16">
        <v>658200</v>
      </c>
      <c r="H4" s="16">
        <f t="shared" si="0"/>
        <v>-282</v>
      </c>
      <c r="J4" s="18">
        <v>43836</v>
      </c>
      <c r="K4" s="16">
        <v>1273</v>
      </c>
      <c r="L4" s="16">
        <v>1297</v>
      </c>
      <c r="M4" s="16">
        <v>1186</v>
      </c>
      <c r="N4" s="16">
        <v>1191</v>
      </c>
      <c r="O4" s="16">
        <v>1191</v>
      </c>
      <c r="P4" s="16">
        <v>1021300</v>
      </c>
      <c r="Q4" s="16">
        <v>-82</v>
      </c>
      <c r="R4" s="16">
        <f>Q4/K4*100</f>
        <v>-6.4414768263943429</v>
      </c>
      <c r="S4" s="19">
        <f>S3/S2*100</f>
        <v>20</v>
      </c>
      <c r="T4" s="18">
        <v>43864</v>
      </c>
      <c r="U4" s="16">
        <v>1169</v>
      </c>
      <c r="V4" s="16">
        <v>1192</v>
      </c>
      <c r="W4" s="16">
        <v>900</v>
      </c>
      <c r="X4" s="16">
        <v>905</v>
      </c>
      <c r="Y4" s="16">
        <v>905</v>
      </c>
      <c r="Z4" s="16">
        <v>567500</v>
      </c>
      <c r="AA4" s="16">
        <v>-264</v>
      </c>
      <c r="AB4" s="16">
        <f>AA4/U4*100</f>
        <v>-22.583404619332764</v>
      </c>
      <c r="AC4" s="19">
        <f>AC3/AC2*100</f>
        <v>20</v>
      </c>
      <c r="AD4" s="18">
        <v>43892</v>
      </c>
      <c r="AE4" s="16">
        <v>897</v>
      </c>
      <c r="AF4" s="16">
        <v>974</v>
      </c>
      <c r="AG4" s="16">
        <v>583</v>
      </c>
      <c r="AH4" s="16">
        <v>911</v>
      </c>
      <c r="AI4" s="16">
        <v>911</v>
      </c>
      <c r="AJ4" s="16">
        <v>1499800</v>
      </c>
      <c r="AK4" s="16">
        <v>14</v>
      </c>
      <c r="AL4" s="16">
        <f>AK4/AE4*100</f>
        <v>1.5607580824972129</v>
      </c>
      <c r="AM4" s="19">
        <f>AM3/AM2*100</f>
        <v>40</v>
      </c>
      <c r="AN4" s="18">
        <v>43922</v>
      </c>
      <c r="AO4" s="16">
        <v>896</v>
      </c>
      <c r="AP4" s="16">
        <v>1072</v>
      </c>
      <c r="AQ4" s="16">
        <v>856</v>
      </c>
      <c r="AR4" s="16">
        <v>1017</v>
      </c>
      <c r="AS4" s="16">
        <v>1017</v>
      </c>
      <c r="AT4" s="16">
        <v>498300</v>
      </c>
      <c r="AU4" s="16">
        <v>121</v>
      </c>
      <c r="AV4" s="16">
        <f>AU4/AO4*100</f>
        <v>13.504464285714285</v>
      </c>
      <c r="AW4" s="19">
        <f>AW3/AW2*100</f>
        <v>20</v>
      </c>
      <c r="AX4" s="18">
        <v>43952</v>
      </c>
      <c r="AY4" s="16">
        <v>1010</v>
      </c>
      <c r="AZ4" s="16">
        <v>1037</v>
      </c>
      <c r="BA4" s="16">
        <v>952</v>
      </c>
      <c r="BB4" s="16">
        <v>1019</v>
      </c>
      <c r="BC4" s="16">
        <v>1019</v>
      </c>
      <c r="BD4" s="16">
        <v>290900</v>
      </c>
      <c r="BE4" s="16">
        <v>9</v>
      </c>
      <c r="BF4" s="16">
        <f>BE4/AY4*100</f>
        <v>0.89108910891089099</v>
      </c>
      <c r="BG4" s="19">
        <f>BG3/BG2*100</f>
        <v>40</v>
      </c>
      <c r="BH4" s="18">
        <v>43983</v>
      </c>
      <c r="BI4" s="16">
        <v>1028</v>
      </c>
      <c r="BJ4" s="16">
        <v>1234</v>
      </c>
      <c r="BK4" s="16">
        <v>963</v>
      </c>
      <c r="BL4" s="16">
        <v>1003</v>
      </c>
      <c r="BM4" s="16">
        <v>1003</v>
      </c>
      <c r="BN4" s="16">
        <v>1016300</v>
      </c>
      <c r="BO4" s="16">
        <v>-25</v>
      </c>
      <c r="BP4" s="16">
        <f>BO4/BI4*100</f>
        <v>-2.4319066147859925</v>
      </c>
      <c r="BQ4" s="19">
        <f>BQ3/BQ2*100</f>
        <v>40</v>
      </c>
      <c r="BR4" s="18">
        <v>44013</v>
      </c>
      <c r="BS4" s="16">
        <v>1007</v>
      </c>
      <c r="BT4" s="16">
        <v>1040</v>
      </c>
      <c r="BU4" s="16">
        <v>946</v>
      </c>
      <c r="BV4" s="16">
        <v>953</v>
      </c>
      <c r="BW4" s="16">
        <v>953</v>
      </c>
      <c r="BX4" s="16">
        <v>409400</v>
      </c>
      <c r="BY4" s="16">
        <v>-54</v>
      </c>
      <c r="BZ4" s="16">
        <f>BY4/BS4*100</f>
        <v>-5.3624627606752728</v>
      </c>
      <c r="CA4" s="19">
        <f>CA3/CA2*100</f>
        <v>60</v>
      </c>
      <c r="CB4" s="18">
        <v>44046</v>
      </c>
      <c r="CC4" s="16">
        <v>953</v>
      </c>
      <c r="CD4" s="16">
        <v>1020</v>
      </c>
      <c r="CE4" s="16">
        <v>926</v>
      </c>
      <c r="CF4" s="16">
        <v>969</v>
      </c>
      <c r="CG4" s="16">
        <v>969</v>
      </c>
      <c r="CH4" s="16">
        <v>332700</v>
      </c>
      <c r="CI4" s="16">
        <v>16</v>
      </c>
      <c r="CJ4" s="16">
        <f>CI4/CC4*100</f>
        <v>1.6789087093389297</v>
      </c>
      <c r="CK4" s="19">
        <f>CK3/CK2*100</f>
        <v>40</v>
      </c>
      <c r="CL4" s="18">
        <v>44075</v>
      </c>
      <c r="CM4" s="16">
        <v>969</v>
      </c>
      <c r="CN4" s="16">
        <v>1316</v>
      </c>
      <c r="CO4" s="16">
        <v>959</v>
      </c>
      <c r="CP4" s="16">
        <v>1279</v>
      </c>
      <c r="CQ4" s="16">
        <v>1279</v>
      </c>
      <c r="CR4" s="16">
        <v>1483800</v>
      </c>
      <c r="CS4" s="16">
        <v>310</v>
      </c>
      <c r="CT4" s="16">
        <f>CS4/CM4*100</f>
        <v>31.991744066047474</v>
      </c>
      <c r="CU4" s="19">
        <f>CU3/CU2*100</f>
        <v>60</v>
      </c>
      <c r="CV4" s="18">
        <v>44106</v>
      </c>
      <c r="CW4" s="16">
        <v>1279</v>
      </c>
      <c r="CX4" s="16">
        <v>1699</v>
      </c>
      <c r="CY4" s="16">
        <v>1233</v>
      </c>
      <c r="CZ4" s="16">
        <v>1346</v>
      </c>
      <c r="DA4" s="16">
        <v>1346</v>
      </c>
      <c r="DB4" s="16">
        <v>1830200</v>
      </c>
      <c r="DC4" s="16">
        <v>67</v>
      </c>
      <c r="DD4" s="16">
        <f>DC4/CW4*100</f>
        <v>5.2384675527756057</v>
      </c>
      <c r="DE4" s="19">
        <f>DE3/DE2*100</f>
        <v>40</v>
      </c>
      <c r="DF4" s="18">
        <v>44137</v>
      </c>
      <c r="DG4" s="16">
        <v>1364</v>
      </c>
      <c r="DH4" s="16">
        <v>1645</v>
      </c>
      <c r="DI4" s="16">
        <v>1315</v>
      </c>
      <c r="DJ4" s="16">
        <v>1533</v>
      </c>
      <c r="DK4" s="16">
        <v>1533</v>
      </c>
      <c r="DL4" s="16">
        <v>670300</v>
      </c>
      <c r="DM4" s="16">
        <v>169</v>
      </c>
      <c r="DN4" s="16">
        <f>DM4/DG4*100</f>
        <v>12.390029325513197</v>
      </c>
      <c r="DO4" s="19">
        <f>DO3/DO2*100</f>
        <v>80</v>
      </c>
      <c r="DP4" s="18">
        <v>44166</v>
      </c>
      <c r="DQ4" s="16">
        <v>1569</v>
      </c>
      <c r="DR4" s="16">
        <v>1866</v>
      </c>
      <c r="DS4" s="16">
        <v>1440</v>
      </c>
      <c r="DT4" s="16">
        <v>1855</v>
      </c>
      <c r="DU4" s="16">
        <v>1855</v>
      </c>
      <c r="DV4" s="16">
        <v>1191600</v>
      </c>
      <c r="DW4" s="16">
        <v>286</v>
      </c>
      <c r="DX4" s="16">
        <f>DW4/DQ4*100</f>
        <v>18.228170809432758</v>
      </c>
      <c r="DY4" s="19">
        <f>DY3/DY2*100</f>
        <v>40</v>
      </c>
    </row>
    <row r="5" spans="1:129">
      <c r="A5" s="17">
        <v>43192</v>
      </c>
      <c r="B5" s="16">
        <v>1627</v>
      </c>
      <c r="C5" s="16">
        <v>1642</v>
      </c>
      <c r="D5" s="16">
        <v>1480</v>
      </c>
      <c r="E5" s="16">
        <v>1590</v>
      </c>
      <c r="F5" s="16">
        <v>1590</v>
      </c>
      <c r="G5" s="16">
        <v>1002000</v>
      </c>
      <c r="H5" s="16">
        <f t="shared" si="0"/>
        <v>-37</v>
      </c>
      <c r="J5" s="18">
        <v>44200</v>
      </c>
      <c r="K5" s="16">
        <v>1835</v>
      </c>
      <c r="L5" s="16">
        <v>2020</v>
      </c>
      <c r="M5" s="16">
        <v>1659</v>
      </c>
      <c r="N5" s="16">
        <v>1668</v>
      </c>
      <c r="O5" s="16">
        <v>1668</v>
      </c>
      <c r="P5" s="16">
        <v>1917700</v>
      </c>
      <c r="Q5" s="16">
        <v>-167</v>
      </c>
      <c r="R5" s="16">
        <f>Q5/K5*100</f>
        <v>-9.100817438692097</v>
      </c>
      <c r="S5" s="16">
        <f>AVERAGE(R2:R6)</f>
        <v>-4.5993202462006382</v>
      </c>
      <c r="T5" s="18">
        <v>44228</v>
      </c>
      <c r="U5" s="16">
        <v>1650</v>
      </c>
      <c r="V5" s="16">
        <v>1820</v>
      </c>
      <c r="W5" s="16">
        <v>1601</v>
      </c>
      <c r="X5" s="16">
        <v>1757</v>
      </c>
      <c r="Y5" s="16">
        <v>1757</v>
      </c>
      <c r="Z5" s="16">
        <v>740900</v>
      </c>
      <c r="AA5" s="16">
        <v>107</v>
      </c>
      <c r="AB5" s="16">
        <f>AA5/U5*100</f>
        <v>6.4848484848484853</v>
      </c>
      <c r="AC5" s="16">
        <f>AVERAGE(AB2:AB6)</f>
        <v>-6.1965714827537539</v>
      </c>
      <c r="AD5" s="18">
        <v>44256</v>
      </c>
      <c r="AE5" s="16">
        <v>1757</v>
      </c>
      <c r="AF5" s="16">
        <v>1882</v>
      </c>
      <c r="AG5" s="16">
        <v>1611</v>
      </c>
      <c r="AH5" s="16">
        <v>1668</v>
      </c>
      <c r="AI5" s="16">
        <v>1668</v>
      </c>
      <c r="AJ5" s="16">
        <v>1306900</v>
      </c>
      <c r="AK5" s="16">
        <v>-89</v>
      </c>
      <c r="AL5" s="16">
        <f>AK5/AE5*100</f>
        <v>-5.0654524758110417</v>
      </c>
      <c r="AM5" s="16">
        <f>AVERAGE(AL2:AL6)</f>
        <v>-3.3332244087830389</v>
      </c>
      <c r="AN5" s="18">
        <v>44287</v>
      </c>
      <c r="AO5" s="16">
        <v>1668</v>
      </c>
      <c r="AP5" s="16">
        <v>1807</v>
      </c>
      <c r="AQ5" s="16">
        <v>1607</v>
      </c>
      <c r="AR5" s="16">
        <v>1612</v>
      </c>
      <c r="AS5" s="16">
        <v>1612</v>
      </c>
      <c r="AT5" s="16">
        <v>811000</v>
      </c>
      <c r="AU5" s="16">
        <v>-56</v>
      </c>
      <c r="AV5" s="16">
        <f>AU5/AO5*100</f>
        <v>-3.3573141486810552</v>
      </c>
      <c r="AW5" s="16">
        <f>AVERAGE(AV2:AV6)</f>
        <v>-0.50120682555078588</v>
      </c>
      <c r="AX5" s="18">
        <v>44322</v>
      </c>
      <c r="AY5" s="16">
        <v>1631</v>
      </c>
      <c r="AZ5" s="16">
        <v>1666</v>
      </c>
      <c r="BA5" s="16">
        <v>1491</v>
      </c>
      <c r="BB5" s="16">
        <v>1580</v>
      </c>
      <c r="BC5" s="16">
        <v>1580</v>
      </c>
      <c r="BD5" s="16">
        <v>422700</v>
      </c>
      <c r="BE5" s="16">
        <v>-51</v>
      </c>
      <c r="BF5" s="16">
        <f>BE5/AY5*100</f>
        <v>-3.1269160024524831</v>
      </c>
      <c r="BG5" s="16">
        <f>AVERAGE(BF2:BF6)</f>
        <v>-1.6191816780021142</v>
      </c>
      <c r="BH5" s="18">
        <v>44348</v>
      </c>
      <c r="BI5" s="16">
        <v>1589</v>
      </c>
      <c r="BJ5" s="16">
        <v>1730</v>
      </c>
      <c r="BK5" s="16">
        <v>1552</v>
      </c>
      <c r="BL5" s="16">
        <v>1652</v>
      </c>
      <c r="BM5" s="16">
        <v>1652</v>
      </c>
      <c r="BN5" s="16">
        <v>1234800</v>
      </c>
      <c r="BO5" s="16">
        <v>63</v>
      </c>
      <c r="BP5" s="16">
        <f>BO5/BI5*100</f>
        <v>3.9647577092511015</v>
      </c>
      <c r="BQ5" s="16">
        <f>AVERAGE(BP2:BP6)</f>
        <v>-1.6978634857719193</v>
      </c>
      <c r="BR5" s="18">
        <v>44378</v>
      </c>
      <c r="BS5" s="16">
        <v>1647</v>
      </c>
      <c r="BT5" s="16">
        <v>1647</v>
      </c>
      <c r="BU5" s="16">
        <v>1383</v>
      </c>
      <c r="BV5" s="16">
        <v>1390</v>
      </c>
      <c r="BW5" s="16">
        <v>1390</v>
      </c>
      <c r="BX5" s="16">
        <v>798300</v>
      </c>
      <c r="BY5" s="16">
        <v>-257</v>
      </c>
      <c r="BZ5" s="16">
        <f>BY5/BS5*100</f>
        <v>-15.604128718882817</v>
      </c>
      <c r="CA5" s="16">
        <f>AVERAGE(BZ2:BZ6)</f>
        <v>-3.1285638660544377</v>
      </c>
      <c r="CB5" s="18">
        <v>44410</v>
      </c>
      <c r="CC5" s="16">
        <v>1402</v>
      </c>
      <c r="CD5" s="16">
        <v>1477</v>
      </c>
      <c r="CE5" s="16">
        <v>1356</v>
      </c>
      <c r="CF5" s="16">
        <v>1464</v>
      </c>
      <c r="CG5" s="16">
        <v>1464</v>
      </c>
      <c r="CH5" s="16">
        <v>513800</v>
      </c>
      <c r="CI5" s="16">
        <v>62</v>
      </c>
      <c r="CJ5" s="16">
        <f>CI5/CC5*100</f>
        <v>4.4222539229671902</v>
      </c>
      <c r="CK5" s="16">
        <f>AVERAGE(CJ2:CJ6)</f>
        <v>-1.6645124250229266</v>
      </c>
      <c r="CL5" s="18">
        <v>44440</v>
      </c>
      <c r="CM5" s="16">
        <v>1477</v>
      </c>
      <c r="CN5" s="16">
        <v>1636</v>
      </c>
      <c r="CO5" s="16">
        <v>1435</v>
      </c>
      <c r="CP5" s="16">
        <v>1551</v>
      </c>
      <c r="CQ5" s="16">
        <v>1551</v>
      </c>
      <c r="CR5" s="16">
        <v>2168500</v>
      </c>
      <c r="CS5" s="16">
        <v>74</v>
      </c>
      <c r="CT5" s="16">
        <f>CS5/CM5*100</f>
        <v>5.0101557210561944</v>
      </c>
      <c r="CU5" s="16">
        <f>AVERAGE(CT2:CT6)</f>
        <v>6.5141302381288302</v>
      </c>
      <c r="CV5" s="18">
        <v>44470</v>
      </c>
      <c r="CW5" s="16">
        <v>1540</v>
      </c>
      <c r="CX5" s="16">
        <v>1580</v>
      </c>
      <c r="CY5" s="16">
        <v>1389</v>
      </c>
      <c r="CZ5" s="16">
        <v>1480</v>
      </c>
      <c r="DA5" s="16">
        <v>1480</v>
      </c>
      <c r="DB5" s="16">
        <v>807700</v>
      </c>
      <c r="DC5" s="16">
        <v>-60</v>
      </c>
      <c r="DD5" s="16">
        <f>DC5/CW5*100</f>
        <v>-3.8961038961038961</v>
      </c>
      <c r="DE5" s="16">
        <f>AVERAGE(DD2:DD6)</f>
        <v>0.590319373659837</v>
      </c>
      <c r="DF5" s="18">
        <v>44501</v>
      </c>
      <c r="DG5" s="16">
        <v>1495</v>
      </c>
      <c r="DH5" s="16">
        <v>1495</v>
      </c>
      <c r="DI5" s="16">
        <v>1273</v>
      </c>
      <c r="DJ5" s="16">
        <v>1276</v>
      </c>
      <c r="DK5" s="16">
        <v>1276</v>
      </c>
      <c r="DL5" s="16">
        <v>489000</v>
      </c>
      <c r="DM5" s="16">
        <v>-219</v>
      </c>
      <c r="DN5" s="16">
        <f>DM5/DG5*100</f>
        <v>-14.648829431438127</v>
      </c>
      <c r="DO5" s="16">
        <f>AVERAGE(DN2:DN6)</f>
        <v>1.7408892379193595</v>
      </c>
      <c r="DP5" s="18">
        <v>44531</v>
      </c>
      <c r="DQ5" s="16">
        <v>1261</v>
      </c>
      <c r="DR5" s="16">
        <v>1353</v>
      </c>
      <c r="DS5" s="16">
        <v>1217</v>
      </c>
      <c r="DT5" s="16">
        <v>1321</v>
      </c>
      <c r="DU5" s="16">
        <v>1321</v>
      </c>
      <c r="DV5" s="16">
        <v>867400</v>
      </c>
      <c r="DW5" s="16">
        <v>60</v>
      </c>
      <c r="DX5" s="16">
        <f>DW5/DQ5*100</f>
        <v>4.7581284694686756</v>
      </c>
      <c r="DY5" s="16">
        <f>AVERAGE(DX2:DX6)</f>
        <v>0.99503564476985795</v>
      </c>
    </row>
    <row r="6" spans="1:129">
      <c r="A6" s="17">
        <v>43221</v>
      </c>
      <c r="B6" s="16">
        <v>1599</v>
      </c>
      <c r="C6" s="16">
        <v>1686</v>
      </c>
      <c r="D6" s="16">
        <v>1487</v>
      </c>
      <c r="E6" s="16">
        <v>1494</v>
      </c>
      <c r="F6" s="16">
        <v>1494</v>
      </c>
      <c r="G6" s="16">
        <v>646300</v>
      </c>
      <c r="H6" s="16">
        <f t="shared" si="0"/>
        <v>-105</v>
      </c>
      <c r="J6" s="18">
        <v>44565</v>
      </c>
      <c r="K6" s="16">
        <v>1339</v>
      </c>
      <c r="L6" s="16">
        <v>1373</v>
      </c>
      <c r="M6" s="16">
        <v>1265</v>
      </c>
      <c r="N6" s="16">
        <v>1269</v>
      </c>
      <c r="O6" s="16">
        <v>1269</v>
      </c>
      <c r="P6" s="16">
        <v>1491300</v>
      </c>
      <c r="Q6" s="16">
        <v>-70</v>
      </c>
      <c r="R6" s="16">
        <f>Q6/K6*100</f>
        <v>-5.227781926811053</v>
      </c>
      <c r="S6" s="16">
        <f>MEDIAN(R2:R6)</f>
        <v>-5.227781926811053</v>
      </c>
      <c r="T6" s="18">
        <v>44593</v>
      </c>
      <c r="U6" s="16">
        <v>1281</v>
      </c>
      <c r="V6" s="16">
        <v>1399</v>
      </c>
      <c r="W6" s="16">
        <v>1135</v>
      </c>
      <c r="X6" s="16">
        <v>1248</v>
      </c>
      <c r="Y6" s="16">
        <v>1248</v>
      </c>
      <c r="Z6" s="16">
        <v>1080100</v>
      </c>
      <c r="AA6" s="16">
        <v>-33</v>
      </c>
      <c r="AB6" s="16">
        <f>AA6/U6*100</f>
        <v>-2.5761124121779861</v>
      </c>
      <c r="AC6" s="16">
        <f>MEDIAN(AB2:AB6)</f>
        <v>-4.4096728307254622</v>
      </c>
      <c r="AD6" s="18">
        <v>44621</v>
      </c>
      <c r="AE6" s="16">
        <v>1249</v>
      </c>
      <c r="AF6" s="16">
        <v>1285</v>
      </c>
      <c r="AG6" s="16">
        <v>1102</v>
      </c>
      <c r="AH6" s="16">
        <v>1206</v>
      </c>
      <c r="AI6" s="16">
        <v>1206</v>
      </c>
      <c r="AJ6" s="16">
        <v>783600</v>
      </c>
      <c r="AK6" s="16">
        <v>-43</v>
      </c>
      <c r="AL6" s="16">
        <f>AK6/AE6*100</f>
        <v>-3.4427542033626897</v>
      </c>
      <c r="AM6" s="16">
        <f>MEDIAN(AL2:AL6)</f>
        <v>-3.4427542033626897</v>
      </c>
      <c r="AN6" s="18">
        <v>44652</v>
      </c>
      <c r="AO6" s="16">
        <v>1202</v>
      </c>
      <c r="AP6" s="16">
        <v>1228</v>
      </c>
      <c r="AQ6" s="16">
        <v>1138</v>
      </c>
      <c r="AR6" s="16">
        <v>1153</v>
      </c>
      <c r="AS6" s="16">
        <v>1153</v>
      </c>
      <c r="AT6" s="16">
        <v>450800</v>
      </c>
      <c r="AU6" s="16">
        <v>-49</v>
      </c>
      <c r="AV6" s="16">
        <f>AU6/AO6*100</f>
        <v>-4.0765391014975041</v>
      </c>
      <c r="AW6" s="16">
        <f>MEDIAN(AV2:AV6)</f>
        <v>-3.3573141486810552</v>
      </c>
      <c r="AX6" s="18">
        <v>44683</v>
      </c>
      <c r="AY6" s="16">
        <v>1141</v>
      </c>
      <c r="AZ6" s="16">
        <v>1224</v>
      </c>
      <c r="BA6" s="16">
        <v>1141</v>
      </c>
      <c r="BB6" s="16">
        <v>1220</v>
      </c>
      <c r="BC6" s="16">
        <v>1220</v>
      </c>
      <c r="BD6" s="16">
        <v>316700</v>
      </c>
      <c r="BE6" s="16">
        <v>79</v>
      </c>
      <c r="BF6" s="16">
        <f>BE6/AY6*100</f>
        <v>6.9237510955302364</v>
      </c>
      <c r="BG6" s="16">
        <f>MEDIAN(BF2:BF6)</f>
        <v>-3.1269160024524831</v>
      </c>
      <c r="BH6" s="18">
        <v>44713</v>
      </c>
      <c r="BI6" s="16">
        <v>1220</v>
      </c>
      <c r="BJ6" s="16">
        <v>1238</v>
      </c>
      <c r="BK6" s="16">
        <v>1074</v>
      </c>
      <c r="BL6" s="16">
        <v>1158</v>
      </c>
      <c r="BM6" s="16">
        <v>1158</v>
      </c>
      <c r="BN6" s="16">
        <v>528000</v>
      </c>
      <c r="BO6" s="16">
        <v>-62</v>
      </c>
      <c r="BP6" s="16">
        <f>BO6/BI6*100</f>
        <v>-5.081967213114754</v>
      </c>
      <c r="BQ6" s="16">
        <f>MEDIAN(BP2:BP6)</f>
        <v>-2.4319066147859925</v>
      </c>
      <c r="BR6" s="18">
        <v>44743</v>
      </c>
      <c r="BS6" s="16">
        <v>1157</v>
      </c>
      <c r="BT6" s="16">
        <v>1282</v>
      </c>
      <c r="BU6" s="16">
        <v>1102</v>
      </c>
      <c r="BV6" s="16">
        <v>1186</v>
      </c>
      <c r="BW6" s="16">
        <v>1186</v>
      </c>
      <c r="BX6" s="16">
        <v>2542400</v>
      </c>
      <c r="BY6" s="16">
        <v>29</v>
      </c>
      <c r="BZ6" s="16">
        <f>BY6/BS6*100</f>
        <v>2.5064822817631804</v>
      </c>
      <c r="CA6" s="16">
        <f>MEDIAN(BZ2:BZ6)</f>
        <v>0.58823529411764708</v>
      </c>
      <c r="CB6" s="18">
        <v>44774</v>
      </c>
      <c r="CC6" s="16">
        <v>1188</v>
      </c>
      <c r="CD6" s="16">
        <v>1248</v>
      </c>
      <c r="CE6" s="16">
        <v>1115</v>
      </c>
      <c r="CF6" s="16">
        <v>1127</v>
      </c>
      <c r="CG6" s="16">
        <v>1127</v>
      </c>
      <c r="CH6" s="16">
        <v>1491300</v>
      </c>
      <c r="CI6" s="16">
        <v>-61</v>
      </c>
      <c r="CJ6" s="16">
        <f>CI6/CC6*100</f>
        <v>-5.134680134680135</v>
      </c>
      <c r="CK6" s="16">
        <f>MEDIAN(CJ2:CJ6)</f>
        <v>-3.3383915022761759</v>
      </c>
      <c r="CL6" s="18">
        <v>44805</v>
      </c>
      <c r="CM6" s="16">
        <v>1127</v>
      </c>
      <c r="CN6" s="16">
        <v>1136</v>
      </c>
      <c r="CO6" s="16">
        <v>930</v>
      </c>
      <c r="CP6" s="16">
        <v>935</v>
      </c>
      <c r="CQ6" s="16">
        <v>935</v>
      </c>
      <c r="CR6" s="16">
        <v>1189000</v>
      </c>
      <c r="CS6" s="16">
        <v>-192</v>
      </c>
      <c r="CT6" s="16">
        <f>CS6/CM6*100</f>
        <v>-17.036379769299025</v>
      </c>
      <c r="CU6" s="16">
        <f>MEDIAN(CT2:CT6)</f>
        <v>5.0101557210561944</v>
      </c>
      <c r="CV6" s="18">
        <v>44837</v>
      </c>
      <c r="CW6" s="16">
        <v>923</v>
      </c>
      <c r="CX6" s="16">
        <v>956</v>
      </c>
      <c r="CY6" s="16">
        <v>833</v>
      </c>
      <c r="CZ6" s="16">
        <v>952</v>
      </c>
      <c r="DA6" s="16">
        <v>952</v>
      </c>
      <c r="DB6" s="16">
        <v>1243600</v>
      </c>
      <c r="DC6" s="16">
        <v>29</v>
      </c>
      <c r="DD6" s="16">
        <f>DC6/CW6*100</f>
        <v>3.1419284940411698</v>
      </c>
      <c r="DE6" s="16">
        <f>MEDIAN(DD2:DD6)</f>
        <v>-0.40387722132471726</v>
      </c>
      <c r="DF6" s="18">
        <v>44866</v>
      </c>
      <c r="DG6" s="16">
        <v>956</v>
      </c>
      <c r="DH6" s="16">
        <v>1056</v>
      </c>
      <c r="DI6" s="16">
        <v>939</v>
      </c>
      <c r="DJ6" s="16">
        <v>991</v>
      </c>
      <c r="DK6" s="16">
        <v>991</v>
      </c>
      <c r="DL6" s="16">
        <v>750300</v>
      </c>
      <c r="DM6" s="16">
        <v>35</v>
      </c>
      <c r="DN6" s="16">
        <f>DM6/DG6*100</f>
        <v>3.6610878661087867</v>
      </c>
      <c r="DO6" s="16">
        <f>MEDIAN(DN2:DN6)</f>
        <v>3.6610878661087867</v>
      </c>
      <c r="DP6" s="18">
        <v>44896</v>
      </c>
      <c r="DQ6" s="16">
        <v>1000</v>
      </c>
      <c r="DR6" s="16">
        <v>1010</v>
      </c>
      <c r="DS6" s="16">
        <v>870</v>
      </c>
      <c r="DT6" s="16">
        <v>923</v>
      </c>
      <c r="DU6" s="16">
        <v>923</v>
      </c>
      <c r="DV6" s="16">
        <v>1131500</v>
      </c>
      <c r="DW6" s="16">
        <v>-77</v>
      </c>
      <c r="DX6" s="16">
        <f>DW6/DQ6*100</f>
        <v>-7.7</v>
      </c>
      <c r="DY6" s="16">
        <f>MEDIAN(DX2:DX6)</f>
        <v>-0.46985121378230232</v>
      </c>
    </row>
    <row r="7" spans="1:129">
      <c r="A7" s="17">
        <v>43252</v>
      </c>
      <c r="B7" s="16">
        <v>1494</v>
      </c>
      <c r="C7" s="16">
        <v>1579</v>
      </c>
      <c r="D7" s="16">
        <v>1252</v>
      </c>
      <c r="E7" s="16">
        <v>1360</v>
      </c>
      <c r="F7" s="16">
        <v>1360</v>
      </c>
      <c r="G7" s="16">
        <v>783000</v>
      </c>
      <c r="H7" s="16">
        <f t="shared" si="0"/>
        <v>-134</v>
      </c>
    </row>
    <row r="8" spans="1:129">
      <c r="A8" s="17">
        <v>43283</v>
      </c>
      <c r="B8" s="16">
        <v>1360</v>
      </c>
      <c r="C8" s="16">
        <v>1724</v>
      </c>
      <c r="D8" s="16">
        <v>1227</v>
      </c>
      <c r="E8" s="16">
        <v>1368</v>
      </c>
      <c r="F8" s="16">
        <v>1368</v>
      </c>
      <c r="G8" s="16">
        <v>3672800</v>
      </c>
      <c r="H8" s="16">
        <f t="shared" si="0"/>
        <v>8</v>
      </c>
    </row>
    <row r="9" spans="1:129">
      <c r="A9" s="17">
        <v>43313</v>
      </c>
      <c r="B9" s="16">
        <v>1378</v>
      </c>
      <c r="C9" s="16">
        <v>1378</v>
      </c>
      <c r="D9" s="16">
        <v>1199</v>
      </c>
      <c r="E9" s="16">
        <v>1296</v>
      </c>
      <c r="F9" s="16">
        <v>1296</v>
      </c>
      <c r="G9" s="16">
        <v>819300</v>
      </c>
      <c r="H9" s="16">
        <f t="shared" si="0"/>
        <v>-82</v>
      </c>
    </row>
    <row r="10" spans="1:129">
      <c r="A10" s="17">
        <v>43346</v>
      </c>
      <c r="B10" s="16">
        <v>1296</v>
      </c>
      <c r="C10" s="16">
        <v>1608</v>
      </c>
      <c r="D10" s="16">
        <v>1204</v>
      </c>
      <c r="E10" s="16">
        <v>1511</v>
      </c>
      <c r="F10" s="16">
        <v>1511</v>
      </c>
      <c r="G10" s="16">
        <v>1133800</v>
      </c>
      <c r="H10" s="16">
        <f t="shared" si="0"/>
        <v>215</v>
      </c>
    </row>
    <row r="11" spans="1:129">
      <c r="A11" s="17">
        <v>43374</v>
      </c>
      <c r="B11" s="16">
        <v>1506</v>
      </c>
      <c r="C11" s="16">
        <v>1613</v>
      </c>
      <c r="D11" s="16">
        <v>1220</v>
      </c>
      <c r="E11" s="16">
        <v>1489</v>
      </c>
      <c r="F11" s="16">
        <v>1489</v>
      </c>
      <c r="G11" s="16">
        <v>1090100</v>
      </c>
      <c r="H11" s="16">
        <f t="shared" si="0"/>
        <v>-17</v>
      </c>
    </row>
    <row r="12" spans="1:129">
      <c r="A12" s="17">
        <v>43405</v>
      </c>
      <c r="B12" s="16">
        <v>1497</v>
      </c>
      <c r="C12" s="16">
        <v>1576</v>
      </c>
      <c r="D12" s="16">
        <v>1376</v>
      </c>
      <c r="E12" s="16">
        <v>1565</v>
      </c>
      <c r="F12" s="16">
        <v>1565</v>
      </c>
      <c r="G12" s="16">
        <v>535300</v>
      </c>
      <c r="H12" s="16">
        <f t="shared" si="0"/>
        <v>68</v>
      </c>
    </row>
    <row r="13" spans="1:129">
      <c r="A13" s="17">
        <v>43437</v>
      </c>
      <c r="B13" s="16">
        <v>1575</v>
      </c>
      <c r="C13" s="16">
        <v>1697</v>
      </c>
      <c r="D13" s="16">
        <v>1215</v>
      </c>
      <c r="E13" s="16">
        <v>1420</v>
      </c>
      <c r="F13" s="16">
        <v>1420</v>
      </c>
      <c r="G13" s="16">
        <v>1543300</v>
      </c>
      <c r="H13" s="16">
        <f t="shared" si="0"/>
        <v>-155</v>
      </c>
    </row>
    <row r="14" spans="1:129">
      <c r="A14" s="17">
        <v>43469</v>
      </c>
      <c r="B14" s="16">
        <v>1369</v>
      </c>
      <c r="C14" s="16">
        <v>1539</v>
      </c>
      <c r="D14" s="16">
        <v>1358</v>
      </c>
      <c r="E14" s="16">
        <v>1407</v>
      </c>
      <c r="F14" s="16">
        <v>1407</v>
      </c>
      <c r="G14" s="16">
        <v>847400</v>
      </c>
      <c r="H14" s="16">
        <f t="shared" si="0"/>
        <v>38</v>
      </c>
    </row>
    <row r="15" spans="1:129">
      <c r="A15" s="17">
        <v>43497</v>
      </c>
      <c r="B15" s="16">
        <v>1406</v>
      </c>
      <c r="C15" s="16">
        <v>1409</v>
      </c>
      <c r="D15" s="16">
        <v>1300</v>
      </c>
      <c r="E15" s="16">
        <v>1344</v>
      </c>
      <c r="F15" s="16">
        <v>1344</v>
      </c>
      <c r="G15" s="16">
        <v>309700</v>
      </c>
      <c r="H15" s="16">
        <f t="shared" si="0"/>
        <v>-62</v>
      </c>
    </row>
    <row r="16" spans="1:129">
      <c r="A16" s="17">
        <v>43525</v>
      </c>
      <c r="B16" s="16">
        <v>1355</v>
      </c>
      <c r="C16" s="16">
        <v>1440</v>
      </c>
      <c r="D16" s="16">
        <v>1261</v>
      </c>
      <c r="E16" s="16">
        <v>1424</v>
      </c>
      <c r="F16" s="16">
        <v>1424</v>
      </c>
      <c r="G16" s="16">
        <v>452800</v>
      </c>
      <c r="H16" s="16">
        <f t="shared" si="0"/>
        <v>69</v>
      </c>
    </row>
    <row r="17" spans="1:8">
      <c r="A17" s="17">
        <v>43556</v>
      </c>
      <c r="B17" s="16">
        <v>1428</v>
      </c>
      <c r="C17" s="16">
        <v>1455</v>
      </c>
      <c r="D17" s="16">
        <v>1305</v>
      </c>
      <c r="E17" s="16">
        <v>1338</v>
      </c>
      <c r="F17" s="16">
        <v>1338</v>
      </c>
      <c r="G17" s="16">
        <v>210400</v>
      </c>
      <c r="H17" s="16">
        <f t="shared" si="0"/>
        <v>-90</v>
      </c>
    </row>
    <row r="18" spans="1:8">
      <c r="A18" s="17">
        <v>43592</v>
      </c>
      <c r="B18" s="16">
        <v>1335</v>
      </c>
      <c r="C18" s="16">
        <v>1370</v>
      </c>
      <c r="D18" s="16">
        <v>1234</v>
      </c>
      <c r="E18" s="16">
        <v>1252</v>
      </c>
      <c r="F18" s="16">
        <v>1252</v>
      </c>
      <c r="G18" s="16">
        <v>173800</v>
      </c>
      <c r="H18" s="16">
        <f t="shared" si="0"/>
        <v>-83</v>
      </c>
    </row>
    <row r="19" spans="1:8">
      <c r="A19" s="17">
        <v>43619</v>
      </c>
      <c r="B19" s="16">
        <v>1241</v>
      </c>
      <c r="C19" s="16">
        <v>1419</v>
      </c>
      <c r="D19" s="16">
        <v>1212</v>
      </c>
      <c r="E19" s="16">
        <v>1291</v>
      </c>
      <c r="F19" s="16">
        <v>1291</v>
      </c>
      <c r="G19" s="16">
        <v>331600</v>
      </c>
      <c r="H19" s="16">
        <f t="shared" si="0"/>
        <v>50</v>
      </c>
    </row>
    <row r="20" spans="1:8">
      <c r="A20" s="17">
        <v>43647</v>
      </c>
      <c r="B20" s="16">
        <v>1301</v>
      </c>
      <c r="C20" s="16">
        <v>1407</v>
      </c>
      <c r="D20" s="16">
        <v>1262</v>
      </c>
      <c r="E20" s="16">
        <v>1330</v>
      </c>
      <c r="F20" s="16">
        <v>1330</v>
      </c>
      <c r="G20" s="16">
        <v>388100</v>
      </c>
      <c r="H20" s="16">
        <f t="shared" si="0"/>
        <v>29</v>
      </c>
    </row>
    <row r="21" spans="1:8">
      <c r="A21" s="17">
        <v>43678</v>
      </c>
      <c r="B21" s="16">
        <v>1318</v>
      </c>
      <c r="C21" s="16">
        <v>1341</v>
      </c>
      <c r="D21" s="16">
        <v>1205</v>
      </c>
      <c r="E21" s="16">
        <v>1274</v>
      </c>
      <c r="F21" s="16">
        <v>1274</v>
      </c>
      <c r="G21" s="16">
        <v>330800</v>
      </c>
      <c r="H21" s="16">
        <f t="shared" si="0"/>
        <v>-44</v>
      </c>
    </row>
    <row r="22" spans="1:8">
      <c r="A22" s="17">
        <v>43710</v>
      </c>
      <c r="B22" s="16">
        <v>1280</v>
      </c>
      <c r="C22" s="16">
        <v>1344</v>
      </c>
      <c r="D22" s="16">
        <v>1198</v>
      </c>
      <c r="E22" s="16">
        <v>1229</v>
      </c>
      <c r="F22" s="16">
        <v>1229</v>
      </c>
      <c r="G22" s="16">
        <v>408300</v>
      </c>
      <c r="H22" s="16">
        <f t="shared" si="0"/>
        <v>-51</v>
      </c>
    </row>
    <row r="23" spans="1:8">
      <c r="A23" s="17">
        <v>43739</v>
      </c>
      <c r="B23" s="16">
        <v>1238</v>
      </c>
      <c r="C23" s="16">
        <v>1271</v>
      </c>
      <c r="D23" s="16">
        <v>1202</v>
      </c>
      <c r="E23" s="16">
        <v>1233</v>
      </c>
      <c r="F23" s="16">
        <v>1233</v>
      </c>
      <c r="G23" s="16">
        <v>256400</v>
      </c>
      <c r="H23" s="16">
        <f t="shared" si="0"/>
        <v>-5</v>
      </c>
    </row>
    <row r="24" spans="1:8">
      <c r="A24" s="17">
        <v>43770</v>
      </c>
      <c r="B24" s="16">
        <v>1232</v>
      </c>
      <c r="C24" s="16">
        <v>1286</v>
      </c>
      <c r="D24" s="16">
        <v>1221</v>
      </c>
      <c r="E24" s="16">
        <v>1266</v>
      </c>
      <c r="F24" s="16">
        <v>1266</v>
      </c>
      <c r="G24" s="16">
        <v>231400</v>
      </c>
      <c r="H24" s="16">
        <f t="shared" si="0"/>
        <v>34</v>
      </c>
    </row>
    <row r="25" spans="1:8">
      <c r="A25" s="17">
        <v>43801</v>
      </c>
      <c r="B25" s="16">
        <v>1277</v>
      </c>
      <c r="C25" s="16">
        <v>1325</v>
      </c>
      <c r="D25" s="16">
        <v>1210</v>
      </c>
      <c r="E25" s="16">
        <v>1271</v>
      </c>
      <c r="F25" s="16">
        <v>1271</v>
      </c>
      <c r="G25" s="16">
        <v>817600</v>
      </c>
      <c r="H25" s="16">
        <f t="shared" si="0"/>
        <v>-6</v>
      </c>
    </row>
    <row r="26" spans="1:8">
      <c r="A26" s="17">
        <v>43836</v>
      </c>
      <c r="B26" s="16">
        <v>1273</v>
      </c>
      <c r="C26" s="16">
        <v>1297</v>
      </c>
      <c r="D26" s="16">
        <v>1186</v>
      </c>
      <c r="E26" s="16">
        <v>1191</v>
      </c>
      <c r="F26" s="16">
        <v>1191</v>
      </c>
      <c r="G26" s="16">
        <v>1021300</v>
      </c>
      <c r="H26" s="16">
        <f t="shared" si="0"/>
        <v>-82</v>
      </c>
    </row>
    <row r="27" spans="1:8">
      <c r="A27" s="17">
        <v>43864</v>
      </c>
      <c r="B27" s="16">
        <v>1169</v>
      </c>
      <c r="C27" s="16">
        <v>1192</v>
      </c>
      <c r="D27" s="16">
        <v>900</v>
      </c>
      <c r="E27" s="16">
        <v>905</v>
      </c>
      <c r="F27" s="16">
        <v>905</v>
      </c>
      <c r="G27" s="16">
        <v>567500</v>
      </c>
      <c r="H27" s="16">
        <f t="shared" si="0"/>
        <v>-264</v>
      </c>
    </row>
    <row r="28" spans="1:8">
      <c r="A28" s="17">
        <v>43892</v>
      </c>
      <c r="B28" s="16">
        <v>897</v>
      </c>
      <c r="C28" s="16">
        <v>974</v>
      </c>
      <c r="D28" s="16">
        <v>583</v>
      </c>
      <c r="E28" s="16">
        <v>911</v>
      </c>
      <c r="F28" s="16">
        <v>911</v>
      </c>
      <c r="G28" s="16">
        <v>1499800</v>
      </c>
      <c r="H28" s="16">
        <f t="shared" si="0"/>
        <v>14</v>
      </c>
    </row>
    <row r="29" spans="1:8">
      <c r="A29" s="17">
        <v>43922</v>
      </c>
      <c r="B29" s="16">
        <v>896</v>
      </c>
      <c r="C29" s="16">
        <v>1072</v>
      </c>
      <c r="D29" s="16">
        <v>856</v>
      </c>
      <c r="E29" s="16">
        <v>1017</v>
      </c>
      <c r="F29" s="16">
        <v>1017</v>
      </c>
      <c r="G29" s="16">
        <v>498300</v>
      </c>
      <c r="H29" s="16">
        <f t="shared" si="0"/>
        <v>121</v>
      </c>
    </row>
    <row r="30" spans="1:8">
      <c r="A30" s="17">
        <v>43952</v>
      </c>
      <c r="B30" s="16">
        <v>1010</v>
      </c>
      <c r="C30" s="16">
        <v>1037</v>
      </c>
      <c r="D30" s="16">
        <v>952</v>
      </c>
      <c r="E30" s="16">
        <v>1019</v>
      </c>
      <c r="F30" s="16">
        <v>1019</v>
      </c>
      <c r="G30" s="16">
        <v>290900</v>
      </c>
      <c r="H30" s="16">
        <f t="shared" si="0"/>
        <v>9</v>
      </c>
    </row>
    <row r="31" spans="1:8">
      <c r="A31" s="17">
        <v>43983</v>
      </c>
      <c r="B31" s="16">
        <v>1028</v>
      </c>
      <c r="C31" s="16">
        <v>1234</v>
      </c>
      <c r="D31" s="16">
        <v>963</v>
      </c>
      <c r="E31" s="16">
        <v>1003</v>
      </c>
      <c r="F31" s="16">
        <v>1003</v>
      </c>
      <c r="G31" s="16">
        <v>1016300</v>
      </c>
      <c r="H31" s="16">
        <f t="shared" si="0"/>
        <v>-25</v>
      </c>
    </row>
    <row r="32" spans="1:8">
      <c r="A32" s="17">
        <v>44013</v>
      </c>
      <c r="B32" s="16">
        <v>1007</v>
      </c>
      <c r="C32" s="16">
        <v>1040</v>
      </c>
      <c r="D32" s="16">
        <v>946</v>
      </c>
      <c r="E32" s="16">
        <v>953</v>
      </c>
      <c r="F32" s="16">
        <v>953</v>
      </c>
      <c r="G32" s="16">
        <v>409400</v>
      </c>
      <c r="H32" s="16">
        <f t="shared" si="0"/>
        <v>-54</v>
      </c>
    </row>
    <row r="33" spans="1:8">
      <c r="A33" s="17">
        <v>44046</v>
      </c>
      <c r="B33" s="16">
        <v>953</v>
      </c>
      <c r="C33" s="16">
        <v>1020</v>
      </c>
      <c r="D33" s="16">
        <v>926</v>
      </c>
      <c r="E33" s="16">
        <v>969</v>
      </c>
      <c r="F33" s="16">
        <v>969</v>
      </c>
      <c r="G33" s="16">
        <v>332700</v>
      </c>
      <c r="H33" s="16">
        <f t="shared" si="0"/>
        <v>16</v>
      </c>
    </row>
    <row r="34" spans="1:8">
      <c r="A34" s="17">
        <v>44075</v>
      </c>
      <c r="B34" s="16">
        <v>969</v>
      </c>
      <c r="C34" s="16">
        <v>1316</v>
      </c>
      <c r="D34" s="16">
        <v>959</v>
      </c>
      <c r="E34" s="16">
        <v>1279</v>
      </c>
      <c r="F34" s="16">
        <v>1279</v>
      </c>
      <c r="G34" s="16">
        <v>1483800</v>
      </c>
      <c r="H34" s="16">
        <f t="shared" ref="H34:H61" si="1">E34-B34</f>
        <v>310</v>
      </c>
    </row>
    <row r="35" spans="1:8">
      <c r="A35" s="17">
        <v>44106</v>
      </c>
      <c r="B35" s="16">
        <v>1279</v>
      </c>
      <c r="C35" s="16">
        <v>1699</v>
      </c>
      <c r="D35" s="16">
        <v>1233</v>
      </c>
      <c r="E35" s="16">
        <v>1346</v>
      </c>
      <c r="F35" s="16">
        <v>1346</v>
      </c>
      <c r="G35" s="16">
        <v>1830200</v>
      </c>
      <c r="H35" s="16">
        <f t="shared" si="1"/>
        <v>67</v>
      </c>
    </row>
    <row r="36" spans="1:8">
      <c r="A36" s="17">
        <v>44137</v>
      </c>
      <c r="B36" s="16">
        <v>1364</v>
      </c>
      <c r="C36" s="16">
        <v>1645</v>
      </c>
      <c r="D36" s="16">
        <v>1315</v>
      </c>
      <c r="E36" s="16">
        <v>1533</v>
      </c>
      <c r="F36" s="16">
        <v>1533</v>
      </c>
      <c r="G36" s="16">
        <v>670300</v>
      </c>
      <c r="H36" s="16">
        <f t="shared" si="1"/>
        <v>169</v>
      </c>
    </row>
    <row r="37" spans="1:8">
      <c r="A37" s="17">
        <v>44166</v>
      </c>
      <c r="B37" s="16">
        <v>1569</v>
      </c>
      <c r="C37" s="16">
        <v>1866</v>
      </c>
      <c r="D37" s="16">
        <v>1440</v>
      </c>
      <c r="E37" s="16">
        <v>1855</v>
      </c>
      <c r="F37" s="16">
        <v>1855</v>
      </c>
      <c r="G37" s="16">
        <v>1191600</v>
      </c>
      <c r="H37" s="16">
        <f t="shared" si="1"/>
        <v>286</v>
      </c>
    </row>
    <row r="38" spans="1:8">
      <c r="A38" s="17">
        <v>44200</v>
      </c>
      <c r="B38" s="16">
        <v>1835</v>
      </c>
      <c r="C38" s="16">
        <v>2020</v>
      </c>
      <c r="D38" s="16">
        <v>1659</v>
      </c>
      <c r="E38" s="16">
        <v>1668</v>
      </c>
      <c r="F38" s="16">
        <v>1668</v>
      </c>
      <c r="G38" s="16">
        <v>1917700</v>
      </c>
      <c r="H38" s="16">
        <f t="shared" si="1"/>
        <v>-167</v>
      </c>
    </row>
    <row r="39" spans="1:8">
      <c r="A39" s="17">
        <v>44228</v>
      </c>
      <c r="B39" s="16">
        <v>1650</v>
      </c>
      <c r="C39" s="16">
        <v>1820</v>
      </c>
      <c r="D39" s="16">
        <v>1601</v>
      </c>
      <c r="E39" s="16">
        <v>1757</v>
      </c>
      <c r="F39" s="16">
        <v>1757</v>
      </c>
      <c r="G39" s="16">
        <v>740900</v>
      </c>
      <c r="H39" s="16">
        <f t="shared" si="1"/>
        <v>107</v>
      </c>
    </row>
    <row r="40" spans="1:8">
      <c r="A40" s="17">
        <v>44256</v>
      </c>
      <c r="B40" s="16">
        <v>1757</v>
      </c>
      <c r="C40" s="16">
        <v>1882</v>
      </c>
      <c r="D40" s="16">
        <v>1611</v>
      </c>
      <c r="E40" s="16">
        <v>1668</v>
      </c>
      <c r="F40" s="16">
        <v>1668</v>
      </c>
      <c r="G40" s="16">
        <v>1306900</v>
      </c>
      <c r="H40" s="16">
        <f t="shared" si="1"/>
        <v>-89</v>
      </c>
    </row>
    <row r="41" spans="1:8">
      <c r="A41" s="17">
        <v>44287</v>
      </c>
      <c r="B41" s="16">
        <v>1668</v>
      </c>
      <c r="C41" s="16">
        <v>1807</v>
      </c>
      <c r="D41" s="16">
        <v>1607</v>
      </c>
      <c r="E41" s="16">
        <v>1612</v>
      </c>
      <c r="F41" s="16">
        <v>1612</v>
      </c>
      <c r="G41" s="16">
        <v>811000</v>
      </c>
      <c r="H41" s="16">
        <f t="shared" si="1"/>
        <v>-56</v>
      </c>
    </row>
    <row r="42" spans="1:8">
      <c r="A42" s="17">
        <v>44322</v>
      </c>
      <c r="B42" s="16">
        <v>1631</v>
      </c>
      <c r="C42" s="16">
        <v>1666</v>
      </c>
      <c r="D42" s="16">
        <v>1491</v>
      </c>
      <c r="E42" s="16">
        <v>1580</v>
      </c>
      <c r="F42" s="16">
        <v>1580</v>
      </c>
      <c r="G42" s="16">
        <v>422700</v>
      </c>
      <c r="H42" s="16">
        <f t="shared" si="1"/>
        <v>-51</v>
      </c>
    </row>
    <row r="43" spans="1:8">
      <c r="A43" s="17">
        <v>44348</v>
      </c>
      <c r="B43" s="16">
        <v>1589</v>
      </c>
      <c r="C43" s="16">
        <v>1730</v>
      </c>
      <c r="D43" s="16">
        <v>1552</v>
      </c>
      <c r="E43" s="16">
        <v>1652</v>
      </c>
      <c r="F43" s="16">
        <v>1652</v>
      </c>
      <c r="G43" s="16">
        <v>1234800</v>
      </c>
      <c r="H43" s="16">
        <f t="shared" si="1"/>
        <v>63</v>
      </c>
    </row>
    <row r="44" spans="1:8">
      <c r="A44" s="17">
        <v>44378</v>
      </c>
      <c r="B44" s="16">
        <v>1647</v>
      </c>
      <c r="C44" s="16">
        <v>1647</v>
      </c>
      <c r="D44" s="16">
        <v>1383</v>
      </c>
      <c r="E44" s="16">
        <v>1390</v>
      </c>
      <c r="F44" s="16">
        <v>1390</v>
      </c>
      <c r="G44" s="16">
        <v>798300</v>
      </c>
      <c r="H44" s="16">
        <f t="shared" si="1"/>
        <v>-257</v>
      </c>
    </row>
    <row r="45" spans="1:8">
      <c r="A45" s="17">
        <v>44410</v>
      </c>
      <c r="B45" s="16">
        <v>1402</v>
      </c>
      <c r="C45" s="16">
        <v>1477</v>
      </c>
      <c r="D45" s="16">
        <v>1356</v>
      </c>
      <c r="E45" s="16">
        <v>1464</v>
      </c>
      <c r="F45" s="16">
        <v>1464</v>
      </c>
      <c r="G45" s="16">
        <v>513800</v>
      </c>
      <c r="H45" s="16">
        <f t="shared" si="1"/>
        <v>62</v>
      </c>
    </row>
    <row r="46" spans="1:8">
      <c r="A46" s="17">
        <v>44440</v>
      </c>
      <c r="B46" s="16">
        <v>1477</v>
      </c>
      <c r="C46" s="16">
        <v>1636</v>
      </c>
      <c r="D46" s="16">
        <v>1435</v>
      </c>
      <c r="E46" s="16">
        <v>1551</v>
      </c>
      <c r="F46" s="16">
        <v>1551</v>
      </c>
      <c r="G46" s="16">
        <v>2168500</v>
      </c>
      <c r="H46" s="16">
        <f t="shared" si="1"/>
        <v>74</v>
      </c>
    </row>
    <row r="47" spans="1:8">
      <c r="A47" s="17">
        <v>44470</v>
      </c>
      <c r="B47" s="16">
        <v>1540</v>
      </c>
      <c r="C47" s="16">
        <v>1580</v>
      </c>
      <c r="D47" s="16">
        <v>1389</v>
      </c>
      <c r="E47" s="16">
        <v>1480</v>
      </c>
      <c r="F47" s="16">
        <v>1480</v>
      </c>
      <c r="G47" s="16">
        <v>807700</v>
      </c>
      <c r="H47" s="16">
        <f t="shared" si="1"/>
        <v>-60</v>
      </c>
    </row>
    <row r="48" spans="1:8">
      <c r="A48" s="17">
        <v>44501</v>
      </c>
      <c r="B48" s="16">
        <v>1495</v>
      </c>
      <c r="C48" s="16">
        <v>1495</v>
      </c>
      <c r="D48" s="16">
        <v>1273</v>
      </c>
      <c r="E48" s="16">
        <v>1276</v>
      </c>
      <c r="F48" s="16">
        <v>1276</v>
      </c>
      <c r="G48" s="16">
        <v>489000</v>
      </c>
      <c r="H48" s="16">
        <f t="shared" si="1"/>
        <v>-219</v>
      </c>
    </row>
    <row r="49" spans="1:8">
      <c r="A49" s="17">
        <v>44531</v>
      </c>
      <c r="B49" s="16">
        <v>1261</v>
      </c>
      <c r="C49" s="16">
        <v>1353</v>
      </c>
      <c r="D49" s="16">
        <v>1217</v>
      </c>
      <c r="E49" s="16">
        <v>1321</v>
      </c>
      <c r="F49" s="16">
        <v>1321</v>
      </c>
      <c r="G49" s="16">
        <v>867400</v>
      </c>
      <c r="H49" s="16">
        <f t="shared" si="1"/>
        <v>60</v>
      </c>
    </row>
    <row r="50" spans="1:8">
      <c r="A50" s="17">
        <v>44565</v>
      </c>
      <c r="B50" s="16">
        <v>1339</v>
      </c>
      <c r="C50" s="16">
        <v>1373</v>
      </c>
      <c r="D50" s="16">
        <v>1265</v>
      </c>
      <c r="E50" s="16">
        <v>1269</v>
      </c>
      <c r="F50" s="16">
        <v>1269</v>
      </c>
      <c r="G50" s="16">
        <v>1491300</v>
      </c>
      <c r="H50" s="16">
        <f t="shared" si="1"/>
        <v>-70</v>
      </c>
    </row>
    <row r="51" spans="1:8">
      <c r="A51" s="17">
        <v>44593</v>
      </c>
      <c r="B51" s="16">
        <v>1281</v>
      </c>
      <c r="C51" s="16">
        <v>1399</v>
      </c>
      <c r="D51" s="16">
        <v>1135</v>
      </c>
      <c r="E51" s="16">
        <v>1248</v>
      </c>
      <c r="F51" s="16">
        <v>1248</v>
      </c>
      <c r="G51" s="16">
        <v>1080100</v>
      </c>
      <c r="H51" s="16">
        <f t="shared" si="1"/>
        <v>-33</v>
      </c>
    </row>
    <row r="52" spans="1:8">
      <c r="A52" s="17">
        <v>44621</v>
      </c>
      <c r="B52" s="16">
        <v>1249</v>
      </c>
      <c r="C52" s="16">
        <v>1285</v>
      </c>
      <c r="D52" s="16">
        <v>1102</v>
      </c>
      <c r="E52" s="16">
        <v>1206</v>
      </c>
      <c r="F52" s="16">
        <v>1206</v>
      </c>
      <c r="G52" s="16">
        <v>783600</v>
      </c>
      <c r="H52" s="16">
        <f t="shared" si="1"/>
        <v>-43</v>
      </c>
    </row>
    <row r="53" spans="1:8">
      <c r="A53" s="17">
        <v>44652</v>
      </c>
      <c r="B53" s="16">
        <v>1202</v>
      </c>
      <c r="C53" s="16">
        <v>1228</v>
      </c>
      <c r="D53" s="16">
        <v>1138</v>
      </c>
      <c r="E53" s="16">
        <v>1153</v>
      </c>
      <c r="F53" s="16">
        <v>1153</v>
      </c>
      <c r="G53" s="16">
        <v>450800</v>
      </c>
      <c r="H53" s="16">
        <f t="shared" si="1"/>
        <v>-49</v>
      </c>
    </row>
    <row r="54" spans="1:8">
      <c r="A54" s="17">
        <v>44683</v>
      </c>
      <c r="B54" s="16">
        <v>1141</v>
      </c>
      <c r="C54" s="16">
        <v>1224</v>
      </c>
      <c r="D54" s="16">
        <v>1141</v>
      </c>
      <c r="E54" s="16">
        <v>1220</v>
      </c>
      <c r="F54" s="16">
        <v>1220</v>
      </c>
      <c r="G54" s="16">
        <v>316700</v>
      </c>
      <c r="H54" s="16">
        <f t="shared" si="1"/>
        <v>79</v>
      </c>
    </row>
    <row r="55" spans="1:8">
      <c r="A55" s="17">
        <v>44713</v>
      </c>
      <c r="B55" s="16">
        <v>1220</v>
      </c>
      <c r="C55" s="16">
        <v>1238</v>
      </c>
      <c r="D55" s="16">
        <v>1074</v>
      </c>
      <c r="E55" s="16">
        <v>1158</v>
      </c>
      <c r="F55" s="16">
        <v>1158</v>
      </c>
      <c r="G55" s="16">
        <v>528000</v>
      </c>
      <c r="H55" s="16">
        <f t="shared" si="1"/>
        <v>-62</v>
      </c>
    </row>
    <row r="56" spans="1:8">
      <c r="A56" s="17">
        <v>44743</v>
      </c>
      <c r="B56" s="16">
        <v>1157</v>
      </c>
      <c r="C56" s="16">
        <v>1282</v>
      </c>
      <c r="D56" s="16">
        <v>1102</v>
      </c>
      <c r="E56" s="16">
        <v>1186</v>
      </c>
      <c r="F56" s="16">
        <v>1186</v>
      </c>
      <c r="G56" s="16">
        <v>2542400</v>
      </c>
      <c r="H56" s="16">
        <f t="shared" si="1"/>
        <v>29</v>
      </c>
    </row>
    <row r="57" spans="1:8">
      <c r="A57" s="17">
        <v>44774</v>
      </c>
      <c r="B57" s="16">
        <v>1188</v>
      </c>
      <c r="C57" s="16">
        <v>1248</v>
      </c>
      <c r="D57" s="16">
        <v>1115</v>
      </c>
      <c r="E57" s="16">
        <v>1127</v>
      </c>
      <c r="F57" s="16">
        <v>1127</v>
      </c>
      <c r="G57" s="16">
        <v>1491300</v>
      </c>
      <c r="H57" s="16">
        <f t="shared" si="1"/>
        <v>-61</v>
      </c>
    </row>
    <row r="58" spans="1:8">
      <c r="A58" s="17">
        <v>44805</v>
      </c>
      <c r="B58" s="16">
        <v>1127</v>
      </c>
      <c r="C58" s="16">
        <v>1136</v>
      </c>
      <c r="D58" s="16">
        <v>930</v>
      </c>
      <c r="E58" s="16">
        <v>935</v>
      </c>
      <c r="F58" s="16">
        <v>935</v>
      </c>
      <c r="G58" s="16">
        <v>1189000</v>
      </c>
      <c r="H58" s="16">
        <f t="shared" si="1"/>
        <v>-192</v>
      </c>
    </row>
    <row r="59" spans="1:8">
      <c r="A59" s="17">
        <v>44837</v>
      </c>
      <c r="B59" s="16">
        <v>923</v>
      </c>
      <c r="C59" s="16">
        <v>956</v>
      </c>
      <c r="D59" s="16">
        <v>833</v>
      </c>
      <c r="E59" s="16">
        <v>952</v>
      </c>
      <c r="F59" s="16">
        <v>952</v>
      </c>
      <c r="G59" s="16">
        <v>1243600</v>
      </c>
      <c r="H59" s="16">
        <f t="shared" si="1"/>
        <v>29</v>
      </c>
    </row>
    <row r="60" spans="1:8">
      <c r="A60" s="17">
        <v>44866</v>
      </c>
      <c r="B60" s="16">
        <v>956</v>
      </c>
      <c r="C60" s="16">
        <v>1056</v>
      </c>
      <c r="D60" s="16">
        <v>939</v>
      </c>
      <c r="E60" s="16">
        <v>991</v>
      </c>
      <c r="F60" s="16">
        <v>991</v>
      </c>
      <c r="G60" s="16">
        <v>750300</v>
      </c>
      <c r="H60" s="16">
        <f t="shared" si="1"/>
        <v>35</v>
      </c>
    </row>
    <row r="61" spans="1:8">
      <c r="A61" s="17">
        <v>44896</v>
      </c>
      <c r="B61" s="16">
        <v>1000</v>
      </c>
      <c r="C61" s="16">
        <v>1010</v>
      </c>
      <c r="D61" s="16">
        <v>870</v>
      </c>
      <c r="E61" s="16">
        <v>923</v>
      </c>
      <c r="F61" s="16">
        <v>923</v>
      </c>
      <c r="G61" s="16">
        <v>1131500</v>
      </c>
      <c r="H61" s="16">
        <f t="shared" si="1"/>
        <v>-77</v>
      </c>
    </row>
  </sheetData>
  <phoneticPr fontId="32"/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BF0B82-53D9-4AED-8102-0C1C1E84A7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38</vt:i4>
      </vt:variant>
    </vt:vector>
  </HeadingPairs>
  <TitlesOfParts>
    <vt:vector size="38" baseType="lpstr">
      <vt:lpstr>分析</vt:lpstr>
      <vt:lpstr>9637_data</vt:lpstr>
      <vt:lpstr>9636_data</vt:lpstr>
      <vt:lpstr>9632_data</vt:lpstr>
      <vt:lpstr>8842_data</vt:lpstr>
      <vt:lpstr>8617_data</vt:lpstr>
      <vt:lpstr>8609_data</vt:lpstr>
      <vt:lpstr>8562_data</vt:lpstr>
      <vt:lpstr>8142_data</vt:lpstr>
      <vt:lpstr>8068_data</vt:lpstr>
      <vt:lpstr>8013_data</vt:lpstr>
      <vt:lpstr>7683_data</vt:lpstr>
      <vt:lpstr>7674_data</vt:lpstr>
      <vt:lpstr>7614_data</vt:lpstr>
      <vt:lpstr>7590_data</vt:lpstr>
      <vt:lpstr>6654_data</vt:lpstr>
      <vt:lpstr>3921_data</vt:lpstr>
      <vt:lpstr>3463_data</vt:lpstr>
      <vt:lpstr>3455_data</vt:lpstr>
      <vt:lpstr>3421_data</vt:lpstr>
      <vt:lpstr>3418_data</vt:lpstr>
      <vt:lpstr>3415_data</vt:lpstr>
      <vt:lpstr>3399_data</vt:lpstr>
      <vt:lpstr>3320_data</vt:lpstr>
      <vt:lpstr>3278_data</vt:lpstr>
      <vt:lpstr>3246_data</vt:lpstr>
      <vt:lpstr>3193_data</vt:lpstr>
      <vt:lpstr>3169_data</vt:lpstr>
      <vt:lpstr>3071_data</vt:lpstr>
      <vt:lpstr>3070_data</vt:lpstr>
      <vt:lpstr>3057_data</vt:lpstr>
      <vt:lpstr>2590_data</vt:lpstr>
      <vt:lpstr>2353_data</vt:lpstr>
      <vt:lpstr>2117_data</vt:lpstr>
      <vt:lpstr>1928_data</vt:lpstr>
      <vt:lpstr>1766_data</vt:lpstr>
      <vt:lpstr>1444_data</vt:lpstr>
      <vt:lpstr>1433_data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Yosuke Takahashi</dc:creator>
  <cp:lastModifiedBy>Yosuke Takahashi</cp:lastModifiedBy>
  <dcterms:created xsi:type="dcterms:W3CDTF">2015-06-05T18:19:34Z</dcterms:created>
  <dcterms:modified xsi:type="dcterms:W3CDTF">2023-01-16T12:33:36Z</dcterms:modified>
</cp:coreProperties>
</file>